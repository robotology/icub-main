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D82" i="4"/>
  <c r="D48" i="1"/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9" i="5"/>
  <c r="D89"/>
  <c r="E89"/>
  <c r="C90"/>
  <c r="D90"/>
  <c r="E90"/>
  <c r="C84"/>
  <c r="D84"/>
  <c r="E84"/>
  <c r="C85"/>
  <c r="D85"/>
  <c r="E85"/>
  <c r="B90"/>
  <c r="B89"/>
  <c r="B85"/>
  <c r="B84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E84"/>
  <c r="F84"/>
  <c r="G84"/>
  <c r="G43" i="8" s="1"/>
  <c r="H84" i="3"/>
  <c r="I84"/>
  <c r="B84"/>
  <c r="C83"/>
  <c r="D83"/>
  <c r="E83"/>
  <c r="F83"/>
  <c r="G83"/>
  <c r="H83"/>
  <c r="I83"/>
  <c r="B83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1" i="5" s="1"/>
  <c r="C49" i="8" s="1"/>
  <c r="D39" i="1"/>
  <c r="E39"/>
  <c r="E61"/>
  <c r="E62"/>
  <c r="F62" s="1"/>
  <c r="E60"/>
  <c r="F60" s="1"/>
  <c r="N60" s="1"/>
  <c r="C83" i="5" s="1"/>
  <c r="C51" i="8" s="1"/>
  <c r="C82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D60" i="5"/>
  <c r="E60"/>
  <c r="D61"/>
  <c r="E61"/>
  <c r="C60"/>
  <c r="C61"/>
  <c r="B61"/>
  <c r="B60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50" i="5"/>
  <c r="C50"/>
  <c r="D50"/>
  <c r="E50"/>
  <c r="B51"/>
  <c r="C51"/>
  <c r="E51"/>
  <c r="B65"/>
  <c r="C65"/>
  <c r="D65"/>
  <c r="E65"/>
  <c r="E69"/>
  <c r="F69"/>
  <c r="E70"/>
  <c r="F70"/>
  <c r="E71"/>
  <c r="F71"/>
  <c r="E72"/>
  <c r="F72"/>
  <c r="B81"/>
  <c r="B49" i="8" s="1"/>
  <c r="E81" i="5"/>
  <c r="E49" i="8" s="1"/>
  <c r="G49"/>
  <c r="H49"/>
  <c r="F50"/>
  <c r="G50"/>
  <c r="H50"/>
  <c r="I50"/>
  <c r="F51"/>
  <c r="G51"/>
  <c r="H51"/>
  <c r="I5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K48"/>
  <c r="B49" i="4" s="1"/>
  <c r="K49" i="1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K66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D50" i="6" l="1"/>
  <c r="H50"/>
  <c r="I50"/>
  <c r="I49" i="4"/>
  <c r="I49" i="3"/>
  <c r="B95" i="2"/>
  <c r="B76" i="8" s="1"/>
  <c r="G50" i="6"/>
  <c r="B50" i="4"/>
  <c r="D61" i="1"/>
  <c r="D51" i="5" s="1"/>
  <c r="D50" i="3"/>
  <c r="F61" i="1"/>
  <c r="N61" s="1"/>
  <c r="D83" i="5" s="1"/>
  <c r="D51" i="8" s="1"/>
  <c r="E59" i="1"/>
  <c r="F59" s="1"/>
  <c r="D82" i="5"/>
  <c r="D50" i="8" s="1"/>
  <c r="E82" i="5"/>
  <c r="E50" i="8" s="1"/>
  <c r="N62" i="1"/>
  <c r="E83" i="5" s="1"/>
  <c r="E51" i="8" s="1"/>
  <c r="N59" i="1"/>
  <c r="B83" i="5" s="1"/>
  <c r="B51" i="8" s="1"/>
  <c r="B82" i="5"/>
  <c r="B50" i="8" s="1"/>
  <c r="D81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L66" i="1"/>
  <c r="I49" i="8" s="1"/>
  <c r="I50" i="3"/>
  <c r="L44" i="1"/>
  <c r="I80" i="3" s="1"/>
  <c r="I36" i="8" s="1"/>
</calcChain>
</file>

<file path=xl/sharedStrings.xml><?xml version="1.0" encoding="utf-8"?>
<sst xmlns="http://schemas.openxmlformats.org/spreadsheetml/2006/main" count="737" uniqueCount="285">
  <si>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</si>
  <si>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</si>
  <si>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</si>
  <si>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</si>
  <si>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</si>
  <si>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</si>
  <si>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</si>
  <si>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</si>
  <si>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</si>
  <si>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</si>
  <si>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</si>
  <si>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</si>
  <si>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</si>
  <si>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</si>
  <si>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</si>
  <si>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</si>
  <si>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</si>
  <si>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</si>
  <si>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</si>
  <si>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</si>
  <si>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</si>
  <si>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</si>
  <si>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</si>
  <si>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</si>
  <si>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</si>
  <si>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</si>
  <si>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</si>
  <si>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</si>
  <si>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</si>
  <si>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</si>
  <si>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</si>
  <si>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</si>
  <si>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</si>
  <si>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</si>
  <si>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</si>
  <si>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</si>
  <si>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</si>
  <si>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</si>
  <si>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</si>
  <si>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</si>
  <si>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</si>
  <si>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</si>
  <si>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</si>
  <si>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</si>
  <si>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</si>
  <si>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</si>
  <si>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</si>
  <si>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</si>
  <si>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</si>
  <si>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</si>
  <si>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</si>
  <si>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</si>
  <si>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</si>
  <si>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</si>
  <si>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</si>
  <si>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</si>
  <si>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</si>
  <si>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</si>
  <si>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</si>
  <si>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</si>
  <si>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</si>
  <si>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</si>
  <si>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</si>
  <si>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</si>
  <si>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</si>
  <si>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</si>
  <si>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</si>
  <si>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</si>
  <si>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</si>
  <si>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</si>
  <si>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</si>
  <si>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</si>
  <si>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</si>
  <si>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</si>
  <si>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</si>
  <si>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</si>
  <si>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</si>
  <si>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</si>
  <si>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</si>
  <si>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</si>
  <si>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</si>
  <si>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</si>
  <si>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</si>
  <si>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</si>
  <si>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</si>
  <si>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</si>
  <si>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</si>
  <si>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</si>
  <si>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</si>
  <si>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</si>
  <si>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</si>
  <si>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</si>
  <si>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</si>
  <si>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</si>
  <si>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</si>
  <si>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</si>
  <si>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</si>
  <si>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</si>
  <si>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</si>
  <si>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</si>
  <si>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</si>
  <si>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</si>
  <si>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</si>
  <si>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</si>
  <si>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</si>
  <si>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</si>
  <si>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</si>
  <si>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</si>
  <si>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</si>
  <si>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</si>
  <si>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</si>
  <si>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</si>
  <si>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</si>
  <si>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</si>
  <si>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</si>
  <si>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</si>
  <si>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</si>
  <si>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</si>
  <si>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</si>
  <si>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</si>
  <si>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</si>
  <si>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</si>
  <si>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</si>
  <si>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</si>
  <si>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</si>
  <si>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</si>
  <si>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</si>
  <si>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</si>
  <si>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</si>
  <si>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</si>
  <si>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</si>
  <si>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</si>
  <si>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</si>
  <si>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</si>
  <si>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</si>
  <si>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</si>
  <si>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</si>
  <si>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</si>
  <si>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</si>
  <si>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</si>
  <si>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</si>
  <si>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</si>
  <si>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</si>
  <si>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</si>
  <si>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</si>
  <si>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</si>
  <si>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</si>
  <si>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</si>
  <si>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</si>
  <si>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</si>
  <si>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</si>
  <si>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</si>
  <si>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</si>
  <si>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</si>
  <si>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</si>
  <si>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</si>
  <si>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</si>
  <si>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</si>
  <si>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</si>
  <si>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</si>
  <si>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</si>
  <si>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</si>
  <si>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</si>
  <si>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</si>
  <si>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</si>
  <si>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</si>
  <si>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</si>
  <si>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</si>
  <si>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</si>
  <si>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</si>
  <si>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</si>
  <si>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</si>
  <si>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</si>
  <si>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</si>
  <si>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</si>
  <si>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</si>
  <si>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</si>
  <si>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</si>
  <si>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</si>
  <si>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</si>
  <si>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</si>
  <si>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</si>
  <si>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</si>
  <si>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</si>
  <si>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</si>
  <si>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</si>
  <si>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</si>
  <si>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</si>
  <si>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</si>
  <si>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</si>
  <si>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</si>
  <si>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</si>
  <si>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</si>
  <si>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</si>
  <si>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</si>
  <si>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</si>
  <si>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</si>
  <si>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</si>
  <si>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</si>
  <si>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</si>
  <si>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</si>
  <si>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</si>
  <si>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</si>
  <si>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</si>
  <si>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</si>
  <si>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</si>
  <si>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</si>
  <si>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</si>
  <si>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</si>
  <si>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</si>
  <si>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</si>
  <si>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</si>
  <si>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</si>
  <si>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</si>
  <si>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</si>
  <si>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</si>
  <si>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</si>
  <si>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</si>
  <si>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</si>
  <si>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</si>
  <si>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</si>
  <si>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</si>
  <si>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</si>
  <si>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</si>
  <si>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</si>
  <si>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</si>
  <si>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</si>
  <si>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</si>
  <si>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</si>
  <si>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</si>
  <si>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</si>
  <si>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</si>
  <si>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</si>
  <si>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</si>
  <si>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</si>
  <si>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</si>
  <si>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</si>
  <si>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</si>
  <si>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</si>
  <si>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</si>
  <si>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</si>
  <si>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</si>
  <si>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</si>
  <si>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</si>
  <si>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</si>
  <si>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</si>
  <si>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</si>
  <si>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</si>
  <si>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</si>
  <si>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</si>
  <si>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</si>
  <si>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</si>
  <si>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</si>
  <si>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</si>
  <si>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</si>
  <si>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</si>
  <si>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</si>
  <si>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</si>
  <si>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</si>
  <si>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</si>
  <si>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</si>
  <si>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</si>
  <si>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</si>
  <si>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</si>
  <si>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</si>
  <si>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</si>
  <si>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</si>
  <si>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</si>
  <si>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</si>
  <si>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</si>
  <si>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</si>
  <si>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</si>
  <si>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</si>
  <si>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</si>
  <si>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</si>
  <si>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</si>
  <si>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</si>
  <si>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</si>
  <si>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</si>
  <si>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(right_hand)</t>
  </si>
  <si>
    <t>[ANALOG-right_hand]</t>
  </si>
  <si>
    <t xml:space="preserve"> //MAIS BOARD</t>
  </si>
  <si>
    <t>//STRAIN BOARD</t>
  </si>
  <si>
    <t>C:\devSoftware\iCub\app\Shoulder_ini\</t>
  </si>
  <si>
    <t xml:space="preserve">   RIGHTARM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</si>
</sst>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Colore 1" xfId="1" builtinId="30" customBuiltin="1"/>
    <cellStyle name="20% - Colore 2" xfId="2" builtinId="34" customBuiltin="1"/>
    <cellStyle name="20% - Colore 3" xfId="3" builtinId="38" customBuiltin="1"/>
    <cellStyle name="20% - Colore 4" xfId="4" builtinId="42" customBuiltin="1"/>
    <cellStyle name="20% - Colore 5" xfId="5" builtinId="46" customBuiltin="1"/>
    <cellStyle name="20% - Colore 6" xfId="6" builtinId="50" customBuiltin="1"/>
    <cellStyle name="40% - Colore 1" xfId="7" builtinId="31" customBuiltin="1"/>
    <cellStyle name="40% - Colore 2" xfId="8" builtinId="35" customBuiltin="1"/>
    <cellStyle name="40% - Colore 3" xfId="9" builtinId="39" customBuiltin="1"/>
    <cellStyle name="40% - Colore 4" xfId="10" builtinId="43" customBuiltin="1"/>
    <cellStyle name="40% - Colore 5" xfId="11" builtinId="47" customBuiltin="1"/>
    <cellStyle name="40% - Colore 6" xfId="12" builtinId="51" customBuiltin="1"/>
    <cellStyle name="60% - Colore 1" xfId="13" builtinId="32" customBuiltin="1"/>
    <cellStyle name="60% - Colore 2" xfId="14" builtinId="36" customBuiltin="1"/>
    <cellStyle name="60% - Colore 3" xfId="15" builtinId="40" customBuiltin="1"/>
    <cellStyle name="60% - Colore 4" xfId="16" builtinId="44" customBuiltin="1"/>
    <cellStyle name="60% - Colore 5" xfId="17" builtinId="48" customBuiltin="1"/>
    <cellStyle name="60% - Colore 6" xfId="18" builtinId="52" customBuiltin="1"/>
    <cellStyle name="Calcolo" xfId="26" builtinId="22" customBuiltin="1"/>
    <cellStyle name="Cella collegata" xfId="35" builtinId="24" customBuiltin="1"/>
    <cellStyle name="Cella da controllare" xfId="27" builtinId="23" customBuiltin="1"/>
    <cellStyle name="Colore 1" xfId="19" builtinId="29" customBuiltin="1"/>
    <cellStyle name="Colore 2" xfId="20" builtinId="33" customBuiltin="1"/>
    <cellStyle name="Colore 3" xfId="21" builtinId="37" customBuiltin="1"/>
    <cellStyle name="Colore 4" xfId="22" builtinId="41" customBuiltin="1"/>
    <cellStyle name="Colore 5" xfId="23" builtinId="45" customBuiltin="1"/>
    <cellStyle name="Colore 6" xfId="24" builtinId="49" customBuiltin="1"/>
    <cellStyle name="Input" xfId="34" builtinId="20" customBuiltin="1"/>
    <cellStyle name="Neutrale" xfId="36" builtinId="28" customBuiltin="1"/>
    <cellStyle name="Normale" xfId="0" builtinId="0"/>
    <cellStyle name="Nota" xfId="37" builtinId="10" customBuiltin="1"/>
    <cellStyle name="Output" xfId="38" builtinId="21" customBuiltin="1"/>
    <cellStyle name="Testo avviso" xfId="41" builtinId="11" customBuiltin="1"/>
    <cellStyle name="Testo descrittivo" xfId="28" builtinId="53" customBuiltin="1"/>
    <cellStyle name="Titolo" xfId="39" builtinId="15" customBuiltin="1"/>
    <cellStyle name="Titolo 1" xfId="30" builtinId="16" customBuiltin="1"/>
    <cellStyle name="Titolo 2" xfId="31" builtinId="17" customBuiltin="1"/>
    <cellStyle name="Titolo 3" xfId="32" builtinId="18" customBuiltin="1"/>
    <cellStyle name="Titolo 4" xfId="33" builtinId="19" customBuiltin="1"/>
    <cellStyle name="Totale" xfId="40" builtinId="25" customBuiltin="1"/>
    <cellStyle name="Valore non valido" xfId="25" builtinId="27" customBuiltin="1"/>
    <cellStyle name="Valore valido" xfId="29" builtinId="26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cub/app/iCubGenova02/conf/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B51" zoomScale="55" zoomScaleNormal="55" workbookViewId="0">
      <selection activeCell="O95" sqref="O95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324</v>
      </c>
      <c r="D59" s="25">
        <v>180</v>
      </c>
      <c r="E59" s="26">
        <f>(ABS(C59)-ABS(D59))</f>
        <v>144</v>
      </c>
      <c r="F59" s="26">
        <f>IF(E59&gt;=0,(E59*11.375),(360+E59)*11.375)</f>
        <v>1638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1638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88.3</v>
      </c>
      <c r="D60" s="25">
        <f>45</f>
        <v>45</v>
      </c>
      <c r="E60" s="26">
        <f>(ABS(C60)-ABS(D60))</f>
        <v>43.3</v>
      </c>
      <c r="F60" s="26">
        <f>IF(E60&gt;=0,(E60*11.375),(360+E60)*11.375)</f>
        <v>492.53749999999997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492.53749999999997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282.10000000000002</v>
      </c>
      <c r="D61" s="25">
        <f>L61/K61</f>
        <v>245.74218089602704</v>
      </c>
      <c r="E61" s="45">
        <f>ABS((+C61/(40/65)-(C59-C60)/(40/65)))-ABS(180)</f>
        <v>-104.59999999999997</v>
      </c>
      <c r="F61" s="45">
        <f>IF(E61&gt;=0,(E61*11.375),(360+E61)*11.375)</f>
        <v>2905.1750000000002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2905.1750000000002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222.7</v>
      </c>
      <c r="D62" s="25">
        <v>180</v>
      </c>
      <c r="E62" s="26">
        <f>(ABS(C62)-ABS(D62))</f>
        <v>42.699999999999989</v>
      </c>
      <c r="F62" s="26">
        <f>IF(E62&gt;=0,(E62*11.375),(360+E62)*11.375)</f>
        <v>485.71249999999986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485.71249999999986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283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85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282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282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78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282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+INDEX(Sheet1!$K$37:$K$44,COLUMN()-COLUMN($B$82)+1)</f>
        <v>-11.375</v>
      </c>
      <c r="C49" s="22">
        <f>+INDEX(Sheet1!$K$37:$K$44,COLUMN()-COLUMN($B$82)+1)</f>
        <v>-11.375</v>
      </c>
      <c r="D49" s="22">
        <f>+INDEX(Sheet1!$K$37:$K$44,COLUMN()-COLUMN($B$82)+1)</f>
        <v>-11.375</v>
      </c>
      <c r="E49" s="22">
        <f>+INDEX(Sheet1!$K$37:$K$44,COLUMN()-COLUMN($B$82)+1)</f>
        <v>-11.375</v>
      </c>
      <c r="F49" s="22">
        <f>+INDEX(Sheet1!$K$37:$K$44,COLUMN()-COLUMN($B$82)+1)</f>
        <v>-706.67</v>
      </c>
      <c r="G49" s="22">
        <f>+INDEX(Sheet1!$K$37:$K$44,COLUMN()-COLUMN($B$82)+1)</f>
        <v>-978.46</v>
      </c>
      <c r="H49" s="22">
        <f>+INDEX(Sheet1!$K$37:$K$44,COLUMN()-COLUMN($B$82)+1)</f>
        <v>-978.46</v>
      </c>
      <c r="I49" s="22">
        <f>+INDEX(Sheet1!$K$37:$K$44,COLUMN()-COLUMN($B$82)+1)</f>
        <v>5.666666666666667</v>
      </c>
    </row>
    <row r="50" spans="1:9">
      <c r="A50" t="s">
        <v>224</v>
      </c>
      <c r="B50" s="22">
        <f>+INDEX(Sheet1!$D$37:$D$44,COLUMN()-COLUMN($B$82)+1)</f>
        <v>-180</v>
      </c>
      <c r="C50" s="22">
        <f>+INDEX(Sheet1!$D$37:$D$44,COLUMN()-COLUMN($B$82)+1)</f>
        <v>-315</v>
      </c>
      <c r="D50" s="22">
        <f>+INDEX(Sheet1!$D$37:$D$44,COLUMN()-COLUMN($B$82)+1)</f>
        <v>24.257819103972956</v>
      </c>
      <c r="E50" s="22">
        <f>+INDEX(Sheet1!$D$37:$D$44,COLUMN()-COLUMN($B$82)+1)</f>
        <v>-180</v>
      </c>
      <c r="F50" s="22">
        <f>+INDEX(Sheet1!$D$37:$D$44,COLUMN()-COLUMN($B$82)+1)</f>
        <v>90</v>
      </c>
      <c r="G50" s="22">
        <f>+INDEX(Sheet1!$D$37:$D$44,COLUMN()-COLUMN($B$82)+1)</f>
        <v>-20</v>
      </c>
      <c r="H50" s="22">
        <f>+INDEX(Sheet1!$D$37:$D$44,COLUMN()-COLUMN($B$82)+1)</f>
        <v>-52</v>
      </c>
      <c r="I50" s="22">
        <f>+INDEX(Sheet1!$D$37:$D$44,COLUMN()-COLUMN($B$82)+1)</f>
        <v>281.11764705882354</v>
      </c>
    </row>
    <row r="52" spans="1:9">
      <c r="A52" t="s">
        <v>106</v>
      </c>
      <c r="B52">
        <v>0</v>
      </c>
    </row>
    <row r="53" spans="1:9" ht="15.75" customHeight="1"/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+INDEX(Sheet1!$H$37:$H$44,COLUMN()-COLUMN($B$82)+1)</f>
        <v>10</v>
      </c>
      <c r="C59" s="22">
        <f>+INDEX(Sheet1!$H$37:$H$44,COLUMN()-COLUMN($B$82)+1)</f>
        <v>160.80000000000001</v>
      </c>
      <c r="D59" s="22">
        <f>+INDEX(Sheet1!$H$37:$H$44,COLUMN()-COLUMN($B$82)+1)</f>
        <v>80</v>
      </c>
      <c r="E59" s="22">
        <f>+INDEX(Sheet1!$H$37:$H$44,COLUMN()-COLUMN($B$82)+1)</f>
        <v>106</v>
      </c>
      <c r="F59" s="22">
        <f>+INDEX(Sheet1!$H$37:$H$44,COLUMN()-COLUMN($B$82)+1)</f>
        <v>90</v>
      </c>
      <c r="G59" s="22">
        <f>+INDEX(Sheet1!$H$37:$H$44,COLUMN()-COLUMN($B$82)+1)</f>
        <v>0</v>
      </c>
      <c r="H59" s="22">
        <f>+INDEX(Sheet1!$H$37:$H$44,COLUMN()-COLUMN($B$82)+1)</f>
        <v>40</v>
      </c>
      <c r="I59" s="22">
        <f>+INDEX(Sheet1!$H$37:$H$44,COLUMN()-COLUMN($B$82)+1)</f>
        <v>60</v>
      </c>
    </row>
    <row r="60" spans="1:9">
      <c r="A60" t="s">
        <v>231</v>
      </c>
      <c r="B60" s="22">
        <f>+INDEX(Sheet1!$G$37:$G$44,COLUMN()-COLUMN($B$82)+1)</f>
        <v>-95.5</v>
      </c>
      <c r="C60" s="22">
        <f>+INDEX(Sheet1!$G$37:$G$44,COLUMN()-COLUMN($B$82)+1)</f>
        <v>0</v>
      </c>
      <c r="D60" s="22">
        <f>+INDEX(Sheet1!$G$37:$G$44,COLUMN()-COLUMN($B$82)+1)</f>
        <v>-37</v>
      </c>
      <c r="E60" s="22">
        <f>+INDEX(Sheet1!$G$37:$G$44,COLUMN()-COLUMN($B$82)+1)</f>
        <v>5.5</v>
      </c>
      <c r="F60" s="22">
        <f>+INDEX(Sheet1!$G$37:$G$44,COLUMN()-COLUMN($B$82)+1)</f>
        <v>-90</v>
      </c>
      <c r="G60" s="22">
        <f>+INDEX(Sheet1!$G$37:$G$44,COLUMN()-COLUMN($B$82)+1)</f>
        <v>-90</v>
      </c>
      <c r="H60" s="22">
        <f>+INDEX(Sheet1!$G$37:$G$44,COLUMN()-COLUMN($B$82)+1)</f>
        <v>-20</v>
      </c>
      <c r="I60" s="22">
        <f>+INDEX(Sheet1!$G$37:$G$44,COLUMN()-COLUMN($B$82)+1)</f>
        <v>0</v>
      </c>
    </row>
    <row r="63" spans="1:9">
      <c r="A63" t="s">
        <v>226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ref="F68:F75" si="0">+$B$3</f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ref="E70:E75" si="1"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-200</v>
      </c>
      <c r="C75">
        <v>-200</v>
      </c>
      <c r="D75">
        <v>-1</v>
      </c>
      <c r="E75" s="22">
        <f t="shared" si="1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+INDEX(Sheet1!$L$37:$L$44,COLUMN()-COLUMN($B$82)+1)</f>
        <v>2388.75</v>
      </c>
      <c r="C80" s="22">
        <f>+INDEX(Sheet1!$L$37:$L$44,COLUMN()-COLUMN($B$82)+1)</f>
        <v>3241.875</v>
      </c>
      <c r="D80" s="22">
        <f>+INDEX(Sheet1!$L$37:$L$44,COLUMN()-COLUMN($B$82)+1)</f>
        <v>-275.93269230769238</v>
      </c>
      <c r="E80" s="22">
        <f>+INDEX(Sheet1!$L$37:$L$44,COLUMN()-COLUMN($B$82)+1)</f>
        <v>1532</v>
      </c>
      <c r="F80" s="22">
        <v>600</v>
      </c>
      <c r="G80" s="22">
        <f>+INDEX(Sheet1!$L$37:$L$44,COLUMN()-COLUMN($B$82)+1)</f>
        <v>750</v>
      </c>
      <c r="H80" s="22">
        <f>+INDEX(Sheet1!$L$37:$L$44,COLUMN()-COLUMN($B$82)+1)</f>
        <v>750</v>
      </c>
      <c r="I80" s="22">
        <f>+INDEX(Sheet1!$L$37:$L$44,COLUMN()-COLUMN($B$82)+1)</f>
        <v>1593.0000000000002</v>
      </c>
    </row>
    <row r="81" spans="1:9">
      <c r="A81" t="s">
        <v>132</v>
      </c>
      <c r="B81" s="22">
        <f>+INDEX(Sheet1!$M$37:$M$44,COLUMN()-COLUMN($B$82)+1)</f>
        <v>10</v>
      </c>
      <c r="C81" s="22">
        <f>+INDEX(Sheet1!$M$37:$M$44,COLUMN()-COLUMN($B$82)+1)</f>
        <v>10</v>
      </c>
      <c r="D81" s="22">
        <f>+INDEX(Sheet1!$M$37:$M$44,COLUMN()-COLUMN($B$82)+1)</f>
        <v>10</v>
      </c>
      <c r="E81" s="22">
        <f>+INDEX(Sheet1!$M$37:$M$44,COLUMN()-COLUMN($B$82)+1)</f>
        <v>10</v>
      </c>
      <c r="F81" s="22">
        <f>+INDEX(Sheet1!$M$37:$M$44,COLUMN()-COLUMN($B$82)+1)</f>
        <v>20</v>
      </c>
      <c r="G81" s="22">
        <f>+INDEX(Sheet1!$M$37:$M$44,COLUMN()-COLUMN($B$82)+1)</f>
        <v>-10</v>
      </c>
      <c r="H81" s="22">
        <f>+INDEX(Sheet1!$M$37:$M$44,COLUMN()-COLUMN($B$82)+1)</f>
        <v>-10</v>
      </c>
      <c r="I81" s="22">
        <f>+INDEX(Sheet1!$M$37:$M$44,COLUMN()-COLUMN($B$82)+1)</f>
        <v>100</v>
      </c>
    </row>
    <row r="82" spans="1:9">
      <c r="A82" t="s">
        <v>133</v>
      </c>
      <c r="B82" s="22">
        <f>+INDEX(Sheet1!$N$37:$N$44,COLUMN()-COLUMN($B$82)+1)</f>
        <v>2536.625</v>
      </c>
      <c r="C82" s="22">
        <f>+INDEX(Sheet1!$N$37:$N$44,COLUMN()-COLUMN($B$82)+1)</f>
        <v>2425.15</v>
      </c>
      <c r="D82" s="22">
        <f>+INDEX(Sheet1!$N$37:$N$44,COLUMN()-COLUMN($B$82)+1)</f>
        <v>3456.0093749999992</v>
      </c>
      <c r="E82" s="22">
        <f>+INDEX(Sheet1!$N$37:$N$44,COLUMN()-COLUMN($B$82)+1)</f>
        <v>2143.0500000000002</v>
      </c>
      <c r="F82" s="22">
        <f>+INDEX(Sheet1!$N$37:$N$44,COLUMN()-COLUMN($B$82)+1)</f>
        <v>0</v>
      </c>
      <c r="G82" s="22">
        <f>+INDEX(Sheet1!$N$37:$N$44,COLUMN()-COLUMN($B$82)+1)</f>
        <v>0</v>
      </c>
      <c r="H82" s="22">
        <f>+INDEX(Sheet1!$N$37:$N$44,COLUMN()-COLUMN($B$82)+1)</f>
        <v>0</v>
      </c>
      <c r="I82" s="22">
        <f>+INDEX(Sheet1!$N$37:$N$44,COLUMN()-COLUMN($B$82)+1)</f>
        <v>0</v>
      </c>
    </row>
    <row r="83" spans="1:9">
      <c r="A83" t="s">
        <v>134</v>
      </c>
      <c r="B83" s="22">
        <f>+INDEX(Sheet1!$O$37:$O$44,COLUMN()-COLUMN($B$82)+1)</f>
        <v>-30</v>
      </c>
      <c r="C83" s="22">
        <f>+INDEX(Sheet1!$O$37:$O$44,COLUMN()-COLUMN($B$82)+1)</f>
        <v>30</v>
      </c>
      <c r="D83" s="22">
        <f>+INDEX(Sheet1!$O$37:$O$44,COLUMN()-COLUMN($B$82)+1)</f>
        <v>0</v>
      </c>
      <c r="E83" s="22">
        <f>+INDEX(Sheet1!$O$37:$O$44,COLUMN()-COLUMN($B$82)+1)</f>
        <v>45</v>
      </c>
      <c r="F83" s="22">
        <f>+INDEX(Sheet1!$O$37:$O$44,COLUMN()-COLUMN($B$82)+1)</f>
        <v>0</v>
      </c>
      <c r="G83" s="22">
        <f>+INDEX(Sheet1!$O$37:$O$44,COLUMN()-COLUMN($B$82)+1)</f>
        <v>0</v>
      </c>
      <c r="H83" s="22">
        <f>+INDEX(Sheet1!$O$37:$O$44,COLUMN()-COLUMN($B$82)+1)</f>
        <v>0</v>
      </c>
      <c r="I83" s="22">
        <f>+INDEX(Sheet1!$O$37:$O$44,COLUMN()-COLUMN($B$82)+1)</f>
        <v>0</v>
      </c>
    </row>
    <row r="84" spans="1:9">
      <c r="A84" t="s">
        <v>135</v>
      </c>
      <c r="B84" s="22">
        <f>+INDEX(Sheet1!$P$37:$P$44,COLUMN()-COLUMN($B$82)+1)</f>
        <v>10</v>
      </c>
      <c r="C84" s="22">
        <f>+INDEX(Sheet1!$P$37:$P$44,COLUMN()-COLUMN($B$82)+1)</f>
        <v>10</v>
      </c>
      <c r="D84" s="22">
        <f>+INDEX(Sheet1!$P$37:$P$44,COLUMN()-COLUMN($B$82)+1)</f>
        <v>10</v>
      </c>
      <c r="E84" s="22">
        <f>+INDEX(Sheet1!$P$37:$P$44,COLUMN()-COLUMN($B$82)+1)</f>
        <v>10</v>
      </c>
      <c r="F84" s="22">
        <f>+INDEX(Sheet1!$P$37:$P$44,COLUMN()-COLUMN($B$82)+1)</f>
        <v>30</v>
      </c>
      <c r="G84" s="22">
        <f>+INDEX(Sheet1!$P$37:$P$44,COLUMN()-COLUMN($B$82)+1)</f>
        <v>30</v>
      </c>
      <c r="H84" s="22">
        <f>+INDEX(Sheet1!$P$37:$P$44,COLUMN()-COLUMN($B$82)+1)</f>
        <v>30</v>
      </c>
      <c r="I84" s="22">
        <f>+INDEX(Sheet1!$P$37:$P$44,COLUMN()-COLUMN($B$82)+1)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+INDEX(Sheet1!$Q$37:$Q$44,COLUMN()-COLUMN($B$82)+1)</f>
        <v>-30</v>
      </c>
      <c r="C88" s="22">
        <f>+INDEX(Sheet1!$Q$37:$Q$44,COLUMN()-COLUMN($B$82)+1)</f>
        <v>30</v>
      </c>
      <c r="D88" s="22">
        <f>+INDEX(Sheet1!$Q$37:$Q$44,COLUMN()-COLUMN($B$82)+1)</f>
        <v>0</v>
      </c>
      <c r="E88" s="22">
        <f>+INDEX(Sheet1!$Q$37:$Q$44,COLUMN()-COLUMN($B$82)+1)</f>
        <v>45</v>
      </c>
      <c r="F88" s="22">
        <f>+INDEX(Sheet1!$Q$37:$Q$44,COLUMN()-COLUMN($B$82)+1)</f>
        <v>0</v>
      </c>
      <c r="G88" s="22">
        <f>+INDEX(Sheet1!$Q$37:$Q$44,COLUMN()-COLUMN($B$82)+1)</f>
        <v>0</v>
      </c>
      <c r="H88" s="22">
        <f>+INDEX(Sheet1!$Q$37:$Q$44,COLUMN()-COLUMN($B$82)+1)</f>
        <v>0</v>
      </c>
      <c r="I88" s="22">
        <f>+INDEX(Sheet1!$Q$37:$Q$44,COLUMN()-COLUMN($B$82)+1)</f>
        <v>0</v>
      </c>
    </row>
    <row r="89" spans="1:9">
      <c r="A89" t="s">
        <v>138</v>
      </c>
      <c r="B89" s="22">
        <f>+INDEX(Sheet1!$R$37:$R$44,COLUMN()-COLUMN($B$82)+1)</f>
        <v>10</v>
      </c>
      <c r="C89" s="22">
        <f>+INDEX(Sheet1!$R$37:$R$44,COLUMN()-COLUMN($B$82)+1)</f>
        <v>10</v>
      </c>
      <c r="D89" s="22">
        <f>+INDEX(Sheet1!$R$37:$R$44,COLUMN()-COLUMN($B$82)+1)</f>
        <v>10</v>
      </c>
      <c r="E89" s="22">
        <f>+INDEX(Sheet1!$R$37:$R$44,COLUMN()-COLUMN($B$82)+1)</f>
        <v>10</v>
      </c>
      <c r="F89" s="22">
        <f>+INDEX(Sheet1!$R$37:$R$44,COLUMN()-COLUMN($B$82)+1)</f>
        <v>30</v>
      </c>
      <c r="G89" s="22">
        <f>+INDEX(Sheet1!$R$37:$R$44,COLUMN()-COLUMN($B$82)+1)</f>
        <v>30</v>
      </c>
      <c r="H89" s="22">
        <f>+INDEX(Sheet1!$R$37:$R$44,COLUMN()-COLUMN($B$82)+1)</f>
        <v>30</v>
      </c>
      <c r="I89" s="22">
        <f>+INDEX(Sheet1!$R$37:$R$44,COLUMN()-COLUMN($B$82)+1)</f>
        <v>100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zoomScale="85" zoomScaleNormal="85" workbookViewId="0">
      <selection activeCell="C14" sqref="A14:C14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281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250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237</v>
      </c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224</v>
      </c>
      <c r="B50" s="40">
        <f>+INDEX(Sheet1!$D$48:$D$56,COLUMN()-COLUMN($B$83)+1)</f>
        <v>28.968935888962324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-182.33261339092871</v>
      </c>
      <c r="I50" s="40">
        <f>+INDEX(Sheet1!$D$48:$D$56,COLUMN()-COLUMN($B$83)+1)</f>
        <v>-316.23287671232879</v>
      </c>
    </row>
    <row r="52" spans="1:9">
      <c r="A52" t="s">
        <v>106</v>
      </c>
      <c r="B52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152</v>
      </c>
    </row>
    <row r="59" spans="1:9">
      <c r="A59" t="s">
        <v>241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233</v>
      </c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234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235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5" spans="1:9">
      <c r="A65" t="s">
        <v>116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4</v>
      </c>
      <c r="H68">
        <v>0</v>
      </c>
    </row>
    <row r="69" spans="1:9">
      <c r="A69" t="s">
        <v>118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119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120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3</v>
      </c>
      <c r="H71">
        <v>0</v>
      </c>
    </row>
    <row r="72" spans="1:9">
      <c r="A72" t="s">
        <v>121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122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123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124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7" spans="1:9">
      <c r="A77" t="s">
        <v>129</v>
      </c>
    </row>
    <row r="78" spans="1:9">
      <c r="A78" t="s">
        <v>236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131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132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133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A83" t="s">
        <v>134</v>
      </c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135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6" spans="1:9">
      <c r="A86" t="s">
        <v>136</v>
      </c>
    </row>
    <row r="87" spans="1:9">
      <c r="A87" t="s">
        <v>236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138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2"/>
  <sheetViews>
    <sheetView topLeftCell="A40" zoomScale="75" zoomScaleNormal="75" workbookViewId="0">
      <selection activeCell="H9" sqref="H9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146</v>
      </c>
      <c r="B15" t="s">
        <v>284</v>
      </c>
    </row>
    <row r="16" spans="1:6">
      <c r="A16" t="s">
        <v>90</v>
      </c>
      <c r="B16">
        <v>0</v>
      </c>
    </row>
    <row r="17" spans="1:5">
      <c r="A17" t="s">
        <v>91</v>
      </c>
      <c r="B17">
        <v>10</v>
      </c>
    </row>
    <row r="18" spans="1:5">
      <c r="A18" t="s">
        <v>92</v>
      </c>
      <c r="B18">
        <v>300</v>
      </c>
    </row>
    <row r="19" spans="1:5">
      <c r="A19" t="s">
        <v>142</v>
      </c>
      <c r="B19">
        <v>500</v>
      </c>
    </row>
    <row r="20" spans="1:5">
      <c r="A20" t="s">
        <v>143</v>
      </c>
      <c r="B20">
        <v>500</v>
      </c>
    </row>
    <row r="21" spans="1:5">
      <c r="A21" t="s">
        <v>95</v>
      </c>
      <c r="B21">
        <v>1</v>
      </c>
      <c r="C21">
        <v>1</v>
      </c>
      <c r="D21">
        <v>1</v>
      </c>
      <c r="E21">
        <v>1</v>
      </c>
    </row>
    <row r="22" spans="1:5">
      <c r="A22" t="s">
        <v>96</v>
      </c>
      <c r="B22">
        <v>1</v>
      </c>
      <c r="C22">
        <v>1</v>
      </c>
      <c r="D22">
        <v>1</v>
      </c>
      <c r="E22">
        <v>1</v>
      </c>
    </row>
    <row r="23" spans="1:5">
      <c r="A23" t="s">
        <v>97</v>
      </c>
      <c r="B23">
        <v>1</v>
      </c>
      <c r="C23">
        <v>1</v>
      </c>
      <c r="D23">
        <v>1</v>
      </c>
      <c r="E23">
        <v>1</v>
      </c>
    </row>
    <row r="24" spans="1:5">
      <c r="A24" t="s">
        <v>98</v>
      </c>
      <c r="B24">
        <v>0</v>
      </c>
      <c r="C24">
        <v>0</v>
      </c>
      <c r="D24">
        <v>0</v>
      </c>
      <c r="E24">
        <v>0</v>
      </c>
    </row>
    <row r="25" spans="1:5">
      <c r="A25" t="s">
        <v>99</v>
      </c>
      <c r="B25">
        <v>1</v>
      </c>
      <c r="C25">
        <v>1</v>
      </c>
      <c r="D25">
        <v>1</v>
      </c>
      <c r="E25">
        <v>1</v>
      </c>
    </row>
    <row r="26" spans="1:5">
      <c r="A26" t="s">
        <v>100</v>
      </c>
      <c r="B26">
        <v>1</v>
      </c>
      <c r="C26">
        <v>1</v>
      </c>
      <c r="D26">
        <v>1</v>
      </c>
      <c r="E26">
        <v>1</v>
      </c>
    </row>
    <row r="27" spans="1:5">
      <c r="A27" t="s">
        <v>101</v>
      </c>
      <c r="B27">
        <v>0</v>
      </c>
      <c r="C27">
        <v>0</v>
      </c>
      <c r="D27">
        <v>0</v>
      </c>
      <c r="E27">
        <v>0</v>
      </c>
    </row>
    <row r="42" spans="1:5">
      <c r="A42" t="s">
        <v>102</v>
      </c>
    </row>
    <row r="43" spans="1:5">
      <c r="A43" t="s">
        <v>103</v>
      </c>
      <c r="B43">
        <v>4</v>
      </c>
      <c r="C43" t="s">
        <v>104</v>
      </c>
    </row>
    <row r="44" spans="1:5">
      <c r="A44" t="s">
        <v>228</v>
      </c>
      <c r="B44">
        <v>0</v>
      </c>
      <c r="C44">
        <v>1</v>
      </c>
      <c r="D44">
        <v>2</v>
      </c>
      <c r="E44">
        <v>3</v>
      </c>
    </row>
    <row r="45" spans="1:5">
      <c r="A45" t="s">
        <v>229</v>
      </c>
      <c r="B45">
        <v>100</v>
      </c>
      <c r="C45">
        <v>100</v>
      </c>
      <c r="D45">
        <v>100</v>
      </c>
      <c r="E45">
        <v>100</v>
      </c>
    </row>
    <row r="46" spans="1:5">
      <c r="A46" t="s">
        <v>105</v>
      </c>
    </row>
    <row r="47" spans="1:5">
      <c r="A47" t="s">
        <v>227</v>
      </c>
      <c r="B47">
        <v>0</v>
      </c>
      <c r="C47">
        <v>1</v>
      </c>
      <c r="D47">
        <v>2</v>
      </c>
      <c r="E47">
        <v>3</v>
      </c>
    </row>
    <row r="48" spans="1:5">
      <c r="A48" t="s">
        <v>232</v>
      </c>
      <c r="B48">
        <v>0</v>
      </c>
      <c r="C48">
        <v>1</v>
      </c>
      <c r="D48">
        <v>2</v>
      </c>
      <c r="E48">
        <v>3</v>
      </c>
    </row>
    <row r="50" spans="1:9">
      <c r="A50" t="s">
        <v>225</v>
      </c>
      <c r="B50" s="22">
        <f>+INDEX(Sheet1!$K$59:$K$67,COLUMN()-COLUMN($B$84)+1)</f>
        <v>11.375</v>
      </c>
      <c r="C50" s="22">
        <f>+INDEX(Sheet1!$K$59:$K$67,COLUMN()-COLUMN($B$84)+1)</f>
        <v>11.375</v>
      </c>
      <c r="D50" s="22">
        <f>+INDEX(Sheet1!$K$59:$K$67,COLUMN()-COLUMN($B$84)+1)</f>
        <v>11.375</v>
      </c>
      <c r="E50" s="22">
        <f>+INDEX(Sheet1!$K$59:$K$67,COLUMN()-COLUMN($B$84)+1)</f>
        <v>11.375</v>
      </c>
      <c r="F50" s="22"/>
      <c r="G50" s="22"/>
      <c r="H50" s="22"/>
      <c r="I50" s="22"/>
    </row>
    <row r="51" spans="1:9">
      <c r="A51" t="s">
        <v>224</v>
      </c>
      <c r="B51" s="22">
        <f>+INDEX(Sheet1!$D$59:$D$66,COLUMN()-COLUMN($B$84)+1)</f>
        <v>180</v>
      </c>
      <c r="C51" s="22">
        <f>+INDEX(Sheet1!$D$59:$D$66,COLUMN()-COLUMN($B$84)+1)</f>
        <v>45</v>
      </c>
      <c r="D51" s="22">
        <f>+INDEX(Sheet1!$D$59:$D$66,COLUMN()-COLUMN($B$84)+1)</f>
        <v>245.74218089602704</v>
      </c>
      <c r="E51" s="22">
        <f>+INDEX(Sheet1!$D$59:$D$66,COLUMN()-COLUMN($B$84)+1)</f>
        <v>180</v>
      </c>
      <c r="F51" s="22"/>
      <c r="G51" s="22"/>
      <c r="H51" s="22"/>
      <c r="I51" s="22"/>
    </row>
    <row r="53" spans="1:9">
      <c r="A53" t="s">
        <v>106</v>
      </c>
      <c r="B53">
        <v>0</v>
      </c>
    </row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</row>
    <row r="59" spans="1:9">
      <c r="A59" t="s">
        <v>107</v>
      </c>
    </row>
    <row r="60" spans="1:9">
      <c r="A60" t="s">
        <v>230</v>
      </c>
      <c r="B60" s="22">
        <f>+INDEX(Sheet1!$H$59:$H$67,COLUMN()-COLUMN($B$84)+1)</f>
        <v>10</v>
      </c>
      <c r="C60" s="22">
        <f>+INDEX(Sheet1!$H$59:$H$67,COLUMN()-COLUMN($B$84)+1)</f>
        <v>161</v>
      </c>
      <c r="D60" s="22">
        <f>+INDEX(Sheet1!$H$59:$H$67,COLUMN()-COLUMN($B$84)+1)</f>
        <v>80</v>
      </c>
      <c r="E60" s="22">
        <f>+INDEX(Sheet1!$H$59:$H$67,COLUMN()-COLUMN($B$84)+1)</f>
        <v>106</v>
      </c>
      <c r="F60" s="22"/>
      <c r="G60" s="22"/>
      <c r="H60" s="22"/>
      <c r="I60" s="22"/>
    </row>
    <row r="61" spans="1:9">
      <c r="A61" t="s">
        <v>231</v>
      </c>
      <c r="B61" s="22">
        <f>+INDEX(Sheet1!$G$59:$G$66,COLUMN()-COLUMN($B$84)+1)</f>
        <v>-95.5</v>
      </c>
      <c r="C61" s="22">
        <f>+INDEX(Sheet1!$G$59:$G$66,COLUMN()-COLUMN($B$84)+1)</f>
        <v>0</v>
      </c>
      <c r="D61" s="22">
        <f>+INDEX(Sheet1!$G$59:$G$66,COLUMN()-COLUMN($B$84)+1)</f>
        <v>-37</v>
      </c>
      <c r="E61" s="22">
        <f>+INDEX(Sheet1!$G$59:$G$66,COLUMN()-COLUMN($B$84)+1)</f>
        <v>5.5</v>
      </c>
      <c r="F61" s="22"/>
      <c r="G61" s="22"/>
      <c r="H61" s="22"/>
      <c r="I61" s="22"/>
    </row>
    <row r="64" spans="1:9">
      <c r="A64" t="s">
        <v>226</v>
      </c>
    </row>
    <row r="65" spans="1:8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</row>
    <row r="67" spans="1:8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8">
      <c r="A68" t="s">
        <v>116</v>
      </c>
    </row>
    <row r="69" spans="1:8">
      <c r="A69" t="s">
        <v>117</v>
      </c>
      <c r="B69">
        <v>32000</v>
      </c>
      <c r="C69">
        <v>50</v>
      </c>
      <c r="D69">
        <v>60</v>
      </c>
      <c r="E69" s="22">
        <f t="shared" ref="E69:F76" si="0">+$B$2</f>
        <v>1333</v>
      </c>
      <c r="F69" s="22">
        <f t="shared" si="0"/>
        <v>1333</v>
      </c>
      <c r="G69">
        <v>13</v>
      </c>
      <c r="H69">
        <v>0</v>
      </c>
    </row>
    <row r="70" spans="1:8">
      <c r="A70" t="s">
        <v>118</v>
      </c>
      <c r="B70">
        <v>32000</v>
      </c>
      <c r="C70">
        <v>50</v>
      </c>
      <c r="D70">
        <v>60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8">
      <c r="A71" t="s">
        <v>119</v>
      </c>
      <c r="B71">
        <v>10000</v>
      </c>
      <c r="C71">
        <v>0</v>
      </c>
      <c r="D71">
        <v>10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8">
      <c r="A72" t="s">
        <v>120</v>
      </c>
      <c r="B72">
        <v>32000</v>
      </c>
      <c r="C72">
        <v>20</v>
      </c>
      <c r="D72">
        <v>60</v>
      </c>
      <c r="E72" s="22">
        <f t="shared" si="0"/>
        <v>1333</v>
      </c>
      <c r="F72" s="22">
        <f t="shared" si="0"/>
        <v>1333</v>
      </c>
      <c r="G72">
        <v>13</v>
      </c>
      <c r="H72">
        <v>0</v>
      </c>
    </row>
    <row r="73" spans="1:8">
      <c r="E73" s="22"/>
      <c r="F73" s="22"/>
    </row>
    <row r="74" spans="1:8">
      <c r="E74" s="22"/>
      <c r="F74" s="22"/>
    </row>
    <row r="75" spans="1:8">
      <c r="E75" s="22"/>
      <c r="F75" s="22"/>
    </row>
    <row r="76" spans="1:8">
      <c r="E76" s="22"/>
      <c r="F76" s="22"/>
    </row>
    <row r="78" spans="1:8">
      <c r="A78" t="s">
        <v>129</v>
      </c>
    </row>
    <row r="79" spans="1:8">
      <c r="A79" t="s">
        <v>226</v>
      </c>
      <c r="B79">
        <v>0</v>
      </c>
      <c r="C79">
        <v>1</v>
      </c>
      <c r="D79">
        <v>2</v>
      </c>
      <c r="E79">
        <v>3</v>
      </c>
    </row>
    <row r="80" spans="1:8">
      <c r="A80" t="s">
        <v>130</v>
      </c>
      <c r="B80">
        <v>3</v>
      </c>
      <c r="C80">
        <v>3</v>
      </c>
      <c r="D80">
        <v>3</v>
      </c>
      <c r="E80">
        <v>3</v>
      </c>
    </row>
    <row r="81" spans="1:9">
      <c r="A81" t="s">
        <v>131</v>
      </c>
      <c r="B81" s="22">
        <f>+INDEX(Sheet1!$L$59:$L$66,COLUMN()-COLUMN($B$84)+1)</f>
        <v>1706.25</v>
      </c>
      <c r="C81" s="22">
        <f>+INDEX(Sheet1!$L$59:$L$66,COLUMN()-COLUMN($B$84)+1)</f>
        <v>853.125</v>
      </c>
      <c r="D81" s="22">
        <f>+INDEX(Sheet1!$L$59:$L$66,COLUMN()-COLUMN($B$84)+1)</f>
        <v>2795.3173076923076</v>
      </c>
      <c r="E81" s="22">
        <f>+INDEX(Sheet1!$L$59:$L$66,COLUMN()-COLUMN($B$84)+1)</f>
        <v>2558</v>
      </c>
      <c r="F81" s="22"/>
      <c r="G81" s="22"/>
      <c r="H81" s="22"/>
      <c r="I81" s="22"/>
    </row>
    <row r="82" spans="1:9">
      <c r="A82" t="s">
        <v>132</v>
      </c>
      <c r="B82" s="22">
        <f>+INDEX(Sheet1!$M$59:$M$66,COLUMN()-COLUMN($B$84)+1)</f>
        <v>10</v>
      </c>
      <c r="C82" s="22">
        <f>+INDEX(Sheet1!$M$59:$M$66,COLUMN()-COLUMN($B$84)+1)</f>
        <v>10</v>
      </c>
      <c r="D82" s="22">
        <f>+INDEX(Sheet1!$M$59:$M$66,COLUMN()-COLUMN($B$84)+1)</f>
        <v>10</v>
      </c>
      <c r="E82" s="22">
        <f>+INDEX(Sheet1!$M$59:$M$66,COLUMN()-COLUMN($B$84)+1)</f>
        <v>10</v>
      </c>
      <c r="F82" s="22"/>
      <c r="G82" s="22"/>
      <c r="H82" s="22"/>
      <c r="I82" s="22"/>
    </row>
    <row r="83" spans="1:9">
      <c r="A83" t="s">
        <v>133</v>
      </c>
      <c r="B83" s="22">
        <f>+INDEX(Sheet1!$N$59:$N$66,COLUMN()-COLUMN($B$84)+1)</f>
        <v>1638</v>
      </c>
      <c r="C83" s="22">
        <f>+INDEX(Sheet1!$N$59:$N$66,COLUMN()-COLUMN($B$84)+1)</f>
        <v>492.53749999999997</v>
      </c>
      <c r="D83" s="22">
        <f>+INDEX(Sheet1!$N$59:$N$66,COLUMN()-COLUMN($B$84)+1)</f>
        <v>2905.1750000000002</v>
      </c>
      <c r="E83" s="22">
        <f>+INDEX(Sheet1!$N$59:$N$66,COLUMN()-COLUMN($B$84)+1)</f>
        <v>485.71249999999986</v>
      </c>
      <c r="F83" s="22"/>
      <c r="G83" s="22"/>
      <c r="H83" s="22"/>
      <c r="I83" s="22"/>
    </row>
    <row r="84" spans="1:9">
      <c r="A84" t="s">
        <v>134</v>
      </c>
      <c r="B84" s="22">
        <f>+INDEX(Sheet1!$O$59:$O$66,COLUMN()-COLUMN($B$84)+1)</f>
        <v>-30</v>
      </c>
      <c r="C84" s="22">
        <f>+INDEX(Sheet1!$O$59:$O$66,COLUMN()-COLUMN($B$84)+1)</f>
        <v>30</v>
      </c>
      <c r="D84" s="22">
        <f>+INDEX(Sheet1!$O$59:$O$66,COLUMN()-COLUMN($B$84)+1)</f>
        <v>0</v>
      </c>
      <c r="E84" s="22">
        <f>+INDEX(Sheet1!$O$59:$O$66,COLUMN()-COLUMN($B$84)+1)</f>
        <v>45</v>
      </c>
      <c r="F84" s="22"/>
      <c r="G84" s="22"/>
      <c r="H84" s="22"/>
      <c r="I84" s="22"/>
    </row>
    <row r="85" spans="1:9">
      <c r="A85" t="s">
        <v>135</v>
      </c>
      <c r="B85" s="22">
        <f>+INDEX(Sheet1!$P$59:$P$66,COLUMN()-COLUMN($B$84)+1)</f>
        <v>10</v>
      </c>
      <c r="C85" s="22">
        <f>+INDEX(Sheet1!$P$59:$P$66,COLUMN()-COLUMN($B$84)+1)</f>
        <v>10</v>
      </c>
      <c r="D85" s="22">
        <f>+INDEX(Sheet1!$P$59:$P$66,COLUMN()-COLUMN($B$84)+1)</f>
        <v>10</v>
      </c>
      <c r="E85" s="22">
        <f>+INDEX(Sheet1!$P$59:$P$66,COLUMN()-COLUMN($B$84)+1)</f>
        <v>10</v>
      </c>
      <c r="F85" s="22"/>
      <c r="G85" s="22"/>
      <c r="H85" s="22"/>
      <c r="I85" s="22"/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</row>
    <row r="89" spans="1:9">
      <c r="A89" t="s">
        <v>137</v>
      </c>
      <c r="B89" s="22">
        <f>+INDEX(Sheet1!$Q$59:$Q$66,COLUMN()-COLUMN($B$84)+1)</f>
        <v>-30</v>
      </c>
      <c r="C89" s="22">
        <f>+INDEX(Sheet1!$Q$59:$Q$66,COLUMN()-COLUMN($B$84)+1)</f>
        <v>30</v>
      </c>
      <c r="D89" s="22">
        <f>+INDEX(Sheet1!$Q$59:$Q$66,COLUMN()-COLUMN($B$84)+1)</f>
        <v>0</v>
      </c>
      <c r="E89" s="22">
        <f>+INDEX(Sheet1!$Q$59:$Q$66,COLUMN()-COLUMN($B$84)+1)</f>
        <v>45</v>
      </c>
      <c r="F89" s="22"/>
      <c r="G89" s="22"/>
      <c r="H89" s="22"/>
      <c r="I89" s="22"/>
    </row>
    <row r="90" spans="1:9">
      <c r="A90" t="s">
        <v>138</v>
      </c>
      <c r="B90" s="22">
        <f>+INDEX(Sheet1!$R$59:$R$66,COLUMN()-COLUMN($B$84)+1)</f>
        <v>10</v>
      </c>
      <c r="C90" s="22">
        <f>+INDEX(Sheet1!$R$59:$R$66,COLUMN()-COLUMN($B$84)+1)</f>
        <v>10</v>
      </c>
      <c r="D90" s="22">
        <f>+INDEX(Sheet1!$R$59:$R$66,COLUMN()-COLUMN($B$84)+1)</f>
        <v>10</v>
      </c>
      <c r="E90" s="22">
        <f>+INDEX(Sheet1!$R$59:$R$66,COLUMN()-COLUMN($B$84)+1)</f>
        <v>10</v>
      </c>
      <c r="F90" s="22"/>
      <c r="G90" s="22"/>
      <c r="H90" s="22"/>
      <c r="I90" s="22"/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69" zoomScale="75" zoomScaleNormal="75" workbookViewId="0">
      <selection activeCell="F83" sqref="F83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279</v>
      </c>
    </row>
    <row r="34" spans="1:9">
      <c r="A34" t="s">
        <v>280</v>
      </c>
    </row>
    <row r="35" spans="1:9">
      <c r="A35" t="s">
        <v>269</v>
      </c>
      <c r="B35" t="s">
        <v>281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-2.3944444444444444</v>
      </c>
      <c r="E50" s="40">
        <f>+INDEX(Sheet1!$K$70:$K$77,COLUMN()-COLUMN($B$81)+1)</f>
        <v>-2.4888888888888889</v>
      </c>
      <c r="F50" s="40">
        <f>+INDEX(Sheet1!$K$70:$K$77,COLUMN()-COLUMN($B$81)+1)</f>
        <v>-2.5777777777777779</v>
      </c>
      <c r="G50" s="40">
        <f>+INDEX(Sheet1!$K$70:$K$77,COLUMN()-COLUMN($B$81)+1)</f>
        <v>-2.5555555555555554</v>
      </c>
      <c r="H50" s="40">
        <f>+INDEX(Sheet1!$K$70:$K$77,COLUMN()-COLUMN($B$81)+1)</f>
        <v>-2.4611111111111112</v>
      </c>
      <c r="I50" s="40">
        <f>+INDEX(Sheet1!$K$70:$K$77,COLUMN()-COLUMN($B$81)+1)</f>
        <v>-2.4555555555555557</v>
      </c>
    </row>
    <row r="51" spans="1:9">
      <c r="A51" t="s">
        <v>224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-190.85846867749422</v>
      </c>
      <c r="E51" s="40">
        <f>+INDEX(Sheet1!$D$70:$D$77,COLUMN()-COLUMN($B$81)+1)</f>
        <v>-90</v>
      </c>
      <c r="F51" s="40">
        <f>+INDEX(Sheet1!$D$70:$D$77,COLUMN()-COLUMN($B$81)+1)</f>
        <v>-190.86206896551724</v>
      </c>
      <c r="G51" s="40">
        <f>+INDEX(Sheet1!$D$70:$D$77,COLUMN()-COLUMN($B$81)+1)</f>
        <v>-91.956521739130437</v>
      </c>
      <c r="H51" s="40">
        <f>+INDEX(Sheet1!$D$70:$D$77,COLUMN()-COLUMN($B$81)+1)</f>
        <v>-202.75395033860045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26</v>
      </c>
      <c r="E81" s="22">
        <f>+INDEX(Sheet1!$L$70:$L$77,COLUMN()-COLUMN($B$79)+1)</f>
        <v>224</v>
      </c>
      <c r="F81" s="22">
        <f>+INDEX(Sheet1!$L$70:$L$77,COLUMN()-COLUMN($B$79)+1)</f>
        <v>28</v>
      </c>
      <c r="G81" s="22">
        <f>+INDEX(Sheet1!$L$70:$L$77,COLUMN()-COLUMN($B$79)+1)</f>
        <v>235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68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Left_arm!B82</f>
        <v>2536.625</v>
      </c>
      <c r="C38">
        <f>Left_arm!C82</f>
        <v>2425.15</v>
      </c>
      <c r="D38">
        <f>Left_arm!D82</f>
        <v>3456.0093749999992</v>
      </c>
      <c r="E38">
        <f>Left_arm!E82</f>
        <v>2143.0500000000002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Right_arm!B80</f>
        <v>3</v>
      </c>
      <c r="C48">
        <f>Right_arm!C80</f>
        <v>3</v>
      </c>
      <c r="D48">
        <f>Right_arm!D80</f>
        <v>3</v>
      </c>
      <c r="E48">
        <f>Right_arm!E80</f>
        <v>3</v>
      </c>
      <c r="F48">
        <f>Right_arm!F80</f>
        <v>0</v>
      </c>
      <c r="G48">
        <f>Right_arm!G80</f>
        <v>0</v>
      </c>
      <c r="H48">
        <f>Right_arm!H80</f>
        <v>0</v>
      </c>
      <c r="I48">
        <f>Right_arm!I80</f>
        <v>0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Right_arm!B81</f>
        <v>1706.25</v>
      </c>
      <c r="C49">
        <f>Right_arm!C81</f>
        <v>853.125</v>
      </c>
      <c r="D49">
        <f>Right_arm!D81</f>
        <v>2795.3173076923076</v>
      </c>
      <c r="E49">
        <f>Right_arm!E81</f>
        <v>2558</v>
      </c>
      <c r="F49">
        <f>Right_arm!F81</f>
        <v>0</v>
      </c>
      <c r="G49">
        <f>Right_arm!G81</f>
        <v>0</v>
      </c>
      <c r="H49">
        <f>Right_arm!H81</f>
        <v>0</v>
      </c>
      <c r="I49">
        <f>Right_arm!I81</f>
        <v>0</v>
      </c>
      <c r="J49">
        <f>Right_hand!B81</f>
        <v>511.8</v>
      </c>
      <c r="K49">
        <f>Right_hand!C81</f>
        <v>230</v>
      </c>
      <c r="L49">
        <f>Right_hand!D81</f>
        <v>26</v>
      </c>
      <c r="M49">
        <f>Right_hand!E81</f>
        <v>224</v>
      </c>
      <c r="N49">
        <f>Right_hand!F81</f>
        <v>28</v>
      </c>
      <c r="O49">
        <f>Right_hand!G81</f>
        <v>235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Right_arm!B82</f>
        <v>10</v>
      </c>
      <c r="C50">
        <f>Right_arm!C82</f>
        <v>10</v>
      </c>
      <c r="D50">
        <f>Right_arm!D82</f>
        <v>10</v>
      </c>
      <c r="E50">
        <f>Right_arm!E82</f>
        <v>10</v>
      </c>
      <c r="F50">
        <f>Right_arm!F82</f>
        <v>0</v>
      </c>
      <c r="G50">
        <f>Right_arm!G82</f>
        <v>0</v>
      </c>
      <c r="H50">
        <f>Right_arm!H82</f>
        <v>0</v>
      </c>
      <c r="I50">
        <f>Right_arm!I82</f>
        <v>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Right_arm!B83</f>
        <v>1638</v>
      </c>
      <c r="C51">
        <f>Right_arm!C83</f>
        <v>492.53749999999997</v>
      </c>
      <c r="D51">
        <f>Right_arm!D83</f>
        <v>2905.1750000000002</v>
      </c>
      <c r="E51">
        <f>Right_arm!E83</f>
        <v>485.71249999999986</v>
      </c>
      <c r="F51">
        <f>Right_arm!F83</f>
        <v>0</v>
      </c>
      <c r="G51">
        <f>Right_arm!G83</f>
        <v>0</v>
      </c>
      <c r="H51">
        <f>Right_arm!H83</f>
        <v>0</v>
      </c>
      <c r="I51">
        <f>Right_arm!I83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Right_arm!B84</f>
        <v>-30</v>
      </c>
      <c r="C55">
        <f>Right_arm!C84</f>
        <v>30</v>
      </c>
      <c r="D55">
        <f>Right_arm!D84</f>
        <v>0</v>
      </c>
      <c r="E55">
        <f>Right_arm!E84</f>
        <v>45</v>
      </c>
      <c r="F55">
        <f>Right_arm!F84</f>
        <v>0</v>
      </c>
      <c r="G55">
        <f>Right_arm!G84</f>
        <v>0</v>
      </c>
      <c r="H55">
        <f>Right_arm!H84</f>
        <v>0</v>
      </c>
      <c r="I55">
        <f>Right_arm!I84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Right_arm!B85</f>
        <v>10</v>
      </c>
      <c r="C56">
        <f>Right_arm!C85</f>
        <v>10</v>
      </c>
      <c r="D56">
        <f>Right_arm!D85</f>
        <v>10</v>
      </c>
      <c r="E56">
        <f>Right_arm!E85</f>
        <v>10</v>
      </c>
      <c r="F56">
        <f>Right_arm!F85</f>
        <v>0</v>
      </c>
      <c r="G56">
        <f>Right_arm!G85</f>
        <v>0</v>
      </c>
      <c r="H56">
        <f>Right_arm!H85</f>
        <v>0</v>
      </c>
      <c r="I56">
        <f>Right_arm!I85</f>
        <v>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Utente</cp:lastModifiedBy>
  <dcterms:created xsi:type="dcterms:W3CDTF">2009-11-13T07:16:58Z</dcterms:created>
  <dcterms:modified xsi:type="dcterms:W3CDTF">2010-03-19T15:31:44Z</dcterms:modified>
</cp:coreProperties>
</file>