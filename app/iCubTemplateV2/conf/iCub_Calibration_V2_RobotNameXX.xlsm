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E65" i="1"/>
  <c r="E64"/>
  <c r="F64" s="1"/>
  <c r="N64" s="1"/>
  <c r="F65"/>
  <c r="N65" s="1"/>
  <c r="L65"/>
  <c r="L64"/>
  <c r="F80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81" i="9"/>
  <c r="C62" i="8" s="1"/>
  <c r="D81" i="9"/>
  <c r="D62" i="8" s="1"/>
  <c r="E81" i="9"/>
  <c r="E62" i="8" s="1"/>
  <c r="F81" i="9"/>
  <c r="F62" i="8" s="1"/>
  <c r="G81" i="9"/>
  <c r="G62" i="8" s="1"/>
  <c r="B81" i="9"/>
  <c r="B62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<sst xmlns="http://schemas.openxmlformats.org/spreadsheetml/2006/main" count="874" uniqueCount="303">
  <si>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</si>
  <si>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</si>
  <si>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</si>
  <si>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</si>
  <si>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</si>
  <si>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</si>
  <si>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</si>
  <si>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</si>
  <si>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</si>
  <si>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</si>
  <si>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</si>
  <si>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</si>
  <si>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</si>
  <si>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</si>
  <si>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</si>
  <si>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</si>
  <si>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</si>
  <si>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</si>
  <si>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</si>
  <si>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</si>
  <si>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</si>
  <si>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</si>
  <si>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</si>
  <si>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</si>
  <si>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</si>
  <si>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</si>
  <si>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</si>
  <si>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</si>
  <si>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</si>
  <si>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</si>
  <si>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</si>
  <si>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</si>
  <si>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</si>
  <si>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</si>
  <si>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</si>
  <si>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</si>
  <si>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</si>
  <si>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</si>
  <si>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</si>
  <si>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</si>
  <si>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</si>
  <si>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</si>
  <si>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</si>
  <si>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</si>
  <si>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</si>
  <si>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</si>
  <si>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</si>
  <si>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</si>
  <si>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</si>
  <si>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</si>
  <si>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</si>
  <si>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</si>
  <si>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</si>
  <si>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</si>
  <si>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</si>
  <si>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</si>
  <si>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</si>
  <si>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</si>
  <si>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</si>
  <si>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</si>
  <si>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</si>
  <si>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</si>
  <si>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</si>
  <si>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</si>
  <si>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</si>
  <si>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</si>
  <si>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</si>
  <si>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</si>
  <si>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</si>
  <si>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</si>
  <si>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</si>
  <si>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</si>
  <si>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</si>
  <si>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</si>
  <si>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</si>
  <si>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</si>
  <si>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</si>
  <si>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</si>
  <si>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</si>
  <si>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</si>
  <si>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</si>
  <si>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</si>
  <si>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</si>
  <si>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</si>
  <si>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</si>
  <si>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</si>
  <si>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</si>
  <si>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</si>
  <si>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</si>
  <si>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</si>
  <si>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</si>
  <si>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</si>
  <si>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</si>
  <si>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</si>
  <si>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</si>
  <si>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</si>
  <si>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</si>
  <si>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</si>
  <si>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</si>
  <si>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</si>
  <si>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</si>
  <si>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</si>
  <si>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</si>
  <si>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</si>
  <si>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</si>
  <si>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</si>
  <si>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</si>
  <si>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</si>
  <si>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</si>
  <si>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</si>
  <si>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</si>
  <si>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</si>
  <si>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</si>
  <si>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</si>
  <si>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</si>
  <si>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</si>
  <si>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</si>
  <si>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</si>
  <si>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</si>
  <si>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</si>
  <si>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</si>
  <si>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</si>
  <si>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</si>
  <si>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</si>
  <si>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</si>
  <si>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</si>
  <si>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</si>
  <si>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</si>
  <si>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</si>
  <si>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</si>
  <si>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</si>
  <si>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</si>
  <si>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</si>
  <si>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</si>
  <si>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</si>
  <si>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</si>
  <si>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</si>
  <si>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</si>
  <si>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</si>
  <si>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</si>
  <si>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</si>
  <si>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</si>
  <si>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</si>
  <si>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</si>
  <si>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</si>
  <si>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</si>
  <si>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</si>
  <si>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</si>
  <si>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</si>
  <si>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</si>
  <si>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</si>
  <si>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</si>
  <si>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</si>
  <si>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</si>
  <si>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</si>
  <si>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</si>
  <si>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</si>
  <si>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</si>
  <si>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</si>
  <si>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</si>
  <si>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</si>
  <si>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</si>
  <si>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</si>
  <si>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</si>
  <si>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</si>
  <si>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</si>
  <si>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</si>
  <si>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</si>
  <si>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</si>
  <si>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</si>
  <si>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</si>
  <si>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</si>
  <si>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</si>
  <si>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</si>
  <si>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</si>
  <si>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</si>
  <si>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</si>
  <si>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</si>
  <si>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</si>
  <si>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</si>
  <si>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</si>
  <si>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</si>
  <si>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</si>
  <si>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</si>
  <si>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</si>
  <si>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</si>
  <si>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</si>
  <si>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</si>
  <si>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</si>
  <si>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</si>
  <si>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</si>
  <si>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</si>
  <si>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</si>
  <si>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</si>
  <si>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</si>
  <si>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</si>
  <si>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</si>
  <si>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</si>
  <si>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</si>
  <si>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</si>
  <si>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</si>
  <si>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</si>
  <si>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</si>
  <si>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</si>
  <si>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</si>
  <si>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</si>
  <si>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</si>
  <si>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</si>
  <si>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</si>
  <si>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</si>
  <si>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</si>
  <si>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</si>
  <si>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</si>
  <si>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</si>
  <si>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</si>
  <si>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</si>
  <si>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</si>
  <si>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</si>
  <si>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</si>
  <si>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</si>
  <si>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</si>
  <si>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</si>
  <si>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</si>
  <si>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</si>
  <si>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</si>
  <si>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</si>
  <si>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</si>
  <si>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</si>
  <si>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</si>
  <si>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</si>
  <si>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</si>
  <si>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</si>
  <si>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</si>
  <si>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</si>
  <si>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</si>
  <si>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</si>
  <si>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</si>
  <si>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</si>
  <si>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</si>
  <si>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</si>
  <si>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</si>
  <si>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</si>
  <si>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</si>
  <si>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</si>
  <si>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</si>
  <si>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</si>
  <si>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</si>
  <si>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</si>
  <si>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</si>
  <si>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</si>
  <si>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</si>
  <si>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</si>
  <si>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</si>
  <si>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</si>
  <si>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</si>
  <si>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</si>
  <si>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</si>
  <si>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</si>
  <si>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</si>
  <si>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</si>
  <si>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</si>
  <si>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</si>
  <si>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</si>
  <si>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</si>
  <si>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</si>
  <si>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</si>
  <si>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</si>
  <si>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</si>
  <si>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</si>
  <si>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</si>
  <si>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</si>
  <si>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</si>
  <si>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</si>
  <si>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</si>
  <si>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</si>
  <si>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</si>
  <si>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</si>
  <si>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</si>
  <si>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</si>
  <si>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</si>
  <si>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</si>
  <si>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</si>
  <si>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</si>
  <si>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</si>
  <si>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</si>
  <si>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</si>
  <si>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</si>
  <si>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</si>
  <si>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</si>
  <si>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</si>
  <si>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</si>
  <si>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</si>
  <si>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</si>
  <si>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</si>
  <si>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</si>
  <si>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</si>
  <si>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</si>
  <si>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</si>
  <si>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</si>
  <si>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</si>
  <si>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</si>
  <si>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D:\icub\app\iCubTemplateV2\conf</t>
  </si>
  <si>
    <t xml:space="preserve"> //instead of 6 per ora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</si>
</sst>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7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6" borderId="14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53" zoomScale="70" zoomScaleNormal="70" workbookViewId="0">
      <selection activeCell="L64" sqref="L6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297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-180</v>
      </c>
      <c r="E50" s="31"/>
      <c r="F50" s="31"/>
      <c r="G50" s="68">
        <v>0</v>
      </c>
      <c r="H50" s="68">
        <v>180</v>
      </c>
      <c r="I50" s="77">
        <v>450</v>
      </c>
      <c r="J50" s="77">
        <v>0</v>
      </c>
      <c r="K50" s="27">
        <f t="shared" si="5"/>
        <v>-2.5</v>
      </c>
      <c r="L50" s="68">
        <f>J50</f>
        <v>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96">
        <v>221</v>
      </c>
      <c r="D64" s="24">
        <v>180</v>
      </c>
      <c r="E64" s="65">
        <f>(ABS(C64)-ABS(D64))</f>
        <v>41</v>
      </c>
      <c r="F64" s="65">
        <f t="shared" ref="F64:F65" si="7">IF(E64&gt;=0,(E64*11.375),(360+E64)*11.375)</f>
        <v>466.375</v>
      </c>
      <c r="G64" s="72">
        <v>-90</v>
      </c>
      <c r="H64" s="72">
        <v>25</v>
      </c>
      <c r="I64" s="31"/>
      <c r="J64" s="31"/>
      <c r="K64" s="51">
        <v>11.375</v>
      </c>
      <c r="L64" s="68">
        <f t="shared" ref="L64:L65" si="8">D64*K64</f>
        <v>2047.5</v>
      </c>
      <c r="M64" s="63">
        <v>10</v>
      </c>
      <c r="N64" s="63">
        <f t="shared" ref="N64:N65" si="9">+F64</f>
        <v>466.375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96">
        <v>241</v>
      </c>
      <c r="D65" s="24">
        <v>180</v>
      </c>
      <c r="E65" s="65">
        <f>(ABS(C65)-ABS(D65))</f>
        <v>61</v>
      </c>
      <c r="F65" s="65">
        <f t="shared" si="7"/>
        <v>693.875</v>
      </c>
      <c r="G65" s="72">
        <v>-20</v>
      </c>
      <c r="H65" s="72">
        <v>40</v>
      </c>
      <c r="I65" s="31"/>
      <c r="J65" s="31"/>
      <c r="K65" s="51">
        <v>11.375</v>
      </c>
      <c r="L65" s="68">
        <f t="shared" si="8"/>
        <v>2047.5</v>
      </c>
      <c r="M65" s="63">
        <v>10</v>
      </c>
      <c r="N65" s="63">
        <f t="shared" si="9"/>
        <v>693.875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14.513788098693757</v>
      </c>
      <c r="E66" s="31"/>
      <c r="F66" s="31"/>
      <c r="G66" s="63">
        <v>0</v>
      </c>
      <c r="H66" s="63">
        <v>60</v>
      </c>
      <c r="I66" s="77">
        <v>500</v>
      </c>
      <c r="J66" s="77">
        <v>2567</v>
      </c>
      <c r="K66" s="51">
        <f>(J66-I66)/(H66-G66)</f>
        <v>34.450000000000003</v>
      </c>
      <c r="L66" s="63">
        <f>ABS(+D66*K66)</f>
        <v>500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19.285714285714285</v>
      </c>
      <c r="E70" s="31"/>
      <c r="F70" s="31"/>
      <c r="G70" s="68">
        <v>0</v>
      </c>
      <c r="H70" s="68">
        <v>90</v>
      </c>
      <c r="I70" s="77">
        <v>480</v>
      </c>
      <c r="J70" s="77">
        <v>2720</v>
      </c>
      <c r="K70" s="27">
        <f t="shared" ref="K70:K77" si="10">(J70-I70)/(H70-G70)</f>
        <v>24.888888888888889</v>
      </c>
      <c r="L70" s="63">
        <f>ABS(D70*K70)</f>
        <v>480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11">-G71+(+I71/K71)</f>
        <v>-94.072398190045249</v>
      </c>
      <c r="E71" s="31"/>
      <c r="F71" s="31"/>
      <c r="G71" s="68">
        <v>0</v>
      </c>
      <c r="H71" s="68">
        <v>90</v>
      </c>
      <c r="I71" s="77">
        <v>231</v>
      </c>
      <c r="J71" s="77">
        <v>10</v>
      </c>
      <c r="K71" s="27">
        <f t="shared" si="10"/>
        <v>-2.4555555555555557</v>
      </c>
      <c r="L71" s="68">
        <f>I71</f>
        <v>231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11"/>
        <v>-180</v>
      </c>
      <c r="E72" s="31"/>
      <c r="F72" s="31"/>
      <c r="G72" s="68">
        <v>0</v>
      </c>
      <c r="H72" s="68">
        <v>180</v>
      </c>
      <c r="I72" s="77">
        <v>455</v>
      </c>
      <c r="J72" s="77">
        <v>0</v>
      </c>
      <c r="K72" s="27">
        <f t="shared" si="10"/>
        <v>-2.5277777777777777</v>
      </c>
      <c r="L72" s="68">
        <f>+J72</f>
        <v>0</v>
      </c>
      <c r="M72" s="68">
        <v>30</v>
      </c>
      <c r="N72" s="68">
        <v>6800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11"/>
        <v>-94.072398190045249</v>
      </c>
      <c r="E73" s="31"/>
      <c r="F73" s="31"/>
      <c r="G73" s="68">
        <v>0</v>
      </c>
      <c r="H73" s="68">
        <v>90</v>
      </c>
      <c r="I73" s="77">
        <v>231</v>
      </c>
      <c r="J73" s="77">
        <v>10</v>
      </c>
      <c r="K73" s="27">
        <f t="shared" si="10"/>
        <v>-2.4555555555555557</v>
      </c>
      <c r="L73" s="68">
        <f>I73</f>
        <v>231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11"/>
        <v>-183.97350993377484</v>
      </c>
      <c r="E74" s="31"/>
      <c r="F74" s="31"/>
      <c r="G74" s="68">
        <v>0</v>
      </c>
      <c r="H74" s="68">
        <v>180</v>
      </c>
      <c r="I74" s="77">
        <v>463</v>
      </c>
      <c r="J74" s="77">
        <v>10</v>
      </c>
      <c r="K74" s="27">
        <f t="shared" si="10"/>
        <v>-2.5166666666666666</v>
      </c>
      <c r="L74" s="68">
        <f>+J74</f>
        <v>10</v>
      </c>
      <c r="M74" s="68">
        <v>10</v>
      </c>
      <c r="N74" s="68">
        <v>-7200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11"/>
        <v>-93.94736842105263</v>
      </c>
      <c r="E75" s="31"/>
      <c r="F75" s="31"/>
      <c r="G75" s="68">
        <v>0</v>
      </c>
      <c r="H75" s="68">
        <v>90</v>
      </c>
      <c r="I75" s="77">
        <v>238</v>
      </c>
      <c r="J75" s="77">
        <v>10</v>
      </c>
      <c r="K75" s="27">
        <f t="shared" si="10"/>
        <v>-2.5333333333333332</v>
      </c>
      <c r="L75" s="68">
        <f>I75</f>
        <v>238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11"/>
        <v>-192.91866028708134</v>
      </c>
      <c r="E76" s="31"/>
      <c r="F76" s="31"/>
      <c r="G76" s="68">
        <v>0</v>
      </c>
      <c r="H76" s="68">
        <v>180</v>
      </c>
      <c r="I76" s="77">
        <v>448</v>
      </c>
      <c r="J76" s="77">
        <v>30</v>
      </c>
      <c r="K76" s="27">
        <f t="shared" si="10"/>
        <v>-2.3222222222222224</v>
      </c>
      <c r="L76" s="68">
        <f>J76</f>
        <v>30</v>
      </c>
      <c r="M76" s="68">
        <v>10</v>
      </c>
      <c r="N76" s="68">
        <v>6920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11"/>
        <v>-310.5</v>
      </c>
      <c r="E77" s="31"/>
      <c r="F77" s="31"/>
      <c r="G77" s="68">
        <v>0</v>
      </c>
      <c r="H77" s="68">
        <v>270</v>
      </c>
      <c r="I77" s="77">
        <v>690</v>
      </c>
      <c r="J77" s="77">
        <v>90</v>
      </c>
      <c r="K77" s="27">
        <f t="shared" si="10"/>
        <v>-2.2222222222222223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283</v>
      </c>
      <c r="C99" s="78" t="s">
        <v>284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282</v>
      </c>
      <c r="C100" s="78" t="s">
        <v>288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287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286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285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296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67" zoomScaleNormal="100" workbookViewId="0">
      <selection activeCell="F82" sqref="F8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J56" t="s">
        <v>290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D35" sqref="D3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300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-2.5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-180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6" zoomScale="85" zoomScaleNormal="85" workbookViewId="0">
      <selection activeCell="K81" sqref="K81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11.375</v>
      </c>
      <c r="H49" s="21">
        <f>+INDEX(Sheet1!$K$59:$K$67,COLUMN()-COLUMN($B$83)+1)</f>
        <v>11.375</v>
      </c>
      <c r="I49" s="21">
        <f>+INDEX(Sheet1!$K$59:$K$67,COLUMN()-COLUMN($B$83)+1)</f>
        <v>34.450000000000003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180</v>
      </c>
      <c r="H50" s="21">
        <f>+INDEX(Sheet1!$D$59:$D$66,COLUMN()-COLUMN($B$83)+1)++INDEX(Sheet1!$S$59:$S$66,COLUMN()-COLUMN($B$83)+1)</f>
        <v>180</v>
      </c>
      <c r="I50" s="21">
        <f>+INDEX(Sheet1!$D$59:$D$66,COLUMN()-COLUMN($B$83)+1)++INDEX(Sheet1!$S$59:$S$66,COLUMN()-COLUMN($B$83)+1)</f>
        <v>14.513788098693757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25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-100</v>
      </c>
      <c r="C74">
        <v>-100</v>
      </c>
      <c r="D74">
        <v>-2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2047.5</v>
      </c>
      <c r="H80" s="21">
        <f>+INDEX(Sheet1!$L$59:$L$66,COLUMN()-COLUMN($B$83)+1)</f>
        <v>2047.5</v>
      </c>
      <c r="I80" s="21">
        <f>+INDEX(Sheet1!$L$59:$L$66,COLUMN()-COLUMN($B$83)+1)</f>
        <v>500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466.375</v>
      </c>
      <c r="H82" s="21">
        <f>+INDEX(Sheet1!$N$59:$N$66,COLUMN()-COLUMN($B$83)+1)</f>
        <v>693.875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73" zoomScaleNormal="100" workbookViewId="0">
      <selection activeCell="B83" sqref="B83:I83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0</v>
      </c>
      <c r="C16" t="s">
        <v>302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300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24.888888888888889</v>
      </c>
      <c r="C50" s="34">
        <f>+INDEX(Sheet1!$K$70:$K$77,COLUMN()-COLUMN($B$81)+1)</f>
        <v>-2.4555555555555557</v>
      </c>
      <c r="D50" s="34">
        <f>+INDEX(Sheet1!$K$70:$K$77,COLUMN()-COLUMN($B$81)+1)</f>
        <v>-2.5277777777777777</v>
      </c>
      <c r="E50" s="34">
        <f>+INDEX(Sheet1!$K$70:$K$77,COLUMN()-COLUMN($B$81)+1)</f>
        <v>-2.4555555555555557</v>
      </c>
      <c r="F50" s="34">
        <f>+INDEX(Sheet1!$K$70:$K$77,COLUMN()-COLUMN($B$81)+1)</f>
        <v>-2.5166666666666666</v>
      </c>
      <c r="G50" s="34">
        <f>+INDEX(Sheet1!$K$70:$K$77,COLUMN()-COLUMN($B$81)+1)</f>
        <v>-2.5333333333333332</v>
      </c>
      <c r="H50" s="34">
        <f>+INDEX(Sheet1!$K$70:$K$77,COLUMN()-COLUMN($B$81)+1)</f>
        <v>-2.3222222222222224</v>
      </c>
      <c r="I50" s="34">
        <f>+INDEX(Sheet1!$K$70:$K$77,COLUMN()-COLUMN($B$81)+1)</f>
        <v>-2.2222222222222223</v>
      </c>
    </row>
    <row r="51" spans="1:9">
      <c r="A51" t="s">
        <v>214</v>
      </c>
      <c r="B51" s="34">
        <f>+INDEX(Sheet1!$D$70:$D$77,COLUMN()-COLUMN($B$81)+1)++INDEX(Sheet1!$S$70:$S$77,COLUMN()-COLUMN($B$81)+1)</f>
        <v>19.285714285714285</v>
      </c>
      <c r="C51" s="34">
        <f>+INDEX(Sheet1!$D$70:$D$77,COLUMN()-COLUMN($B$81)+1)++INDEX(Sheet1!$S$70:$S$77,COLUMN()-COLUMN($B$81)+1)</f>
        <v>-94.072398190045249</v>
      </c>
      <c r="D51" s="34">
        <f>+INDEX(Sheet1!$D$70:$D$77,COLUMN()-COLUMN($B$81)+1)++INDEX(Sheet1!$S$70:$S$77,COLUMN()-COLUMN($B$81)+1)</f>
        <v>-180</v>
      </c>
      <c r="E51" s="34">
        <f>+INDEX(Sheet1!$D$70:$D$77,COLUMN()-COLUMN($B$81)+1)++INDEX(Sheet1!$S$70:$S$77,COLUMN()-COLUMN($B$81)+1)</f>
        <v>-94.072398190045249</v>
      </c>
      <c r="F51" s="34">
        <f>+INDEX(Sheet1!$D$70:$D$77,COLUMN()-COLUMN($B$81)+1)++INDEX(Sheet1!$S$70:$S$77,COLUMN()-COLUMN($B$81)+1)</f>
        <v>-183.97350993377484</v>
      </c>
      <c r="G51" s="34">
        <f>+INDEX(Sheet1!$D$70:$D$77,COLUMN()-COLUMN($B$81)+1)++INDEX(Sheet1!$S$70:$S$77,COLUMN()-COLUMN($B$81)+1)</f>
        <v>-93.94736842105263</v>
      </c>
      <c r="H51" s="34">
        <f>+INDEX(Sheet1!$D$70:$D$77,COLUMN()-COLUMN($B$81)+1)++INDEX(Sheet1!$S$70:$S$77,COLUMN()-COLUMN($B$81)+1)</f>
        <v>-192.91866028708134</v>
      </c>
      <c r="I51" s="34">
        <f>+INDEX(Sheet1!$D$70:$D$77,COLUMN()-COLUMN($B$81)+1)++INDEX(Sheet1!$S$70:$S$77,COLUMN()-COLUMN($B$81)+1)</f>
        <v>-310.5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120</v>
      </c>
      <c r="C76">
        <v>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480</v>
      </c>
      <c r="C81" s="21">
        <f>+INDEX(Sheet1!$L$70:$L$77,COLUMN()-COLUMN($B$79)+1)</f>
        <v>231</v>
      </c>
      <c r="D81" s="21">
        <f>+INDEX(Sheet1!$L$70:$L$77,COLUMN()-COLUMN($B$79)+1)</f>
        <v>0</v>
      </c>
      <c r="E81" s="21">
        <f>+INDEX(Sheet1!$L$70:$L$77,COLUMN()-COLUMN($B$79)+1)</f>
        <v>231</v>
      </c>
      <c r="F81" s="21">
        <f>+INDEX(Sheet1!$L$70:$L$77,COLUMN()-COLUMN($B$79)+1)</f>
        <v>10</v>
      </c>
      <c r="G81" s="21">
        <f>+INDEX(Sheet1!$L$70:$L$77,COLUMN()-COLUMN($B$79)+1)</f>
        <v>238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6800</v>
      </c>
      <c r="E83" s="21">
        <f>+INDEX(Sheet1!$N$70:$N$77,COLUMN()-COLUMN($B$79)+1)</f>
        <v>6000</v>
      </c>
      <c r="F83" s="21">
        <f>+INDEX(Sheet1!$N$70:$N$77,COLUMN()-COLUMN($B$79)+1)</f>
        <v>-7200</v>
      </c>
      <c r="G83" s="21">
        <f>+INDEX(Sheet1!$N$70:$N$77,COLUMN()-COLUMN($B$79)+1)</f>
        <v>6000</v>
      </c>
      <c r="H83" s="21">
        <f>+INDEX(Sheet1!$N$70:$N$77,COLUMN()-COLUMN($B$79)+1)</f>
        <v>6920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3</v>
      </c>
      <c r="H35">
        <f>Left_arm!H79</f>
        <v>3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3</v>
      </c>
      <c r="H48">
        <f>Right_arm!H79</f>
        <v>3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2047.5</v>
      </c>
      <c r="H49">
        <f>Right_arm!H80</f>
        <v>2047.5</v>
      </c>
      <c r="I49">
        <f>Right_arm!I80</f>
        <v>500</v>
      </c>
      <c r="J49">
        <f>Right_hand!B81</f>
        <v>480</v>
      </c>
      <c r="K49">
        <f>Right_hand!C81</f>
        <v>231</v>
      </c>
      <c r="L49">
        <f>Right_hand!D81</f>
        <v>0</v>
      </c>
      <c r="M49">
        <f>Right_hand!E81</f>
        <v>231</v>
      </c>
      <c r="N49">
        <f>Right_hand!F81</f>
        <v>10</v>
      </c>
      <c r="O49">
        <f>Right_hand!G81</f>
        <v>238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466.375</v>
      </c>
      <c r="H51">
        <f>Right_arm!H82</f>
        <v>693.875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6800</v>
      </c>
      <c r="M51">
        <f>Right_hand!E83</f>
        <v>6000</v>
      </c>
      <c r="N51">
        <f>Right_hand!F83</f>
        <v>-7200</v>
      </c>
      <c r="O51">
        <f>Right_hand!G83</f>
        <v>6000</v>
      </c>
      <c r="P51">
        <f>Right_hand!H83</f>
        <v>6920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291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292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293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2010-05-10T07:28:43Z</dcterms:modified>
</cp:coreProperties>
</file>