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E65" i="1"/>
  <c r="E64"/>
  <c r="F64" s="1"/>
  <c r="N64" s="1"/>
  <c r="F65"/>
  <c r="N65" s="1"/>
  <c r="L65"/>
  <c r="L64"/>
  <c r="F80" i="5"/>
  <c r="F80" i="3"/>
  <c r="C61" i="8"/>
  <c r="D61"/>
  <c r="E61"/>
  <c r="F61"/>
  <c r="G61"/>
  <c r="B61"/>
  <c r="C90" i="9"/>
  <c r="D90"/>
  <c r="E90"/>
  <c r="F90"/>
  <c r="G90"/>
  <c r="B90"/>
  <c r="G89"/>
  <c r="C89"/>
  <c r="D89"/>
  <c r="E89"/>
  <c r="F89"/>
  <c r="B89"/>
  <c r="C85"/>
  <c r="C69" i="8" s="1"/>
  <c r="D85" i="9"/>
  <c r="D69" i="8" s="1"/>
  <c r="E85" i="9"/>
  <c r="E69" i="8" s="1"/>
  <c r="F85" i="9"/>
  <c r="F69" i="8" s="1"/>
  <c r="G85" i="9"/>
  <c r="G69" i="8" s="1"/>
  <c r="B85" i="9"/>
  <c r="B69" i="8" s="1"/>
  <c r="C84" i="9"/>
  <c r="C68" i="8" s="1"/>
  <c r="D84" i="9"/>
  <c r="D68" i="8" s="1"/>
  <c r="E84" i="9"/>
  <c r="E68" i="8" s="1"/>
  <c r="F84" i="9"/>
  <c r="F68" i="8" s="1"/>
  <c r="G84" i="9"/>
  <c r="G68" i="8" s="1"/>
  <c r="B84" i="9"/>
  <c r="B68" i="8" s="1"/>
  <c r="C82" i="9"/>
  <c r="C63" i="8" s="1"/>
  <c r="D82" i="9"/>
  <c r="D63" i="8" s="1"/>
  <c r="E82" i="9"/>
  <c r="E63" i="8" s="1"/>
  <c r="F82" i="9"/>
  <c r="F63" i="8" s="1"/>
  <c r="G82" i="9"/>
  <c r="G63" i="8" s="1"/>
  <c r="B82" i="9"/>
  <c r="B63" i="8" s="1"/>
  <c r="C81" i="9"/>
  <c r="C62" i="8" s="1"/>
  <c r="D81" i="9"/>
  <c r="D62" i="8" s="1"/>
  <c r="E81" i="9"/>
  <c r="E62" i="8" s="1"/>
  <c r="F81" i="9"/>
  <c r="F62" i="8" s="1"/>
  <c r="G81" i="9"/>
  <c r="G62" i="8" s="1"/>
  <c r="B81" i="9"/>
  <c r="B62" i="8" s="1"/>
  <c r="C63" i="9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B80" i="8" s="1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 l="1"/>
  <c r="D50" i="4" s="1"/>
  <c r="G83" i="9"/>
  <c r="G64" i="8" s="1"/>
  <c r="F83" i="9"/>
  <c r="F64" i="8" s="1"/>
  <c r="C83" i="9"/>
  <c r="C64" i="8" s="1"/>
  <c r="B83" i="9"/>
  <c r="B64" i="8" s="1"/>
  <c r="E83" i="9"/>
  <c r="E64" i="8" s="1"/>
  <c r="D83" i="9"/>
  <c r="D64" i="8" s="1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<sst xmlns="http://schemas.openxmlformats.org/spreadsheetml/2006/main" count="874" uniqueCount="303">
  <si>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</si>
  <si>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</si>
  <si>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</si>
  <si>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</si>
  <si>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</si>
  <si>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</si>
  <si>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</si>
  <si>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</si>
  <si>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</si>
  <si>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</si>
  <si>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</si>
  <si>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</si>
  <si>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</si>
  <si>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</si>
  <si>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</si>
  <si>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</si>
  <si>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</si>
  <si>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</si>
  <si>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</si>
  <si>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</si>
  <si>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</si>
  <si>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</si>
  <si>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</si>
  <si>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</si>
  <si>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</si>
  <si>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</si>
  <si>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</si>
  <si>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</si>
  <si>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</si>
  <si>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</si>
  <si>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</si>
  <si>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</si>
  <si>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</si>
  <si>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</si>
  <si>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</si>
  <si>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</si>
  <si>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</si>
  <si>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</si>
  <si>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</si>
  <si>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</si>
  <si>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</si>
  <si>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</si>
  <si>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</si>
  <si>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</si>
  <si>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</si>
  <si>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</si>
  <si>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</si>
  <si>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</si>
  <si>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</si>
  <si>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</si>
  <si>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</si>
  <si>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</si>
  <si>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</si>
  <si>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</si>
  <si>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</si>
  <si>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</si>
  <si>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</si>
  <si>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</si>
  <si>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</si>
  <si>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</si>
  <si>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</si>
  <si>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</si>
  <si>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</si>
  <si>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</si>
  <si>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</si>
  <si>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</si>
  <si>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</si>
  <si>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</si>
  <si>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</si>
  <si>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</si>
  <si>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</si>
  <si>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</si>
  <si>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</si>
  <si>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</si>
  <si>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</si>
  <si>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</si>
  <si>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</si>
  <si>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</si>
  <si>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</si>
  <si>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</si>
  <si>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</si>
  <si>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</si>
  <si>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</si>
  <si>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</si>
  <si>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</si>
  <si>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</si>
  <si>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</si>
  <si>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</si>
  <si>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</si>
  <si>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</si>
  <si>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</si>
  <si>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</si>
  <si>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</si>
  <si>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</si>
  <si>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</si>
  <si>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</si>
  <si>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</si>
  <si>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</si>
  <si>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</si>
  <si>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</si>
  <si>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</si>
  <si>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</si>
  <si>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</si>
  <si>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</si>
  <si>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</si>
  <si>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</si>
  <si>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</si>
  <si>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</si>
  <si>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</si>
  <si>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</si>
  <si>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</si>
  <si>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</si>
  <si>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</si>
  <si>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</si>
  <si>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</si>
  <si>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</si>
  <si>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</si>
  <si>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</si>
  <si>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</si>
  <si>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</si>
  <si>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</si>
  <si>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</si>
  <si>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</si>
  <si>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</si>
  <si>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</si>
  <si>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</si>
  <si>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</si>
  <si>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</si>
  <si>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</si>
  <si>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</si>
  <si>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</si>
  <si>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</si>
  <si>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</si>
  <si>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</si>
  <si>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</si>
  <si>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</si>
  <si>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</si>
  <si>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</si>
  <si>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</si>
  <si>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</si>
  <si>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</si>
  <si>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</si>
  <si>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</si>
  <si>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</si>
  <si>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</si>
  <si>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</si>
  <si>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</si>
  <si>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</si>
  <si>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</si>
  <si>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</si>
  <si>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</si>
  <si>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</si>
  <si>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</si>
  <si>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</si>
  <si>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</si>
  <si>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</si>
  <si>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</si>
  <si>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</si>
  <si>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</si>
  <si>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</si>
  <si>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</si>
  <si>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</si>
  <si>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</si>
  <si>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</si>
  <si>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</si>
  <si>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</si>
  <si>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</si>
  <si>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</si>
  <si>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</si>
  <si>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</si>
  <si>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</si>
  <si>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</si>
  <si>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</si>
  <si>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</si>
  <si>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</si>
  <si>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</si>
  <si>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</si>
  <si>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</si>
  <si>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</si>
  <si>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</si>
  <si>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</si>
  <si>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</si>
  <si>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</si>
  <si>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</si>
  <si>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</si>
  <si>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</si>
  <si>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</si>
  <si>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</si>
  <si>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</si>
  <si>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</si>
  <si>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</si>
  <si>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</si>
  <si>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</si>
  <si>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</si>
  <si>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</si>
  <si>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</si>
  <si>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</si>
  <si>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</si>
  <si>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</si>
  <si>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</si>
  <si>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</si>
  <si>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</si>
  <si>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</si>
  <si>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</si>
  <si>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</si>
  <si>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</si>
  <si>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</si>
  <si>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</si>
  <si>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</si>
  <si>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</si>
  <si>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</si>
  <si>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</si>
  <si>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</si>
  <si>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</si>
  <si>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</si>
  <si>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</si>
  <si>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</si>
  <si>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</si>
  <si>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</si>
  <si>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</si>
  <si>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</si>
  <si>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</si>
  <si>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</si>
  <si>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</si>
  <si>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</si>
  <si>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</si>
  <si>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</si>
  <si>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</si>
  <si>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</si>
  <si>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</si>
  <si>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</si>
  <si>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</si>
  <si>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</si>
  <si>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</si>
  <si>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</si>
  <si>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</si>
  <si>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</si>
  <si>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</si>
  <si>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</si>
  <si>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</si>
  <si>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</si>
  <si>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</si>
  <si>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</si>
  <si>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</si>
  <si>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</si>
  <si>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</si>
  <si>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</si>
  <si>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</si>
  <si>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</si>
  <si>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</si>
  <si>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</si>
  <si>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</si>
  <si>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</si>
  <si>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</si>
  <si>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</si>
  <si>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</si>
  <si>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</si>
  <si>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</si>
  <si>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</si>
  <si>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</si>
  <si>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</si>
  <si>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</si>
  <si>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</si>
  <si>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</si>
  <si>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</si>
  <si>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</si>
  <si>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</si>
  <si>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</si>
  <si>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</si>
  <si>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</si>
  <si>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</si>
  <si>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</si>
  <si>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</si>
  <si>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</si>
  <si>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</si>
  <si>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</si>
  <si>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</si>
  <si>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</si>
  <si>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</si>
  <si>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</si>
  <si>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</si>
  <si>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</si>
  <si>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</si>
  <si>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</si>
  <si>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</si>
  <si>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</si>
  <si>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</si>
  <si>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</si>
  <si>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</si>
  <si>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</si>
  <si>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</si>
  <si>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</si>
  <si>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</si>
  <si>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</si>
  <si>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</si>
  <si>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</si>
  <si>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</si>
  <si>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</si>
  <si>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</si>
  <si>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</si>
  <si>
    <t>SpeedMessage (0x20E 0x08 0x0A)</t>
  </si>
  <si>
    <t>D:\icub\app\iCubTemplateV2\conf</t>
  </si>
  <si>
    <t xml:space="preserve"> //instead of 6 per ora 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</si>
</sst>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8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  <xf numFmtId="164" fontId="23" fillId="26" borderId="14" xfId="0" applyNumberFormat="1" applyFont="1" applyFill="1" applyBorder="1"/>
    <xf numFmtId="2" fontId="26" fillId="26" borderId="14" xfId="0" applyNumberFormat="1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abSelected="1" topLeftCell="A59" zoomScale="70" zoomScaleNormal="70" workbookViewId="0">
      <selection activeCell="I80" sqref="I80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10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297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273</v>
      </c>
      <c r="P6" s="41" t="s">
        <v>242</v>
      </c>
      <c r="Q6" s="41" t="s">
        <v>198</v>
      </c>
      <c r="R6" s="41" t="s">
        <v>199</v>
      </c>
      <c r="S6" s="41" t="s">
        <v>272</v>
      </c>
      <c r="T6" s="41" t="s">
        <v>276</v>
      </c>
      <c r="U6" s="41" t="s">
        <v>277</v>
      </c>
      <c r="V6" s="41" t="s">
        <v>278</v>
      </c>
      <c r="W6" s="75" t="s">
        <v>279</v>
      </c>
      <c r="X6" s="75" t="s">
        <v>280</v>
      </c>
      <c r="Y6" s="75" t="s">
        <v>281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272</v>
      </c>
      <c r="T23" s="41" t="s">
        <v>276</v>
      </c>
      <c r="U23" s="41" t="s">
        <v>277</v>
      </c>
      <c r="V23" s="41" t="s">
        <v>278</v>
      </c>
      <c r="W23" s="75" t="s">
        <v>279</v>
      </c>
      <c r="X23" s="75" t="s">
        <v>280</v>
      </c>
      <c r="Y23" s="75" t="s">
        <v>281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40.1</v>
      </c>
      <c r="D30" s="24">
        <v>180</v>
      </c>
      <c r="E30" s="65">
        <f>(C30-D30)</f>
        <v>-139.9</v>
      </c>
      <c r="F30" s="65">
        <f>IF(E30&gt;=0,(E30*11.375),(360+E30)*11.375)</f>
        <v>2503.6374999999998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2503.6374999999998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51.3</v>
      </c>
      <c r="D31" s="24">
        <v>180</v>
      </c>
      <c r="E31" s="65">
        <f>(C31-D31)</f>
        <v>-128.69999999999999</v>
      </c>
      <c r="F31" s="65">
        <f>IF(E31&gt;=0,(E31*11.375),(360+E31)*11.375)</f>
        <v>2631.0374999999999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2631.0374999999999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325</v>
      </c>
      <c r="D32" s="24">
        <v>180</v>
      </c>
      <c r="E32" s="65">
        <f>(C32-D32)</f>
        <v>145</v>
      </c>
      <c r="F32" s="65">
        <f>IF(E32&gt;=0,(E32*11.375),(360+E32)*11.375)</f>
        <v>1649.375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1649.375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272</v>
      </c>
      <c r="T36" s="41" t="s">
        <v>276</v>
      </c>
      <c r="U36" s="41" t="s">
        <v>277</v>
      </c>
      <c r="V36" s="41" t="s">
        <v>278</v>
      </c>
      <c r="W36" s="75" t="s">
        <v>279</v>
      </c>
      <c r="X36" s="75" t="s">
        <v>280</v>
      </c>
      <c r="Y36" s="75" t="s">
        <v>281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500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276</v>
      </c>
      <c r="U47" s="41" t="s">
        <v>277</v>
      </c>
      <c r="V47" s="41" t="s">
        <v>278</v>
      </c>
      <c r="W47" s="75" t="s">
        <v>279</v>
      </c>
      <c r="X47" s="75" t="s">
        <v>280</v>
      </c>
      <c r="Y47" s="75" t="s">
        <v>281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14.754098360655737</v>
      </c>
      <c r="E48" s="31"/>
      <c r="F48" s="31"/>
      <c r="G48" s="68">
        <v>0</v>
      </c>
      <c r="H48" s="68">
        <v>90</v>
      </c>
      <c r="I48" s="77">
        <v>200</v>
      </c>
      <c r="J48" s="77">
        <v>1420</v>
      </c>
      <c r="K48" s="27">
        <f t="shared" ref="K48:K54" si="5">(J48-I48)/(H48-G48)</f>
        <v>13.555555555555555</v>
      </c>
      <c r="L48" s="68">
        <f>ABS(D48*K48)</f>
        <v>200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>
        <f>-G49+(+I49/K49)</f>
        <v>-115.71428571428572</v>
      </c>
      <c r="E49" s="31"/>
      <c r="F49" s="31"/>
      <c r="G49" s="68">
        <v>0</v>
      </c>
      <c r="H49" s="68">
        <v>90</v>
      </c>
      <c r="I49" s="77">
        <v>225</v>
      </c>
      <c r="J49" s="77">
        <v>50</v>
      </c>
      <c r="K49" s="27">
        <f>(J49-I49)/(H49-G49)</f>
        <v>-1.9444444444444444</v>
      </c>
      <c r="L49" s="68">
        <f>I49</f>
        <v>225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>
        <f t="shared" ref="D50:D54" si="6">-G50+(+I50/K50)</f>
        <v>-180</v>
      </c>
      <c r="E50" s="31"/>
      <c r="F50" s="31"/>
      <c r="G50" s="68">
        <v>0</v>
      </c>
      <c r="H50" s="68">
        <v>180</v>
      </c>
      <c r="I50" s="77">
        <v>450</v>
      </c>
      <c r="J50" s="77">
        <v>0</v>
      </c>
      <c r="K50" s="27">
        <f t="shared" si="5"/>
        <v>-2.5</v>
      </c>
      <c r="L50" s="68">
        <f>J50</f>
        <v>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>
        <f t="shared" si="6"/>
        <v>-115.71428571428572</v>
      </c>
      <c r="E51" s="31"/>
      <c r="F51" s="31"/>
      <c r="G51" s="68">
        <v>0</v>
      </c>
      <c r="H51" s="68">
        <v>90</v>
      </c>
      <c r="I51" s="77">
        <v>225</v>
      </c>
      <c r="J51" s="77">
        <v>50</v>
      </c>
      <c r="K51" s="27">
        <f t="shared" si="5"/>
        <v>-1.9444444444444444</v>
      </c>
      <c r="L51" s="68">
        <f>I51</f>
        <v>225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>
        <f t="shared" si="6"/>
        <v>-191.84210526315789</v>
      </c>
      <c r="E52" s="31"/>
      <c r="F52" s="31"/>
      <c r="G52" s="68">
        <v>0</v>
      </c>
      <c r="H52" s="68">
        <v>180</v>
      </c>
      <c r="I52" s="77">
        <v>486</v>
      </c>
      <c r="J52" s="77">
        <v>30</v>
      </c>
      <c r="K52" s="27">
        <f t="shared" si="5"/>
        <v>-2.5333333333333332</v>
      </c>
      <c r="L52" s="68">
        <f>J52</f>
        <v>30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>
        <f t="shared" si="6"/>
        <v>-115</v>
      </c>
      <c r="E53" s="31"/>
      <c r="F53" s="31"/>
      <c r="G53" s="68">
        <v>0</v>
      </c>
      <c r="H53" s="68">
        <v>90</v>
      </c>
      <c r="I53" s="77">
        <v>230</v>
      </c>
      <c r="J53" s="77">
        <v>50</v>
      </c>
      <c r="K53" s="27">
        <f t="shared" si="5"/>
        <v>-2</v>
      </c>
      <c r="L53" s="68">
        <f>I53</f>
        <v>230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>
        <f t="shared" si="6"/>
        <v>-183.72670807453417</v>
      </c>
      <c r="E54" s="31"/>
      <c r="F54" s="31"/>
      <c r="G54" s="68">
        <v>0</v>
      </c>
      <c r="H54" s="68">
        <v>180</v>
      </c>
      <c r="I54" s="77">
        <v>493</v>
      </c>
      <c r="J54" s="77">
        <v>10</v>
      </c>
      <c r="K54" s="27">
        <f t="shared" si="5"/>
        <v>-2.6833333333333331</v>
      </c>
      <c r="L54" s="68">
        <f>J54</f>
        <v>10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>
        <f>-G55+(+I55/K55)</f>
        <v>-309.64110929853183</v>
      </c>
      <c r="E55" s="31"/>
      <c r="F55" s="31"/>
      <c r="G55" s="68">
        <v>0</v>
      </c>
      <c r="H55" s="68">
        <v>270</v>
      </c>
      <c r="I55" s="77">
        <v>703</v>
      </c>
      <c r="J55" s="77">
        <v>90</v>
      </c>
      <c r="K55" s="27">
        <f>(J55-I55)/(H55-G55)</f>
        <v>-2.2703703703703701</v>
      </c>
      <c r="L55" s="68">
        <f>I55</f>
        <v>703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272</v>
      </c>
      <c r="T58" s="41" t="s">
        <v>276</v>
      </c>
      <c r="U58" s="41" t="s">
        <v>277</v>
      </c>
      <c r="V58" s="41" t="s">
        <v>278</v>
      </c>
      <c r="W58" s="75" t="s">
        <v>279</v>
      </c>
      <c r="X58" s="75" t="s">
        <v>280</v>
      </c>
      <c r="Y58" s="75" t="s">
        <v>281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449</v>
      </c>
      <c r="D61" s="24">
        <f>L61/K61</f>
        <v>245.74218089602704</v>
      </c>
      <c r="E61" s="66">
        <f>ABS((+C61/(40/65)-(C59-C60)/(40/65)))-ABS(180)</f>
        <v>72.524999999999977</v>
      </c>
      <c r="F61" s="66">
        <f>IF(E61&gt;=0,(E61*11.375),(360+E61)*11.375)</f>
        <v>824.97187499999973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824.97187499999973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500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96">
        <v>221</v>
      </c>
      <c r="D64" s="24">
        <v>180</v>
      </c>
      <c r="E64" s="65">
        <f>(ABS(C64)-ABS(D64))</f>
        <v>41</v>
      </c>
      <c r="F64" s="65">
        <f t="shared" ref="F64:F65" si="7">IF(E64&gt;=0,(E64*11.375),(360+E64)*11.375)</f>
        <v>466.375</v>
      </c>
      <c r="G64" s="72">
        <v>-90</v>
      </c>
      <c r="H64" s="72">
        <v>25</v>
      </c>
      <c r="I64" s="31"/>
      <c r="J64" s="31"/>
      <c r="K64" s="51">
        <v>11.375</v>
      </c>
      <c r="L64" s="68">
        <f t="shared" ref="L64:L65" si="8">D64*K64</f>
        <v>2047.5</v>
      </c>
      <c r="M64" s="63">
        <v>10</v>
      </c>
      <c r="N64" s="63">
        <f t="shared" ref="N64:N65" si="9">+F64</f>
        <v>466.375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96">
        <v>241</v>
      </c>
      <c r="D65" s="24">
        <v>180</v>
      </c>
      <c r="E65" s="65">
        <f>(ABS(C65)-ABS(D65))</f>
        <v>61</v>
      </c>
      <c r="F65" s="65">
        <f t="shared" si="7"/>
        <v>693.875</v>
      </c>
      <c r="G65" s="72">
        <v>-20</v>
      </c>
      <c r="H65" s="72">
        <v>40</v>
      </c>
      <c r="I65" s="31"/>
      <c r="J65" s="31"/>
      <c r="K65" s="51">
        <v>11.375</v>
      </c>
      <c r="L65" s="68">
        <f t="shared" si="8"/>
        <v>2047.5</v>
      </c>
      <c r="M65" s="63">
        <v>10</v>
      </c>
      <c r="N65" s="63">
        <f t="shared" si="9"/>
        <v>693.875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365.21739130434781</v>
      </c>
      <c r="E66" s="31"/>
      <c r="F66" s="31"/>
      <c r="G66" s="63">
        <v>0</v>
      </c>
      <c r="H66" s="63">
        <v>60</v>
      </c>
      <c r="I66" s="77">
        <v>1400</v>
      </c>
      <c r="J66" s="77">
        <v>1630</v>
      </c>
      <c r="K66" s="51">
        <f>(J66-I66)/(H66-G66)</f>
        <v>3.8333333333333335</v>
      </c>
      <c r="L66" s="63">
        <f>ABS(+D66*K66)</f>
        <v>1400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276</v>
      </c>
      <c r="U69" s="41" t="s">
        <v>277</v>
      </c>
      <c r="V69" s="41" t="s">
        <v>278</v>
      </c>
      <c r="W69" s="75" t="s">
        <v>279</v>
      </c>
      <c r="X69" s="75" t="s">
        <v>280</v>
      </c>
      <c r="Y69" s="75" t="s">
        <v>281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33</v>
      </c>
      <c r="E70" s="31"/>
      <c r="F70" s="31"/>
      <c r="G70" s="68">
        <v>0</v>
      </c>
      <c r="H70" s="68">
        <v>90</v>
      </c>
      <c r="I70" s="77">
        <v>660</v>
      </c>
      <c r="J70" s="77">
        <v>2460</v>
      </c>
      <c r="K70" s="27">
        <f t="shared" ref="K70:K77" si="10">(J70-I70)/(H70-G70)</f>
        <v>20</v>
      </c>
      <c r="L70" s="63">
        <f>ABS(D70*K70)</f>
        <v>660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>
        <f t="shared" ref="D71:D77" si="11">-G71+(+I71/K71)</f>
        <v>-92.34375</v>
      </c>
      <c r="E71" s="31"/>
      <c r="F71" s="31"/>
      <c r="G71" s="68">
        <v>0</v>
      </c>
      <c r="H71" s="68">
        <v>90</v>
      </c>
      <c r="I71" s="97">
        <v>197</v>
      </c>
      <c r="J71" s="77">
        <v>5</v>
      </c>
      <c r="K71" s="27">
        <f t="shared" si="10"/>
        <v>-2.1333333333333333</v>
      </c>
      <c r="L71" s="68">
        <f>I71</f>
        <v>197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>
        <f t="shared" si="11"/>
        <v>-188.31408775981524</v>
      </c>
      <c r="E72" s="31"/>
      <c r="F72" s="31"/>
      <c r="G72" s="68">
        <v>0</v>
      </c>
      <c r="H72" s="68">
        <v>180</v>
      </c>
      <c r="I72" s="77">
        <v>453</v>
      </c>
      <c r="J72" s="77">
        <v>20</v>
      </c>
      <c r="K72" s="27">
        <f t="shared" si="10"/>
        <v>-2.4055555555555554</v>
      </c>
      <c r="L72" s="68">
        <f>+J72</f>
        <v>20</v>
      </c>
      <c r="M72" s="68">
        <v>30</v>
      </c>
      <c r="N72" s="68">
        <v>6800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>
        <f t="shared" si="11"/>
        <v>-94.109589041095902</v>
      </c>
      <c r="E73" s="31"/>
      <c r="F73" s="31"/>
      <c r="G73" s="68">
        <v>0</v>
      </c>
      <c r="H73" s="68">
        <v>90</v>
      </c>
      <c r="I73" s="77">
        <v>229</v>
      </c>
      <c r="J73" s="77">
        <v>10</v>
      </c>
      <c r="K73" s="27">
        <f t="shared" si="10"/>
        <v>-2.4333333333333331</v>
      </c>
      <c r="L73" s="68">
        <f>I73</f>
        <v>229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>
        <f t="shared" si="11"/>
        <v>-184.26540284360189</v>
      </c>
      <c r="E74" s="31"/>
      <c r="F74" s="31"/>
      <c r="G74" s="68">
        <v>0</v>
      </c>
      <c r="H74" s="68">
        <v>180</v>
      </c>
      <c r="I74" s="77">
        <v>432</v>
      </c>
      <c r="J74" s="77">
        <v>10</v>
      </c>
      <c r="K74" s="27">
        <f t="shared" si="10"/>
        <v>-2.3444444444444446</v>
      </c>
      <c r="L74" s="68">
        <f>+J74</f>
        <v>10</v>
      </c>
      <c r="M74" s="68">
        <v>10</v>
      </c>
      <c r="N74" s="68">
        <v>-7200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>
        <f t="shared" si="11"/>
        <v>-94.26540284360189</v>
      </c>
      <c r="E75" s="31"/>
      <c r="F75" s="31"/>
      <c r="G75" s="68">
        <v>0</v>
      </c>
      <c r="H75" s="68">
        <v>90</v>
      </c>
      <c r="I75" s="77">
        <v>221</v>
      </c>
      <c r="J75" s="77">
        <v>10</v>
      </c>
      <c r="K75" s="27">
        <f t="shared" si="10"/>
        <v>-2.3444444444444446</v>
      </c>
      <c r="L75" s="68">
        <f>I75</f>
        <v>221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>
        <f t="shared" si="11"/>
        <v>-193.33333333333334</v>
      </c>
      <c r="E76" s="31"/>
      <c r="F76" s="31"/>
      <c r="G76" s="68">
        <v>0</v>
      </c>
      <c r="H76" s="68">
        <v>180</v>
      </c>
      <c r="I76" s="77">
        <v>435</v>
      </c>
      <c r="J76" s="77">
        <v>30</v>
      </c>
      <c r="K76" s="27">
        <f t="shared" si="10"/>
        <v>-2.25</v>
      </c>
      <c r="L76" s="68">
        <f>J76</f>
        <v>30</v>
      </c>
      <c r="M76" s="68">
        <v>10</v>
      </c>
      <c r="N76" s="68">
        <v>6920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>
        <f t="shared" si="11"/>
        <v>-368.78048780487808</v>
      </c>
      <c r="E77" s="31"/>
      <c r="F77" s="31"/>
      <c r="G77" s="68">
        <v>0</v>
      </c>
      <c r="H77" s="68">
        <v>270</v>
      </c>
      <c r="I77" s="77">
        <v>672</v>
      </c>
      <c r="J77" s="77">
        <v>180</v>
      </c>
      <c r="K77" s="27">
        <f t="shared" si="10"/>
        <v>-1.8222222222222222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274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275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301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283</v>
      </c>
      <c r="C99" s="78" t="s">
        <v>284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282</v>
      </c>
      <c r="C100" s="78" t="s">
        <v>288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287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286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285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298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296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295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270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294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289</v>
      </c>
      <c r="J58" t="s">
        <v>290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67" zoomScaleNormal="100" workbookViewId="0">
      <selection activeCell="F82" sqref="F82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270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289</v>
      </c>
      <c r="J56" t="s">
        <v>290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3</v>
      </c>
      <c r="H79">
        <v>3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21" zoomScaleNormal="100" workbookViewId="0">
      <selection activeCell="D35" sqref="D35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269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258</v>
      </c>
    </row>
    <row r="36" spans="1:9">
      <c r="A36" s="60" t="s">
        <v>300</v>
      </c>
    </row>
    <row r="37" spans="1:9">
      <c r="A37" t="s">
        <v>260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13.555555555555555</v>
      </c>
      <c r="C49" s="34">
        <f>+INDEX(Sheet1!$K$48:$K$56,COLUMN()-COLUMN($B$83)+1)</f>
        <v>-1.9444444444444444</v>
      </c>
      <c r="D49" s="34">
        <f>+INDEX(Sheet1!$K$48:$K$56,COLUMN()-COLUMN($B$83)+1)</f>
        <v>-2.5</v>
      </c>
      <c r="E49" s="34">
        <f>+INDEX(Sheet1!$K$48:$K$56,COLUMN()-COLUMN($B$83)+1)</f>
        <v>-1.9444444444444444</v>
      </c>
      <c r="F49" s="34">
        <f>+INDEX(Sheet1!$K$48:$K$56,COLUMN()-COLUMN($B$83)+1)</f>
        <v>-2.5333333333333332</v>
      </c>
      <c r="G49" s="34">
        <f>+INDEX(Sheet1!$K$48:$K$56,COLUMN()-COLUMN($B$83)+1)</f>
        <v>-2</v>
      </c>
      <c r="H49" s="34">
        <f>+INDEX(Sheet1!$K$48:$K$56,COLUMN()-COLUMN($B$83)+1)</f>
        <v>-2.6833333333333331</v>
      </c>
      <c r="I49" s="34">
        <f>+INDEX(Sheet1!$K$48:$K$56,COLUMN()-COLUMN($B$83)+1)</f>
        <v>-2.2703703703703701</v>
      </c>
    </row>
    <row r="50" spans="1:9">
      <c r="A50" t="s">
        <v>214</v>
      </c>
      <c r="B50" s="34">
        <f>+INDEX(Sheet1!$D$48:$D$56,COLUMN()-COLUMN($B$83)+1)++INDEX(Sheet1!$S$48:$S$56,COLUMN()-COLUMN($B$83)+1)</f>
        <v>14.754098360655737</v>
      </c>
      <c r="C50" s="34">
        <f>+INDEX(Sheet1!$D$48:$D$56,COLUMN()-COLUMN($B$83)+1)++INDEX(Sheet1!$S$48:$S$56,COLUMN()-COLUMN($B$83)+1)</f>
        <v>-115.71428571428572</v>
      </c>
      <c r="D50" s="34">
        <f>+INDEX(Sheet1!$D$48:$D$56,COLUMN()-COLUMN($B$83)+1)++INDEX(Sheet1!$S$48:$S$56,COLUMN()-COLUMN($B$83)+1)</f>
        <v>-180</v>
      </c>
      <c r="E50" s="34">
        <f>+INDEX(Sheet1!$D$48:$D$56,COLUMN()-COLUMN($B$83)+1)++INDEX(Sheet1!$S$48:$S$56,COLUMN()-COLUMN($B$83)+1)</f>
        <v>-115.71428571428572</v>
      </c>
      <c r="F50" s="34">
        <f>+INDEX(Sheet1!$D$48:$D$56,COLUMN()-COLUMN($B$83)+1)++INDEX(Sheet1!$S$48:$S$56,COLUMN()-COLUMN($B$83)+1)</f>
        <v>-191.84210526315789</v>
      </c>
      <c r="G50" s="34">
        <f>+INDEX(Sheet1!$D$48:$D$56,COLUMN()-COLUMN($B$83)+1)++INDEX(Sheet1!$S$48:$S$56,COLUMN()-COLUMN($B$83)+1)</f>
        <v>-115</v>
      </c>
      <c r="H50" s="34">
        <f>+INDEX(Sheet1!$D$48:$D$56,COLUMN()-COLUMN($B$83)+1)++INDEX(Sheet1!$S$48:$S$56,COLUMN()-COLUMN($B$83)+1)</f>
        <v>-183.72670807453417</v>
      </c>
      <c r="I50" s="34">
        <f>+INDEX(Sheet1!$D$48:$D$56,COLUMN()-COLUMN($B$83)+1)++INDEX(Sheet1!$S$48:$S$56,COLUMN()-COLUMN($B$83)+1)</f>
        <v>-309.64110929853183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>
        <f>+INDEX(Sheet1!$L$48:$L$56,COLUMN()-COLUMN($B$81)+1)</f>
        <v>200</v>
      </c>
      <c r="C80" s="21">
        <f>+INDEX(Sheet1!$L$48:$L$56,COLUMN()-COLUMN($B$81)+1)</f>
        <v>225</v>
      </c>
      <c r="D80" s="21">
        <f>+INDEX(Sheet1!$L$48:$L$56,COLUMN()-COLUMN($B$81)+1)</f>
        <v>0</v>
      </c>
      <c r="E80" s="21">
        <f>+INDEX(Sheet1!$L$48:$L$56,COLUMN()-COLUMN($B$81)+1)</f>
        <v>225</v>
      </c>
      <c r="F80" s="21">
        <f>+INDEX(Sheet1!$L$48:$L$56,COLUMN()-COLUMN($B$81)+1)</f>
        <v>30</v>
      </c>
      <c r="G80" s="21">
        <f>+INDEX(Sheet1!$L$48:$L$56,COLUMN()-COLUMN($B$81)+1)</f>
        <v>230</v>
      </c>
      <c r="H80" s="21">
        <f>+INDEX(Sheet1!$L$48:$L$56,COLUMN()-COLUMN($B$81)+1)</f>
        <v>10</v>
      </c>
      <c r="I80" s="21">
        <f>+INDEX(Sheet1!$L$48:$L$56,COLUMN()-COLUMN($B$81)+1)</f>
        <v>703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30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66" zoomScale="85" zoomScaleNormal="85" workbookViewId="0">
      <selection activeCell="K81" sqref="K81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265</v>
      </c>
    </row>
    <row r="31" spans="1:9">
      <c r="A31" t="s">
        <v>266</v>
      </c>
    </row>
    <row r="32" spans="1:9">
      <c r="A32" t="s">
        <v>245</v>
      </c>
      <c r="B32" t="s">
        <v>270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11.375</v>
      </c>
      <c r="H49" s="21">
        <f>+INDEX(Sheet1!$K$59:$K$67,COLUMN()-COLUMN($B$83)+1)</f>
        <v>11.375</v>
      </c>
      <c r="I49" s="21">
        <f>+INDEX(Sheet1!$K$59:$K$67,COLUMN()-COLUMN($B$83)+1)</f>
        <v>3.8333333333333335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180</v>
      </c>
      <c r="H50" s="21">
        <f>+INDEX(Sheet1!$D$59:$D$66,COLUMN()-COLUMN($B$83)+1)++INDEX(Sheet1!$S$59:$S$66,COLUMN()-COLUMN($B$83)+1)</f>
        <v>180</v>
      </c>
      <c r="I50" s="21">
        <f>+INDEX(Sheet1!$D$59:$D$66,COLUMN()-COLUMN($B$83)+1)++INDEX(Sheet1!$S$59:$S$66,COLUMN()-COLUMN($B$83)+1)</f>
        <v>365.21739130434781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25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-100</v>
      </c>
      <c r="C74">
        <v>-100</v>
      </c>
      <c r="D74">
        <v>-2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3</v>
      </c>
      <c r="H79">
        <v>3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500</v>
      </c>
      <c r="G80" s="21">
        <f>+INDEX(Sheet1!$L$59:$L$66,COLUMN()-COLUMN($B$83)+1)</f>
        <v>2047.5</v>
      </c>
      <c r="H80" s="21">
        <f>+INDEX(Sheet1!$L$59:$L$66,COLUMN()-COLUMN($B$83)+1)</f>
        <v>2047.5</v>
      </c>
      <c r="I80" s="21">
        <f>+INDEX(Sheet1!$L$59:$L$66,COLUMN()-COLUMN($B$83)+1)</f>
        <v>1400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824.97187499999973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466.375</v>
      </c>
      <c r="H82" s="21">
        <f>+INDEX(Sheet1!$N$59:$N$66,COLUMN()-COLUMN($B$83)+1)</f>
        <v>693.875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15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15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43" zoomScaleNormal="100" workbookViewId="0">
      <selection activeCell="B51" sqref="B51:I51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0</v>
      </c>
      <c r="C16" t="s">
        <v>302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267</v>
      </c>
    </row>
    <row r="34" spans="1:9">
      <c r="A34" t="s">
        <v>268</v>
      </c>
    </row>
    <row r="35" spans="1:9">
      <c r="A35" t="s">
        <v>257</v>
      </c>
      <c r="B35" t="s">
        <v>269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258</v>
      </c>
    </row>
    <row r="39" spans="1:9">
      <c r="A39" s="60" t="s">
        <v>300</v>
      </c>
    </row>
    <row r="40" spans="1:9">
      <c r="A40" t="s">
        <v>260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20</v>
      </c>
      <c r="C50" s="34">
        <f>+INDEX(Sheet1!$K$70:$K$77,COLUMN()-COLUMN($B$81)+1)</f>
        <v>-2.1333333333333333</v>
      </c>
      <c r="D50" s="34">
        <f>+INDEX(Sheet1!$K$70:$K$77,COLUMN()-COLUMN($B$81)+1)</f>
        <v>-2.4055555555555554</v>
      </c>
      <c r="E50" s="34">
        <f>+INDEX(Sheet1!$K$70:$K$77,COLUMN()-COLUMN($B$81)+1)</f>
        <v>-2.4333333333333331</v>
      </c>
      <c r="F50" s="34">
        <f>+INDEX(Sheet1!$K$70:$K$77,COLUMN()-COLUMN($B$81)+1)</f>
        <v>-2.3444444444444446</v>
      </c>
      <c r="G50" s="34">
        <f>+INDEX(Sheet1!$K$70:$K$77,COLUMN()-COLUMN($B$81)+1)</f>
        <v>-2.3444444444444446</v>
      </c>
      <c r="H50" s="34">
        <f>+INDEX(Sheet1!$K$70:$K$77,COLUMN()-COLUMN($B$81)+1)</f>
        <v>-2.25</v>
      </c>
      <c r="I50" s="34">
        <f>+INDEX(Sheet1!$K$70:$K$77,COLUMN()-COLUMN($B$81)+1)</f>
        <v>-1.8222222222222222</v>
      </c>
    </row>
    <row r="51" spans="1:9">
      <c r="A51" t="s">
        <v>214</v>
      </c>
      <c r="B51" s="34">
        <f>+INDEX(Sheet1!$D$70:$D$77,COLUMN()-COLUMN($B$81)+1)++INDEX(Sheet1!$S$70:$S$77,COLUMN()-COLUMN($B$81)+1)</f>
        <v>33</v>
      </c>
      <c r="C51" s="34">
        <f>+INDEX(Sheet1!$D$70:$D$77,COLUMN()-COLUMN($B$81)+1)++INDEX(Sheet1!$S$70:$S$77,COLUMN()-COLUMN($B$81)+1)</f>
        <v>-92.34375</v>
      </c>
      <c r="D51" s="34">
        <f>+INDEX(Sheet1!$D$70:$D$77,COLUMN()-COLUMN($B$81)+1)++INDEX(Sheet1!$S$70:$S$77,COLUMN()-COLUMN($B$81)+1)</f>
        <v>-188.31408775981524</v>
      </c>
      <c r="E51" s="34">
        <f>+INDEX(Sheet1!$D$70:$D$77,COLUMN()-COLUMN($B$81)+1)++INDEX(Sheet1!$S$70:$S$77,COLUMN()-COLUMN($B$81)+1)</f>
        <v>-94.109589041095902</v>
      </c>
      <c r="F51" s="34">
        <f>+INDEX(Sheet1!$D$70:$D$77,COLUMN()-COLUMN($B$81)+1)++INDEX(Sheet1!$S$70:$S$77,COLUMN()-COLUMN($B$81)+1)</f>
        <v>-184.26540284360189</v>
      </c>
      <c r="G51" s="34">
        <f>+INDEX(Sheet1!$D$70:$D$77,COLUMN()-COLUMN($B$81)+1)++INDEX(Sheet1!$S$70:$S$77,COLUMN()-COLUMN($B$81)+1)</f>
        <v>-94.26540284360189</v>
      </c>
      <c r="H51" s="34">
        <f>+INDEX(Sheet1!$D$70:$D$77,COLUMN()-COLUMN($B$81)+1)++INDEX(Sheet1!$S$70:$S$77,COLUMN()-COLUMN($B$81)+1)</f>
        <v>-193.33333333333334</v>
      </c>
      <c r="I51" s="34">
        <f>+INDEX(Sheet1!$D$70:$D$77,COLUMN()-COLUMN($B$81)+1)++INDEX(Sheet1!$S$70:$S$77,COLUMN()-COLUMN($B$81)+1)</f>
        <v>-368.78048780487808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120</v>
      </c>
      <c r="C76">
        <v>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+INDEX(Sheet1!$L$70:$L$77,COLUMN()-COLUMN($B$79)+1)</f>
        <v>660</v>
      </c>
      <c r="C81" s="21">
        <f>+INDEX(Sheet1!$L$70:$L$77,COLUMN()-COLUMN($B$79)+1)</f>
        <v>197</v>
      </c>
      <c r="D81" s="21">
        <f>+INDEX(Sheet1!$L$70:$L$77,COLUMN()-COLUMN($B$79)+1)</f>
        <v>20</v>
      </c>
      <c r="E81" s="21">
        <f>+INDEX(Sheet1!$L$70:$L$77,COLUMN()-COLUMN($B$79)+1)</f>
        <v>229</v>
      </c>
      <c r="F81" s="21">
        <f>+INDEX(Sheet1!$L$70:$L$77,COLUMN()-COLUMN($B$79)+1)</f>
        <v>10</v>
      </c>
      <c r="G81" s="21">
        <f>+INDEX(Sheet1!$L$70:$L$77,COLUMN()-COLUMN($B$79)+1)</f>
        <v>221</v>
      </c>
      <c r="H81" s="21">
        <f>+INDEX(Sheet1!$L$70:$L$77,COLUMN()-COLUMN($B$79)+1)</f>
        <v>30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30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6800</v>
      </c>
      <c r="E83" s="21">
        <f>+INDEX(Sheet1!$N$70:$N$77,COLUMN()-COLUMN($B$79)+1)</f>
        <v>6000</v>
      </c>
      <c r="F83" s="21">
        <f>+INDEX(Sheet1!$N$70:$N$77,COLUMN()-COLUMN($B$79)+1)</f>
        <v>-7200</v>
      </c>
      <c r="G83" s="21">
        <f>+INDEX(Sheet1!$N$70:$N$77,COLUMN()-COLUMN($B$79)+1)</f>
        <v>6000</v>
      </c>
      <c r="H83" s="21">
        <f>+INDEX(Sheet1!$N$70:$N$77,COLUMN()-COLUMN($B$79)+1)</f>
        <v>6920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2503.6374999999998</v>
      </c>
      <c r="I70" s="21">
        <f>+INDEX(Sheet1!$N$24:$N34,COLUMN()-COLUMN($B$69)+1)</f>
        <v>2631.0374999999999</v>
      </c>
      <c r="J70" s="21">
        <f>+INDEX(Sheet1!$N$24:$N34,COLUMN()-COLUMN($B$69)+1)</f>
        <v>1649.375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I58" sqref="I58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2503.6374999999998</v>
      </c>
      <c r="C25">
        <f>Head_Torso!I70</f>
        <v>2631.0374999999999</v>
      </c>
      <c r="D25">
        <f>Head_Torso!J70</f>
        <v>1649.375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3</v>
      </c>
      <c r="H35">
        <f>Left_arm!H79</f>
        <v>3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1800.0000000000002</v>
      </c>
      <c r="J36">
        <f>Left_hand!B80</f>
        <v>200</v>
      </c>
      <c r="K36">
        <f>Left_hand!C80</f>
        <v>225</v>
      </c>
      <c r="L36">
        <f>Left_hand!D80</f>
        <v>0</v>
      </c>
      <c r="M36">
        <f>Left_hand!E80</f>
        <v>225</v>
      </c>
      <c r="N36">
        <f>Left_hand!F80</f>
        <v>30</v>
      </c>
      <c r="O36">
        <f>Left_hand!G80</f>
        <v>230</v>
      </c>
      <c r="P36">
        <f>Left_hand!H80</f>
        <v>10</v>
      </c>
      <c r="Q36">
        <f>Left_hand!I80</f>
        <v>703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30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3</v>
      </c>
      <c r="H48">
        <f>Right_arm!H79</f>
        <v>3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2047.5</v>
      </c>
      <c r="H49">
        <f>Right_arm!H80</f>
        <v>2047.5</v>
      </c>
      <c r="I49">
        <f>Right_arm!I80</f>
        <v>1400</v>
      </c>
      <c r="J49">
        <f>Right_hand!B81</f>
        <v>660</v>
      </c>
      <c r="K49">
        <f>Right_hand!C81</f>
        <v>197</v>
      </c>
      <c r="L49">
        <f>Right_hand!D81</f>
        <v>20</v>
      </c>
      <c r="M49">
        <f>Right_hand!E81</f>
        <v>229</v>
      </c>
      <c r="N49">
        <f>Right_hand!F81</f>
        <v>10</v>
      </c>
      <c r="O49">
        <f>Right_hand!G81</f>
        <v>221</v>
      </c>
      <c r="P49">
        <f>Right_hand!H81</f>
        <v>30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30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824.97187499999973</v>
      </c>
      <c r="E51">
        <f>Right_arm!E82</f>
        <v>3496.6749999999997</v>
      </c>
      <c r="F51">
        <f>Right_arm!F82</f>
        <v>0</v>
      </c>
      <c r="G51">
        <f>Right_arm!G82</f>
        <v>466.375</v>
      </c>
      <c r="H51">
        <f>Right_arm!H82</f>
        <v>693.875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6800</v>
      </c>
      <c r="M51">
        <f>Right_hand!E83</f>
        <v>6000</v>
      </c>
      <c r="N51">
        <f>Right_hand!F83</f>
        <v>-7200</v>
      </c>
      <c r="O51">
        <f>Right_hand!G83</f>
        <v>6000</v>
      </c>
      <c r="P51">
        <f>Right_hand!H83</f>
        <v>6920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A36" sqref="A36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299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291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292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293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270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271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294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289</v>
      </c>
      <c r="J58" t="s">
        <v>290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2010-08-20T08:49:53Z</dcterms:modified>
</cp:coreProperties>
</file>