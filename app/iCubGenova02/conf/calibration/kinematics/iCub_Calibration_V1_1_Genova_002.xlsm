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C49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B50" i="6" l="1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<sst xmlns="http://schemas.openxmlformats.org/spreadsheetml/2006/main" count="791" uniqueCount="296">
  <si>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</si>
  <si>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</si>
  <si>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</si>
  <si>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</si>
  <si>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</si>
  <si>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</si>
  <si>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</si>
  <si>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</si>
  <si>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</si>
  <si>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</si>
  <si>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</si>
  <si>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</si>
  <si>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</si>
  <si>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</si>
  <si>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</si>
  <si>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</si>
  <si>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</si>
  <si>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</si>
  <si>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</si>
  <si>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</si>
  <si>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</si>
  <si>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</si>
  <si>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</si>
  <si>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</si>
  <si>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</si>
  <si>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</si>
  <si>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</si>
  <si>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</si>
  <si>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</si>
  <si>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</si>
  <si>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</si>
  <si>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</si>
  <si>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</si>
  <si>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</si>
  <si>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</si>
  <si>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</si>
  <si>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</si>
  <si>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</si>
  <si>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</si>
  <si>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</si>
  <si>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</si>
  <si>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</si>
  <si>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</si>
  <si>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</si>
  <si>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</si>
  <si>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</si>
  <si>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</si>
  <si>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</si>
  <si>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</si>
  <si>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</si>
  <si>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</si>
  <si>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</si>
  <si>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</si>
  <si>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</si>
  <si>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</si>
  <si>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</si>
  <si>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</si>
  <si>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</si>
  <si>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</si>
  <si>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</si>
  <si>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</si>
  <si>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</si>
  <si>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</si>
  <si>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</si>
  <si>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</si>
  <si>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</si>
  <si>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</si>
  <si>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</si>
  <si>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</si>
  <si>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</si>
  <si>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</si>
  <si>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</si>
  <si>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</si>
  <si>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</si>
  <si>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</si>
  <si>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</si>
  <si>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</si>
  <si>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</si>
  <si>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</si>
  <si>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</si>
  <si>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</si>
  <si>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</si>
  <si>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</si>
  <si>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</si>
  <si>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</si>
  <si>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</si>
  <si>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</si>
  <si>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</si>
  <si>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</si>
  <si>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</si>
  <si>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</si>
  <si>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</si>
  <si>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</si>
  <si>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</si>
  <si>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</si>
  <si>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</si>
  <si>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</si>
  <si>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</si>
  <si>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</si>
  <si>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</si>
  <si>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</si>
  <si>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</si>
  <si>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</si>
  <si>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</si>
  <si>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</si>
  <si>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</si>
  <si>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</si>
  <si>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</si>
  <si>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</si>
  <si>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</si>
  <si>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</si>
  <si>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</si>
  <si>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</si>
  <si>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</si>
  <si>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</si>
  <si>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</si>
  <si>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</si>
  <si>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</si>
  <si>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</si>
  <si>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</si>
  <si>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</si>
  <si>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</si>
  <si>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</si>
  <si>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</si>
  <si>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</si>
  <si>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</si>
  <si>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</si>
  <si>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</si>
  <si>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</si>
  <si>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</si>
  <si>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</si>
  <si>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</si>
  <si>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</si>
  <si>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</si>
  <si>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</si>
  <si>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</si>
  <si>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</si>
  <si>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</si>
  <si>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</si>
  <si>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</si>
  <si>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</si>
  <si>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</si>
  <si>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</si>
  <si>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</si>
  <si>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</si>
  <si>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</si>
  <si>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</si>
  <si>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</si>
  <si>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</si>
  <si>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</si>
  <si>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</si>
  <si>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</si>
  <si>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</si>
  <si>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</si>
  <si>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</si>
  <si>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</si>
  <si>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</si>
  <si>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</si>
  <si>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</si>
  <si>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</si>
  <si>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</si>
  <si>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</si>
  <si>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</si>
  <si>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</si>
  <si>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</si>
  <si>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</si>
  <si>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</si>
  <si>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</si>
  <si>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</si>
  <si>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</si>
  <si>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</si>
  <si>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</si>
  <si>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</si>
  <si>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</si>
  <si>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</si>
  <si>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</si>
  <si>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</si>
  <si>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</si>
  <si>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</si>
  <si>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</si>
  <si>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</si>
  <si>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</si>
  <si>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</si>
  <si>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</si>
  <si>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</si>
  <si>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</si>
  <si>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</si>
  <si>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</si>
  <si>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</si>
  <si>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</si>
  <si>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</si>
  <si>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</si>
  <si>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</si>
  <si>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</si>
  <si>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</si>
  <si>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</si>
  <si>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</si>
  <si>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</si>
  <si>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</si>
  <si>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</si>
  <si>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</si>
  <si>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</si>
  <si>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</si>
  <si>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</si>
  <si>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</si>
  <si>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</si>
  <si>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</si>
  <si>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</si>
  <si>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</si>
  <si>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</si>
  <si>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</si>
  <si>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</si>
  <si>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</si>
  <si>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</si>
  <si>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</si>
  <si>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</si>
  <si>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</si>
  <si>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</si>
  <si>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</si>
  <si>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</si>
  <si>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</si>
  <si>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</si>
  <si>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</si>
  <si>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</si>
  <si>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</si>
  <si>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</si>
  <si>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</si>
  <si>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</si>
  <si>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</si>
  <si>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</si>
  <si>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</si>
  <si>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</si>
  <si>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</si>
  <si>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</si>
  <si>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</si>
  <si>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</si>
  <si>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</si>
  <si>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</si>
  <si>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</si>
  <si>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</si>
  <si>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</si>
  <si>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</si>
  <si>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</si>
  <si>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</si>
  <si>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</si>
  <si>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</si>
  <si>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</si>
  <si>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</si>
  <si>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</si>
  <si>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</si>
  <si>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</si>
  <si>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</si>
  <si>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</si>
  <si>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</si>
  <si>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</si>
  <si>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</si>
  <si>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</si>
  <si>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</si>
  <si>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</si>
  <si>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</si>
  <si>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</si>
  <si>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</si>
  <si>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</si>
  <si>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</si>
  <si>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</si>
  <si>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</si>
  <si>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</si>
  <si>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</si>
  <si>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</si>
  <si>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</si>
  <si>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</si>
  <si>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</si>
  <si>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</si>
  <si>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</si>
  <si>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</si>
  <si>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</si>
  <si>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</si>
  <si>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</si>
  <si>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</si>
  <si>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</si>
  <si>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</si>
  <si>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</si>
  <si>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</si>
  <si>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</si>
  <si>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</si>
  <si>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</si>
  <si>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</si>
  <si>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</si>
  <si>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</si>
  <si>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</si>
  <si>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</si>
  <si>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</si>
  <si>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</si>
  <si>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</si>
  <si>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</si>
  <si>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D:\icub\app\iCubGenova02\conf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</si>
</sst>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164" fontId="23" fillId="25" borderId="30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F63" zoomScale="70" zoomScaleNormal="70" workbookViewId="0">
      <selection activeCell="S81" sqref="S8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286</v>
      </c>
      <c r="P6" s="43" t="s">
        <v>250</v>
      </c>
      <c r="Q6" s="43" t="s">
        <v>206</v>
      </c>
      <c r="R6" s="43" t="s">
        <v>207</v>
      </c>
      <c r="S6" s="43" t="s">
        <v>284</v>
      </c>
      <c r="T6" s="43" t="s">
        <v>289</v>
      </c>
      <c r="U6" s="43" t="s">
        <v>290</v>
      </c>
      <c r="V6" s="43" t="s">
        <v>291</v>
      </c>
      <c r="W6" s="81" t="s">
        <v>292</v>
      </c>
      <c r="X6" s="81" t="s">
        <v>293</v>
      </c>
      <c r="Y6" s="81" t="s">
        <v>294</v>
      </c>
    </row>
    <row r="7" spans="1:25" ht="18.75">
      <c r="A7" s="27">
        <v>0</v>
      </c>
      <c r="B7" s="46" t="s">
        <v>14</v>
      </c>
      <c r="C7" s="4">
        <v>233.2</v>
      </c>
      <c r="D7" s="25">
        <v>180</v>
      </c>
      <c r="E7" s="71">
        <f>(ABS(C7)-ABS(D7))</f>
        <v>53.199999999999989</v>
      </c>
      <c r="F7" s="71">
        <f>IF(E7&gt;=0,(E7*11.375),(360+E7)*11.375)</f>
        <v>605.14999999999986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605.14999999999986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210.6</v>
      </c>
      <c r="D8" s="25">
        <v>180</v>
      </c>
      <c r="E8" s="71">
        <f t="shared" ref="E8:E18" si="0">(ABS(C8)-ABS(D8))</f>
        <v>30.599999999999994</v>
      </c>
      <c r="F8" s="71">
        <f t="shared" ref="F8:F18" si="1">IF(E8&gt;=0,(E8*11.375),(360+E8)*11.375)</f>
        <v>348.07499999999993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348.07499999999993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124.9</v>
      </c>
      <c r="D9" s="25">
        <v>180</v>
      </c>
      <c r="E9" s="71">
        <f t="shared" si="0"/>
        <v>-55.099999999999994</v>
      </c>
      <c r="F9" s="71">
        <f t="shared" si="1"/>
        <v>3468.2374999999997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3468.2374999999997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122.5</v>
      </c>
      <c r="D10" s="25">
        <v>180</v>
      </c>
      <c r="E10" s="71">
        <f t="shared" si="0"/>
        <v>-57.5</v>
      </c>
      <c r="F10" s="71">
        <f t="shared" si="1"/>
        <v>3440.9375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3440.9375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358.4</v>
      </c>
      <c r="D11" s="25">
        <v>180</v>
      </c>
      <c r="E11" s="71">
        <f t="shared" si="0"/>
        <v>178.39999999999998</v>
      </c>
      <c r="F11" s="71">
        <f t="shared" si="1"/>
        <v>2029.2999999999997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2029.2999999999997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124.4</v>
      </c>
      <c r="D12" s="25">
        <v>180</v>
      </c>
      <c r="E12" s="71">
        <f t="shared" si="0"/>
        <v>-55.599999999999994</v>
      </c>
      <c r="F12" s="71">
        <f t="shared" si="1"/>
        <v>3462.5499999999997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3462.5499999999997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-156.69999999999999</v>
      </c>
      <c r="D13" s="25">
        <v>-180</v>
      </c>
      <c r="E13" s="71">
        <f t="shared" si="0"/>
        <v>-23.300000000000011</v>
      </c>
      <c r="F13" s="71">
        <f t="shared" si="1"/>
        <v>3829.9625000000001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3829.9625000000001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-124</v>
      </c>
      <c r="D14" s="25">
        <v>-180</v>
      </c>
      <c r="E14" s="71">
        <f t="shared" si="0"/>
        <v>-56</v>
      </c>
      <c r="F14" s="71">
        <f t="shared" si="1"/>
        <v>3458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3458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-190.8</v>
      </c>
      <c r="D15" s="25">
        <v>-180</v>
      </c>
      <c r="E15" s="71">
        <f t="shared" si="0"/>
        <v>10.800000000000011</v>
      </c>
      <c r="F15" s="71">
        <f t="shared" si="1"/>
        <v>122.85000000000014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122.85000000000014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-48.6</v>
      </c>
      <c r="D16" s="25">
        <v>-180</v>
      </c>
      <c r="E16" s="71">
        <f t="shared" si="0"/>
        <v>-131.4</v>
      </c>
      <c r="F16" s="71">
        <f t="shared" si="1"/>
        <v>2600.3249999999998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2600.3249999999998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-65.2</v>
      </c>
      <c r="D17" s="25">
        <v>-180</v>
      </c>
      <c r="E17" s="71">
        <f t="shared" si="0"/>
        <v>-114.8</v>
      </c>
      <c r="F17" s="71">
        <f t="shared" si="1"/>
        <v>2789.15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2789.15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-321.10000000000002</v>
      </c>
      <c r="D18" s="25">
        <v>-180</v>
      </c>
      <c r="E18" s="71">
        <f t="shared" si="0"/>
        <v>141.10000000000002</v>
      </c>
      <c r="F18" s="71">
        <f t="shared" si="1"/>
        <v>1605.0125000000003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1605.0125000000003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284</v>
      </c>
      <c r="T23" s="43" t="s">
        <v>289</v>
      </c>
      <c r="U23" s="43" t="s">
        <v>290</v>
      </c>
      <c r="V23" s="43" t="s">
        <v>291</v>
      </c>
      <c r="W23" s="81" t="s">
        <v>292</v>
      </c>
      <c r="X23" s="81" t="s">
        <v>293</v>
      </c>
      <c r="Y23" s="81" t="s">
        <v>294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-8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7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3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-3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1333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1333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233</v>
      </c>
      <c r="D30" s="25">
        <v>180</v>
      </c>
      <c r="E30" s="71">
        <f>(C30-D30)</f>
        <v>53</v>
      </c>
      <c r="F30" s="71">
        <f>IF(E30&gt;=0,(E30*11.375),(360+E30)*11.375)</f>
        <v>602.875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602.875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82">
        <v>51.6</v>
      </c>
      <c r="D31" s="25">
        <v>180</v>
      </c>
      <c r="E31" s="71">
        <f>(C31-D31)</f>
        <v>-128.4</v>
      </c>
      <c r="F31" s="71">
        <f>IF(E31&gt;=0,(E31*11.375),(360+E31)*11.375)</f>
        <v>2634.45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2634.45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77.8</v>
      </c>
      <c r="D32" s="25">
        <v>180</v>
      </c>
      <c r="E32" s="71">
        <f>(C32-D32)</f>
        <v>-102.2</v>
      </c>
      <c r="F32" s="71">
        <f>IF(E32&gt;=0,(E32*11.375),(360+E32)*11.375)</f>
        <v>2932.4749999999999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2932.4749999999999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284</v>
      </c>
      <c r="T36" s="43" t="s">
        <v>289</v>
      </c>
      <c r="U36" s="43" t="s">
        <v>290</v>
      </c>
      <c r="V36" s="43" t="s">
        <v>291</v>
      </c>
      <c r="W36" s="81" t="s">
        <v>292</v>
      </c>
      <c r="X36" s="81" t="s">
        <v>293</v>
      </c>
      <c r="Y36" s="81" t="s">
        <v>294</v>
      </c>
    </row>
    <row r="37" spans="1:25" ht="18.75">
      <c r="A37" s="27">
        <v>0</v>
      </c>
      <c r="B37" s="46" t="s">
        <v>39</v>
      </c>
      <c r="C37" s="24">
        <v>-78</v>
      </c>
      <c r="D37" s="25">
        <v>-180</v>
      </c>
      <c r="E37" s="71">
        <f>(ABS(C37)-ABS(D37))</f>
        <v>-102</v>
      </c>
      <c r="F37" s="71">
        <f>IF(E37&gt;=0,(E37*11.375),(360+E37)*11.375)</f>
        <v>2934.75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2934.75</v>
      </c>
      <c r="O37" s="69">
        <v>-30</v>
      </c>
      <c r="P37" s="69">
        <v>10</v>
      </c>
      <c r="Q37" s="69">
        <v>-30</v>
      </c>
      <c r="R37" s="69">
        <v>10</v>
      </c>
      <c r="S37" s="70">
        <v>6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-44</v>
      </c>
      <c r="D38" s="25">
        <v>-315</v>
      </c>
      <c r="E38" s="71">
        <f>(ABS(C38)-ABS(D38))</f>
        <v>-271</v>
      </c>
      <c r="F38" s="71">
        <f>IF(E38&gt;=0,(E38*11.375),(360+E38)*11.375)</f>
        <v>1012.375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1012.375</v>
      </c>
      <c r="O38" s="69">
        <v>30</v>
      </c>
      <c r="P38" s="69">
        <v>10</v>
      </c>
      <c r="Q38" s="69">
        <v>30</v>
      </c>
      <c r="R38" s="69">
        <v>10</v>
      </c>
      <c r="S38" s="70">
        <v>-8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-72.599999999999994</v>
      </c>
      <c r="D39" s="25">
        <f>-L39/-K39</f>
        <v>24.257819103972956</v>
      </c>
      <c r="E39" s="72">
        <f>ABS((+C39/(40/65)-(C37-C38)/(40/65)))-ABS(180)</f>
        <v>-117.27500000000002</v>
      </c>
      <c r="F39" s="72">
        <f>IF(E39&gt;=0,(E39*11.375),(360+E39)*11.375)</f>
        <v>2760.9968749999998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2760.9968749999998</v>
      </c>
      <c r="O39" s="74">
        <v>0</v>
      </c>
      <c r="P39" s="69">
        <v>10</v>
      </c>
      <c r="Q39" s="74">
        <v>0</v>
      </c>
      <c r="R39" s="69">
        <v>10</v>
      </c>
      <c r="S39" s="70">
        <v>-17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30</v>
      </c>
      <c r="D40" s="25">
        <v>-180</v>
      </c>
      <c r="E40" s="71">
        <f>(ABS(C40)-ABS(D40))</f>
        <v>-150</v>
      </c>
      <c r="F40" s="71">
        <f>IF(E40&gt;=0,(E40*11.375),(360+E40)*11.375)</f>
        <v>2388.75</v>
      </c>
      <c r="G40" s="76">
        <v>5.5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2388.75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550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-480</v>
      </c>
      <c r="E44" s="32"/>
      <c r="F44" s="32"/>
      <c r="G44" s="74">
        <v>0</v>
      </c>
      <c r="H44" s="74">
        <v>60</v>
      </c>
      <c r="I44" s="40">
        <v>1600</v>
      </c>
      <c r="J44" s="40">
        <v>1400</v>
      </c>
      <c r="K44" s="28">
        <f>(J44-I44)/(H44-G44)</f>
        <v>-3.3333333333333335</v>
      </c>
      <c r="L44" s="74">
        <f>ABS(+D44*K44)</f>
        <v>1600</v>
      </c>
      <c r="M44" s="74">
        <v>100</v>
      </c>
      <c r="N44" s="74">
        <v>0</v>
      </c>
      <c r="O44" s="74">
        <v>0</v>
      </c>
      <c r="P44" s="69">
        <v>100</v>
      </c>
      <c r="Q44" s="74">
        <v>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289</v>
      </c>
      <c r="U47" s="43" t="s">
        <v>290</v>
      </c>
      <c r="V47" s="43" t="s">
        <v>291</v>
      </c>
      <c r="W47" s="81" t="s">
        <v>292</v>
      </c>
      <c r="X47" s="81" t="s">
        <v>293</v>
      </c>
      <c r="Y47" s="81" t="s">
        <v>294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43.971291866028707</v>
      </c>
      <c r="E48" s="32"/>
      <c r="F48" s="32"/>
      <c r="G48" s="74">
        <v>-10</v>
      </c>
      <c r="H48" s="74">
        <v>90</v>
      </c>
      <c r="I48" s="40">
        <v>710</v>
      </c>
      <c r="J48" s="40">
        <v>2800</v>
      </c>
      <c r="K48" s="28">
        <f t="shared" ref="K48:K55" si="5">(J48-I48)/(H48-G48)</f>
        <v>20.9</v>
      </c>
      <c r="L48" s="74">
        <f>ABS(D48*K48)</f>
        <v>918.99999999999989</v>
      </c>
      <c r="M48" s="74">
        <v>10</v>
      </c>
      <c r="N48" s="74">
        <v>0</v>
      </c>
      <c r="O48" s="74">
        <v>0</v>
      </c>
      <c r="P48" s="74">
        <v>100</v>
      </c>
      <c r="Q48" s="74">
        <v>0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-98</v>
      </c>
      <c r="E49" s="32"/>
      <c r="F49" s="32"/>
      <c r="G49" s="74">
        <v>0</v>
      </c>
      <c r="H49" s="74">
        <v>90</v>
      </c>
      <c r="I49" s="63">
        <v>245</v>
      </c>
      <c r="J49" s="63">
        <v>20</v>
      </c>
      <c r="K49" s="28">
        <f t="shared" si="5"/>
        <v>-2.5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-183.91304347826087</v>
      </c>
      <c r="E50" s="32"/>
      <c r="F50" s="32"/>
      <c r="G50" s="74">
        <v>0</v>
      </c>
      <c r="H50" s="74">
        <v>180</v>
      </c>
      <c r="I50" s="63">
        <v>470</v>
      </c>
      <c r="J50" s="63">
        <v>10</v>
      </c>
      <c r="K50" s="28">
        <f t="shared" si="5"/>
        <v>-2.5555555555555554</v>
      </c>
      <c r="L50" s="74">
        <f>J50</f>
        <v>10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-93.84615384615384</v>
      </c>
      <c r="E51" s="32"/>
      <c r="F51" s="32"/>
      <c r="G51" s="74">
        <v>0</v>
      </c>
      <c r="H51" s="74">
        <v>90</v>
      </c>
      <c r="I51" s="63">
        <v>244</v>
      </c>
      <c r="J51" s="63">
        <v>10</v>
      </c>
      <c r="K51" s="28">
        <f t="shared" si="5"/>
        <v>-2.6</v>
      </c>
      <c r="L51" s="74">
        <f>I51</f>
        <v>244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-187.74193548387095</v>
      </c>
      <c r="E52" s="32"/>
      <c r="F52" s="32"/>
      <c r="G52" s="74">
        <v>0</v>
      </c>
      <c r="H52" s="74">
        <v>180</v>
      </c>
      <c r="I52" s="63">
        <v>485</v>
      </c>
      <c r="J52" s="63">
        <v>20</v>
      </c>
      <c r="K52" s="28">
        <f t="shared" si="5"/>
        <v>-2.5833333333333335</v>
      </c>
      <c r="L52" s="74">
        <f>J52</f>
        <v>20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-93.75</v>
      </c>
      <c r="E53" s="32"/>
      <c r="F53" s="32"/>
      <c r="G53" s="74">
        <v>0</v>
      </c>
      <c r="H53" s="74">
        <v>90</v>
      </c>
      <c r="I53" s="63">
        <v>250</v>
      </c>
      <c r="J53" s="63">
        <v>10</v>
      </c>
      <c r="K53" s="28">
        <f t="shared" si="5"/>
        <v>-2.6666666666666665</v>
      </c>
      <c r="L53" s="74">
        <f>I53</f>
        <v>250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-202.39234449760764</v>
      </c>
      <c r="E54" s="32"/>
      <c r="F54" s="32"/>
      <c r="G54" s="74">
        <v>0</v>
      </c>
      <c r="H54" s="74">
        <v>180</v>
      </c>
      <c r="I54" s="63">
        <v>470</v>
      </c>
      <c r="J54" s="63">
        <v>52</v>
      </c>
      <c r="K54" s="28">
        <f t="shared" si="5"/>
        <v>-2.3222222222222224</v>
      </c>
      <c r="L54" s="74">
        <f>J54</f>
        <v>52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-286.74418604651163</v>
      </c>
      <c r="E55" s="32"/>
      <c r="F55" s="32"/>
      <c r="G55" s="74">
        <v>0</v>
      </c>
      <c r="H55" s="74">
        <v>270</v>
      </c>
      <c r="I55" s="63">
        <v>685</v>
      </c>
      <c r="J55" s="63">
        <v>40</v>
      </c>
      <c r="K55" s="28">
        <f t="shared" si="5"/>
        <v>-2.3888888888888888</v>
      </c>
      <c r="L55" s="74">
        <f>I55</f>
        <v>685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284</v>
      </c>
      <c r="T58" s="43" t="s">
        <v>289</v>
      </c>
      <c r="U58" s="43" t="s">
        <v>290</v>
      </c>
      <c r="V58" s="43" t="s">
        <v>291</v>
      </c>
      <c r="W58" s="81" t="s">
        <v>292</v>
      </c>
      <c r="X58" s="81" t="s">
        <v>293</v>
      </c>
      <c r="Y58" s="81" t="s">
        <v>294</v>
      </c>
    </row>
    <row r="59" spans="1:25" ht="18.75">
      <c r="A59" s="27">
        <v>0</v>
      </c>
      <c r="B59" s="46" t="s">
        <v>57</v>
      </c>
      <c r="C59" s="24">
        <v>225.1</v>
      </c>
      <c r="D59" s="25">
        <v>180</v>
      </c>
      <c r="E59" s="71">
        <f>(ABS(C59)-ABS(D59))</f>
        <v>45.099999999999994</v>
      </c>
      <c r="F59" s="71">
        <f>IF(E59&gt;=0,(E59*11.375),(360+E59)*11.375)</f>
        <v>513.01249999999993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513.01249999999993</v>
      </c>
      <c r="O59" s="69">
        <v>-30</v>
      </c>
      <c r="P59" s="69">
        <v>10</v>
      </c>
      <c r="Q59" s="69">
        <v>-30</v>
      </c>
      <c r="R59" s="69">
        <v>10</v>
      </c>
      <c r="S59" s="70">
        <v>2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5.4</v>
      </c>
      <c r="D60" s="25">
        <f>45</f>
        <v>45</v>
      </c>
      <c r="E60" s="71">
        <f>(ABS(C60)-ABS(D60))</f>
        <v>-39.6</v>
      </c>
      <c r="F60" s="71">
        <f>IF(E60&gt;=0,(E60*11.375),(360+E60)*11.375)</f>
        <v>3644.5499999999997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3644.5499999999997</v>
      </c>
      <c r="O60" s="69">
        <v>30</v>
      </c>
      <c r="P60" s="69">
        <v>10</v>
      </c>
      <c r="Q60" s="69">
        <v>30</v>
      </c>
      <c r="R60" s="69">
        <v>10</v>
      </c>
      <c r="S60" s="70">
        <v>-15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410</v>
      </c>
      <c r="D61" s="25">
        <f>L61/K61</f>
        <v>245.74218089602704</v>
      </c>
      <c r="E61" s="72">
        <f>ABS((+C61/(40/65)-(C59-C60)/(40/65)))-ABS(180)</f>
        <v>129.23750000000001</v>
      </c>
      <c r="F61" s="72">
        <f>IF(E61&gt;=0,(E61*11.375),(360+E61)*11.375)</f>
        <v>1470.0765625000001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1470.0765625000001</v>
      </c>
      <c r="O61" s="74">
        <v>0</v>
      </c>
      <c r="P61" s="69">
        <v>10</v>
      </c>
      <c r="Q61" s="74">
        <v>0</v>
      </c>
      <c r="R61" s="69">
        <v>10</v>
      </c>
      <c r="S61" s="70">
        <v>-5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48.3</v>
      </c>
      <c r="D62" s="25">
        <v>180</v>
      </c>
      <c r="E62" s="71">
        <f>(ABS(C62)-ABS(D62))</f>
        <v>-131.69999999999999</v>
      </c>
      <c r="F62" s="71">
        <f>IF(E62&gt;=0,(E62*11.375),(360+E62)*11.375)</f>
        <v>2596.9124999999999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2596.9124999999999</v>
      </c>
      <c r="O62" s="69">
        <v>45</v>
      </c>
      <c r="P62" s="69">
        <v>10</v>
      </c>
      <c r="Q62" s="69">
        <v>45</v>
      </c>
      <c r="R62" s="69">
        <v>10</v>
      </c>
      <c r="S62" s="70">
        <v>-9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550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431.25</v>
      </c>
      <c r="E66" s="32"/>
      <c r="F66" s="32"/>
      <c r="G66" s="69">
        <v>0</v>
      </c>
      <c r="H66" s="69">
        <v>60</v>
      </c>
      <c r="I66" s="40">
        <v>2300</v>
      </c>
      <c r="J66" s="40">
        <v>2620</v>
      </c>
      <c r="K66" s="53">
        <f>(J66-I66)/(H66-G66)</f>
        <v>5.333333333333333</v>
      </c>
      <c r="L66" s="69">
        <f>ABS(+D66*K66)</f>
        <v>2300</v>
      </c>
      <c r="M66" s="69">
        <v>100</v>
      </c>
      <c r="N66" s="69">
        <v>0</v>
      </c>
      <c r="O66" s="74">
        <v>0</v>
      </c>
      <c r="P66" s="69">
        <v>100</v>
      </c>
      <c r="Q66" s="74">
        <v>0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289</v>
      </c>
      <c r="U69" s="43" t="s">
        <v>290</v>
      </c>
      <c r="V69" s="43" t="s">
        <v>291</v>
      </c>
      <c r="W69" s="81" t="s">
        <v>292</v>
      </c>
      <c r="X69" s="81" t="s">
        <v>293</v>
      </c>
      <c r="Y69" s="81" t="s">
        <v>294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114</v>
      </c>
      <c r="E70" s="32"/>
      <c r="F70" s="32"/>
      <c r="G70" s="74">
        <v>-10</v>
      </c>
      <c r="H70" s="74">
        <v>90</v>
      </c>
      <c r="I70" s="40">
        <v>1300</v>
      </c>
      <c r="J70" s="40">
        <v>2550</v>
      </c>
      <c r="K70" s="28">
        <f t="shared" ref="K70:K77" si="7">(J70-I70)/(H70-G70)</f>
        <v>12.5</v>
      </c>
      <c r="L70" s="69">
        <f>ABS(D70*K70)</f>
        <v>1425</v>
      </c>
      <c r="M70" s="74">
        <v>10</v>
      </c>
      <c r="N70" s="74">
        <v>0</v>
      </c>
      <c r="O70" s="74">
        <v>0</v>
      </c>
      <c r="P70" s="74">
        <v>100</v>
      </c>
      <c r="Q70" s="74">
        <v>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-93.75</v>
      </c>
      <c r="E71" s="32"/>
      <c r="F71" s="32"/>
      <c r="G71" s="74">
        <v>0</v>
      </c>
      <c r="H71" s="74">
        <v>90</v>
      </c>
      <c r="I71" s="63">
        <v>250</v>
      </c>
      <c r="J71" s="63">
        <v>10</v>
      </c>
      <c r="K71" s="28">
        <f t="shared" si="7"/>
        <v>-2.6666666666666665</v>
      </c>
      <c r="L71" s="74">
        <f>I71</f>
        <v>250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-202.5</v>
      </c>
      <c r="E72" s="32"/>
      <c r="F72" s="32"/>
      <c r="G72" s="74">
        <v>0</v>
      </c>
      <c r="H72" s="74">
        <v>180</v>
      </c>
      <c r="I72" s="63">
        <v>450</v>
      </c>
      <c r="J72" s="63">
        <v>50</v>
      </c>
      <c r="K72" s="28">
        <f t="shared" si="7"/>
        <v>-2.2222222222222223</v>
      </c>
      <c r="L72" s="74">
        <f>+J72</f>
        <v>50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-93.75</v>
      </c>
      <c r="E73" s="32"/>
      <c r="F73" s="32"/>
      <c r="G73" s="74">
        <v>0</v>
      </c>
      <c r="H73" s="74">
        <v>90</v>
      </c>
      <c r="I73" s="63">
        <v>250</v>
      </c>
      <c r="J73" s="63">
        <v>10</v>
      </c>
      <c r="K73" s="28">
        <f t="shared" si="7"/>
        <v>-2.6666666666666665</v>
      </c>
      <c r="L73" s="74">
        <f>I73</f>
        <v>250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-183.75</v>
      </c>
      <c r="E74" s="32"/>
      <c r="F74" s="32"/>
      <c r="G74" s="74">
        <v>0</v>
      </c>
      <c r="H74" s="74">
        <v>180</v>
      </c>
      <c r="I74" s="63">
        <v>490</v>
      </c>
      <c r="J74" s="63">
        <v>10</v>
      </c>
      <c r="K74" s="28">
        <f t="shared" si="7"/>
        <v>-2.6666666666666665</v>
      </c>
      <c r="L74" s="74">
        <f>+J74</f>
        <v>10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-100</v>
      </c>
      <c r="E75" s="32"/>
      <c r="F75" s="32"/>
      <c r="G75" s="74">
        <v>0</v>
      </c>
      <c r="H75" s="74">
        <v>90</v>
      </c>
      <c r="I75" s="63">
        <v>250</v>
      </c>
      <c r="J75" s="63">
        <v>25</v>
      </c>
      <c r="K75" s="28">
        <f t="shared" si="7"/>
        <v>-2.5</v>
      </c>
      <c r="L75" s="74">
        <f>I75</f>
        <v>250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-187.74193548387095</v>
      </c>
      <c r="E76" s="32"/>
      <c r="F76" s="32"/>
      <c r="G76" s="74">
        <v>0</v>
      </c>
      <c r="H76" s="74">
        <v>180</v>
      </c>
      <c r="I76" s="63">
        <v>485</v>
      </c>
      <c r="J76" s="63">
        <v>20</v>
      </c>
      <c r="K76" s="28">
        <f t="shared" si="7"/>
        <v>-2.5833333333333335</v>
      </c>
      <c r="L76" s="74">
        <f>J76</f>
        <v>20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-313.54838709677421</v>
      </c>
      <c r="E77" s="32"/>
      <c r="F77" s="32"/>
      <c r="G77" s="74">
        <v>0</v>
      </c>
      <c r="H77" s="74">
        <v>270</v>
      </c>
      <c r="I77" s="63">
        <v>720</v>
      </c>
      <c r="J77" s="63">
        <v>100</v>
      </c>
      <c r="K77" s="28">
        <f t="shared" si="7"/>
        <v>-2.2962962962962963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287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288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285</v>
      </c>
      <c r="B93" s="65"/>
      <c r="C93" s="3"/>
      <c r="D93" s="3"/>
    </row>
    <row r="94" spans="1:5" ht="21">
      <c r="A94" s="66" t="s">
        <v>282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295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B61" sqref="B61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281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281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283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605.14999999999986</v>
      </c>
      <c r="C95" s="64">
        <f>+INDEX(Sheet1!$N$7:$N20,COLUMN()-COLUMN($B$91)+1)</f>
        <v>348.07499999999993</v>
      </c>
      <c r="D95" s="64">
        <f>+INDEX(Sheet1!$N$7:$N20,COLUMN()-COLUMN($B$91)+1)</f>
        <v>3468.2374999999997</v>
      </c>
      <c r="E95" s="64">
        <f>+INDEX(Sheet1!$N$7:$N20,COLUMN()-COLUMN($B$91)+1)</f>
        <v>3440.9375</v>
      </c>
      <c r="F95" s="64">
        <f>+INDEX(Sheet1!$N$7:$N20,COLUMN()-COLUMN($B$91)+1)</f>
        <v>2029.2999999999997</v>
      </c>
      <c r="G95" s="64">
        <f>+INDEX(Sheet1!$N$7:$N20,COLUMN()-COLUMN($B$91)+1)</f>
        <v>3462.5499999999997</v>
      </c>
      <c r="H95" s="64">
        <f>+INDEX(Sheet1!$N$7:$N20,COLUMN()-COLUMN($B$91)+1)</f>
        <v>3829.9625000000001</v>
      </c>
      <c r="I95" s="64">
        <f>+INDEX(Sheet1!$N$7:$N20,COLUMN()-COLUMN($B$91)+1)</f>
        <v>3458</v>
      </c>
      <c r="J95" s="64">
        <f>+INDEX(Sheet1!$N$7:$N20,COLUMN()-COLUMN($B$91)+1)</f>
        <v>122.85000000000014</v>
      </c>
      <c r="K95" s="64">
        <f>+INDEX(Sheet1!$N$7:$N20,COLUMN()-COLUMN($B$91)+1)</f>
        <v>2600.3249999999998</v>
      </c>
      <c r="L95" s="64">
        <f>+INDEX(Sheet1!$N$7:$N20,COLUMN()-COLUMN($B$91)+1)</f>
        <v>2789.15</v>
      </c>
      <c r="M95" s="64">
        <f>+INDEX(Sheet1!$N$7:$N20,COLUMN()-COLUMN($B$91)+1)</f>
        <v>1605.0125000000003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56" zoomScaleNormal="100" workbookViewId="0">
      <selection activeCell="A96" sqref="A9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-3.3333333333333335</v>
      </c>
    </row>
    <row r="50" spans="1:9">
      <c r="A50" t="s">
        <v>222</v>
      </c>
      <c r="B50" s="22">
        <f>+INDEX(Sheet1!$D$37:$D$44,COLUMN()-COLUMN($B$82)+1)++INDEX(Sheet1!$S$37:$S$44,COLUMN()-COLUMN($B$82)+1)</f>
        <v>-174</v>
      </c>
      <c r="C50" s="22">
        <f>+INDEX(Sheet1!$D$37:$D$44,COLUMN()-COLUMN($B$82)+1)++INDEX(Sheet1!$S$37:$S$44,COLUMN()-COLUMN($B$82)+1)</f>
        <v>-323</v>
      </c>
      <c r="D50" s="22">
        <f>+INDEX(Sheet1!$D$37:$D$44,COLUMN()-COLUMN($B$82)+1)++INDEX(Sheet1!$S$37:$S$44,COLUMN()-COLUMN($B$82)+1)</f>
        <v>7.257819103972956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-480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1600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2934.75</v>
      </c>
      <c r="C82" s="22">
        <f>+INDEX(Sheet1!$N$37:$N$44,COLUMN()-COLUMN($B$82)+1)</f>
        <v>1012.375</v>
      </c>
      <c r="D82" s="22">
        <f>+INDEX(Sheet1!$N$37:$N$44,COLUMN()-COLUMN($B$82)+1)</f>
        <v>2760.9968749999998</v>
      </c>
      <c r="E82" s="22">
        <f>+INDEX(Sheet1!$N$37:$N$44,COLUMN()-COLUMN($B$82)+1)</f>
        <v>2388.75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B68" sqref="B6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20.9</v>
      </c>
      <c r="C49" s="35">
        <f>+INDEX(Sheet1!$K$48:$K$56,COLUMN()-COLUMN($B$83)+1)</f>
        <v>-2.5</v>
      </c>
      <c r="D49" s="35">
        <f>+INDEX(Sheet1!$K$48:$K$56,COLUMN()-COLUMN($B$83)+1)</f>
        <v>-2.5555555555555554</v>
      </c>
      <c r="E49" s="35">
        <f>+INDEX(Sheet1!$K$48:$K$56,COLUMN()-COLUMN($B$83)+1)</f>
        <v>-2.6</v>
      </c>
      <c r="F49" s="35">
        <f>+INDEX(Sheet1!$K$48:$K$56,COLUMN()-COLUMN($B$83)+1)</f>
        <v>-2.5833333333333335</v>
      </c>
      <c r="G49" s="35">
        <f>+INDEX(Sheet1!$K$48:$K$56,COLUMN()-COLUMN($B$83)+1)</f>
        <v>-2.6666666666666665</v>
      </c>
      <c r="H49" s="35">
        <f>+INDEX(Sheet1!$K$48:$K$56,COLUMN()-COLUMN($B$83)+1)</f>
        <v>-2.3222222222222224</v>
      </c>
      <c r="I49" s="35">
        <f>+INDEX(Sheet1!$K$48:$K$56,COLUMN()-COLUMN($B$83)+1)</f>
        <v>-2.3888888888888888</v>
      </c>
    </row>
    <row r="50" spans="1:9">
      <c r="A50" t="s">
        <v>222</v>
      </c>
      <c r="B50" s="35">
        <f>+INDEX(Sheet1!$D$48:$D$56,COLUMN()-COLUMN($B$83)+1)++INDEX(Sheet1!$S$48:$S$56,COLUMN()-COLUMN($B$83)+1)</f>
        <v>43.971291866028707</v>
      </c>
      <c r="C50" s="35">
        <f>+INDEX(Sheet1!$D$48:$D$56,COLUMN()-COLUMN($B$83)+1)++INDEX(Sheet1!$S$48:$S$56,COLUMN()-COLUMN($B$83)+1)</f>
        <v>-98</v>
      </c>
      <c r="D50" s="35">
        <f>+INDEX(Sheet1!$D$48:$D$56,COLUMN()-COLUMN($B$83)+1)++INDEX(Sheet1!$S$48:$S$56,COLUMN()-COLUMN($B$83)+1)</f>
        <v>-183.91304347826087</v>
      </c>
      <c r="E50" s="35">
        <f>+INDEX(Sheet1!$D$48:$D$56,COLUMN()-COLUMN($B$83)+1)++INDEX(Sheet1!$S$48:$S$56,COLUMN()-COLUMN($B$83)+1)</f>
        <v>-93.84615384615384</v>
      </c>
      <c r="F50" s="35">
        <f>+INDEX(Sheet1!$D$48:$D$56,COLUMN()-COLUMN($B$83)+1)++INDEX(Sheet1!$S$48:$S$56,COLUMN()-COLUMN($B$83)+1)</f>
        <v>-187.74193548387095</v>
      </c>
      <c r="G50" s="35">
        <f>+INDEX(Sheet1!$D$48:$D$56,COLUMN()-COLUMN($B$83)+1)++INDEX(Sheet1!$S$48:$S$56,COLUMN()-COLUMN($B$83)+1)</f>
        <v>-93.75</v>
      </c>
      <c r="H50" s="35">
        <f>+INDEX(Sheet1!$D$48:$D$56,COLUMN()-COLUMN($B$83)+1)++INDEX(Sheet1!$S$48:$S$56,COLUMN()-COLUMN($B$83)+1)</f>
        <v>-202.39234449760764</v>
      </c>
      <c r="I50" s="35">
        <f>+INDEX(Sheet1!$D$48:$D$56,COLUMN()-COLUMN($B$83)+1)++INDEX(Sheet1!$S$48:$S$56,COLUMN()-COLUMN($B$83)+1)</f>
        <v>-286.74418604651163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232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918.99999999999989</v>
      </c>
      <c r="C80" s="22">
        <f>+INDEX(Sheet1!$L$48:$L$56,COLUMN()-COLUMN($B$81)+1)</f>
        <v>245</v>
      </c>
      <c r="D80" s="22">
        <f>+INDEX(Sheet1!$L$48:$L$56,COLUMN()-COLUMN($B$81)+1)</f>
        <v>10</v>
      </c>
      <c r="E80" s="22">
        <f>+INDEX(Sheet1!$L$48:$L$56,COLUMN()-COLUMN($B$81)+1)</f>
        <v>244</v>
      </c>
      <c r="F80" s="22">
        <f>+INDEX(Sheet1!$L$48:$L$56,COLUMN()-COLUMN($B$81)+1)</f>
        <v>20</v>
      </c>
      <c r="G80" s="22">
        <f>+INDEX(Sheet1!$L$48:$L$56,COLUMN()-COLUMN($B$81)+1)</f>
        <v>250</v>
      </c>
      <c r="H80" s="22">
        <f>+INDEX(Sheet1!$L$48:$L$56,COLUMN()-COLUMN($B$81)+1)</f>
        <v>52</v>
      </c>
      <c r="I80" s="22">
        <f>+INDEX(Sheet1!$L$48:$L$56,COLUMN()-COLUMN($B$81)+1)</f>
        <v>685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9" zoomScale="115" zoomScaleNormal="11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5.333333333333333</v>
      </c>
    </row>
    <row r="50" spans="1:9">
      <c r="A50" t="s">
        <v>222</v>
      </c>
      <c r="B50" s="22">
        <f>+INDEX(Sheet1!$D$59:$D$66,COLUMN()-COLUMN($B$83)+1)++INDEX(Sheet1!$S$59:$S$66,COLUMN()-COLUMN($B$83)+1)</f>
        <v>182</v>
      </c>
      <c r="C50" s="22">
        <f>+INDEX(Sheet1!$D$59:$D$66,COLUMN()-COLUMN($B$83)+1)++INDEX(Sheet1!$S$59:$S$66,COLUMN()-COLUMN($B$83)+1)</f>
        <v>30</v>
      </c>
      <c r="D50" s="22">
        <f>+INDEX(Sheet1!$D$59:$D$66,COLUMN()-COLUMN($B$83)+1)++INDEX(Sheet1!$S$59:$S$66,COLUMN()-COLUMN($B$83)+1)</f>
        <v>240.74218089602704</v>
      </c>
      <c r="E50" s="22">
        <f>+INDEX(Sheet1!$D$59:$D$66,COLUMN()-COLUMN($B$83)+1)++INDEX(Sheet1!$S$59:$S$66,COLUMN()-COLUMN($B$83)+1)</f>
        <v>171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431.25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2300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513.01249999999993</v>
      </c>
      <c r="C82" s="22">
        <f>+INDEX(Sheet1!$N$59:$N$66,COLUMN()-COLUMN($B$83)+1)</f>
        <v>3644.5499999999997</v>
      </c>
      <c r="D82" s="22">
        <f>+INDEX(Sheet1!$N$59:$N$66,COLUMN()-COLUMN($B$83)+1)</f>
        <v>1470.0765625000001</v>
      </c>
      <c r="E82" s="22">
        <f>+INDEX(Sheet1!$N$59:$N$66,COLUMN()-COLUMN($B$83)+1)</f>
        <v>2596.9124999999999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8" zoomScaleNormal="100" workbookViewId="0">
      <selection activeCell="B8" sqref="B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12.5</v>
      </c>
      <c r="C50" s="35">
        <f>+INDEX(Sheet1!$K$70:$K$77,COLUMN()-COLUMN($B$81)+1)</f>
        <v>-2.6666666666666665</v>
      </c>
      <c r="D50" s="35">
        <f>+INDEX(Sheet1!$K$70:$K$77,COLUMN()-COLUMN($B$81)+1)</f>
        <v>-2.2222222222222223</v>
      </c>
      <c r="E50" s="35">
        <f>+INDEX(Sheet1!$K$70:$K$77,COLUMN()-COLUMN($B$81)+1)</f>
        <v>-2.6666666666666665</v>
      </c>
      <c r="F50" s="35">
        <f>+INDEX(Sheet1!$K$70:$K$77,COLUMN()-COLUMN($B$81)+1)</f>
        <v>-2.6666666666666665</v>
      </c>
      <c r="G50" s="35">
        <f>+INDEX(Sheet1!$K$70:$K$77,COLUMN()-COLUMN($B$81)+1)</f>
        <v>-2.5</v>
      </c>
      <c r="H50" s="35">
        <f>+INDEX(Sheet1!$K$70:$K$77,COLUMN()-COLUMN($B$81)+1)</f>
        <v>-2.5833333333333335</v>
      </c>
      <c r="I50" s="35">
        <f>+INDEX(Sheet1!$K$70:$K$77,COLUMN()-COLUMN($B$81)+1)</f>
        <v>-2.2962962962962963</v>
      </c>
    </row>
    <row r="51" spans="1:9">
      <c r="A51" t="s">
        <v>222</v>
      </c>
      <c r="B51" s="35">
        <f>+INDEX(Sheet1!$D$70:$D$77,COLUMN()-COLUMN($B$81)+1)++INDEX(Sheet1!$S$70:$S$77,COLUMN()-COLUMN($B$81)+1)</f>
        <v>114</v>
      </c>
      <c r="C51" s="35">
        <f>+INDEX(Sheet1!$D$70:$D$77,COLUMN()-COLUMN($B$81)+1)++INDEX(Sheet1!$S$70:$S$77,COLUMN()-COLUMN($B$81)+1)</f>
        <v>-93.75</v>
      </c>
      <c r="D51" s="35">
        <f>+INDEX(Sheet1!$D$70:$D$77,COLUMN()-COLUMN($B$81)+1)++INDEX(Sheet1!$S$70:$S$77,COLUMN()-COLUMN($B$81)+1)</f>
        <v>-202.5</v>
      </c>
      <c r="E51" s="35">
        <f>+INDEX(Sheet1!$D$70:$D$77,COLUMN()-COLUMN($B$81)+1)++INDEX(Sheet1!$S$70:$S$77,COLUMN()-COLUMN($B$81)+1)</f>
        <v>-93.75</v>
      </c>
      <c r="F51" s="35">
        <f>+INDEX(Sheet1!$D$70:$D$77,COLUMN()-COLUMN($B$81)+1)++INDEX(Sheet1!$S$70:$S$77,COLUMN()-COLUMN($B$81)+1)</f>
        <v>-183.75</v>
      </c>
      <c r="G51" s="35">
        <f>+INDEX(Sheet1!$D$70:$D$77,COLUMN()-COLUMN($B$81)+1)++INDEX(Sheet1!$S$70:$S$77,COLUMN()-COLUMN($B$81)+1)</f>
        <v>-100</v>
      </c>
      <c r="H51" s="35">
        <f>+INDEX(Sheet1!$D$70:$D$77,COLUMN()-COLUMN($B$81)+1)++INDEX(Sheet1!$S$70:$S$77,COLUMN()-COLUMN($B$81)+1)</f>
        <v>-187.74193548387095</v>
      </c>
      <c r="I51" s="35">
        <f>+INDEX(Sheet1!$D$70:$D$77,COLUMN()-COLUMN($B$81)+1)++INDEX(Sheet1!$S$70:$S$77,COLUMN()-COLUMN($B$81)+1)</f>
        <v>-313.54838709677421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232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1425</v>
      </c>
      <c r="C81" s="22">
        <f>+INDEX(Sheet1!$L$70:$L$77,COLUMN()-COLUMN($B$79)+1)</f>
        <v>250</v>
      </c>
      <c r="D81" s="22">
        <f>+INDEX(Sheet1!$L$70:$L$77,COLUMN()-COLUMN($B$79)+1)</f>
        <v>50</v>
      </c>
      <c r="E81" s="22">
        <f>+INDEX(Sheet1!$L$70:$L$77,COLUMN()-COLUMN($B$79)+1)</f>
        <v>250</v>
      </c>
      <c r="F81" s="22">
        <f>+INDEX(Sheet1!$L$70:$L$77,COLUMN()-COLUMN($B$79)+1)</f>
        <v>10</v>
      </c>
      <c r="G81" s="22">
        <f>+INDEX(Sheet1!$L$70:$L$77,COLUMN()-COLUMN($B$79)+1)</f>
        <v>250</v>
      </c>
      <c r="H81" s="22">
        <f>+INDEX(Sheet1!$L$70:$L$77,COLUMN()-COLUMN($B$79)+1)</f>
        <v>20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2" zoomScale="85" zoomScaleNormal="85" workbookViewId="0">
      <selection activeCell="B76" sqref="B76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32</v>
      </c>
      <c r="C38" s="22">
        <f>+INDEX(Sheet1!$D$24:$D$34,COLUMN()-COLUMN($B$59)+1)++INDEX(Sheet1!$S$24:$S$34,COLUMN()-COLUMN($B$59)+1)</f>
        <v>54</v>
      </c>
      <c r="D38" s="22">
        <f>+INDEX(Sheet1!$D$24:$D$34,COLUMN()-COLUMN($B$59)+1)++INDEX(Sheet1!$S$24:$S$34,COLUMN()-COLUMN($B$59)+1)</f>
        <v>58.45</v>
      </c>
      <c r="E38" s="22">
        <f>+INDEX(Sheet1!$D$24:$D$34,COLUMN()-COLUMN($B$59)+1)++INDEX(Sheet1!$S$24:$S$34,COLUMN()-COLUMN($B$59)+1)</f>
        <v>-41.4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1600</v>
      </c>
      <c r="J36">
        <f>Left_hand!B80</f>
        <v>918.99999999999989</v>
      </c>
      <c r="K36">
        <f>Left_hand!C80</f>
        <v>245</v>
      </c>
      <c r="L36">
        <f>Left_hand!D80</f>
        <v>10</v>
      </c>
      <c r="M36">
        <f>Left_hand!E80</f>
        <v>244</v>
      </c>
      <c r="N36">
        <f>Left_hand!F80</f>
        <v>20</v>
      </c>
      <c r="O36">
        <f>Left_hand!G80</f>
        <v>250</v>
      </c>
      <c r="P36">
        <f>Left_hand!H80</f>
        <v>52</v>
      </c>
      <c r="Q36">
        <f>Left_hand!I80</f>
        <v>685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2934.75</v>
      </c>
      <c r="C38">
        <f>Left_arm!C82</f>
        <v>1012.375</v>
      </c>
      <c r="D38">
        <f>Left_arm!D82</f>
        <v>2760.9968749999998</v>
      </c>
      <c r="E38">
        <f>Left_arm!E82</f>
        <v>2388.75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2300</v>
      </c>
      <c r="J49">
        <f>Right_hand!B81</f>
        <v>1425</v>
      </c>
      <c r="K49">
        <f>Right_hand!C81</f>
        <v>250</v>
      </c>
      <c r="L49">
        <f>Right_hand!D81</f>
        <v>50</v>
      </c>
      <c r="M49">
        <f>Right_hand!E81</f>
        <v>250</v>
      </c>
      <c r="N49">
        <f>Right_hand!F81</f>
        <v>10</v>
      </c>
      <c r="O49">
        <f>Right_hand!G81</f>
        <v>250</v>
      </c>
      <c r="P49">
        <f>Right_hand!H81</f>
        <v>20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513.01249999999993</v>
      </c>
      <c r="C51">
        <f>Right_arm!C82</f>
        <v>3644.5499999999997</v>
      </c>
      <c r="D51">
        <f>Right_arm!D82</f>
        <v>1470.0765625000001</v>
      </c>
      <c r="E51">
        <f>Right_arm!E82</f>
        <v>2596.9124999999999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3829.9625000000001</v>
      </c>
      <c r="C64">
        <f>Legs!I95</f>
        <v>3458</v>
      </c>
      <c r="D64">
        <f>Legs!J95</f>
        <v>122.85000000000014</v>
      </c>
      <c r="E64">
        <f>Legs!K95</f>
        <v>2600.3249999999998</v>
      </c>
      <c r="F64">
        <f>Legs!L95</f>
        <v>2789.15</v>
      </c>
      <c r="G64">
        <f>Legs!M95</f>
        <v>1605.0125000000003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605.14999999999986</v>
      </c>
      <c r="C76">
        <f>Legs!C95</f>
        <v>348.07499999999993</v>
      </c>
      <c r="D76">
        <f>Legs!D95</f>
        <v>3468.2374999999997</v>
      </c>
      <c r="E76">
        <f>Legs!E95</f>
        <v>3440.9375</v>
      </c>
      <c r="F76">
        <f>Legs!F95</f>
        <v>2029.2999999999997</v>
      </c>
      <c r="G76">
        <f>Legs!G95</f>
        <v>3462.5499999999997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2010-04-07T15:03:03Z</dcterms:modified>
</cp:coreProperties>
</file>