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4519"/>
</workbook>
</file>

<file path=xl/calcChain.xml><?xml version="1.0" encoding="utf-8"?>
<calcChain xmlns="http://schemas.openxmlformats.org/spreadsheetml/2006/main">
  <c r="C62" i="6"/>
  <c r="D62"/>
  <c r="E62"/>
  <c r="F62"/>
  <c r="G62"/>
  <c r="H62"/>
  <c r="I62"/>
  <c r="B62"/>
  <c r="C61"/>
  <c r="D61"/>
  <c r="E61"/>
  <c r="F61"/>
  <c r="G61"/>
  <c r="H61"/>
  <c r="I61"/>
  <c r="B61"/>
  <c r="C60" i="4"/>
  <c r="D60"/>
  <c r="E60"/>
  <c r="F60"/>
  <c r="G60"/>
  <c r="H60"/>
  <c r="I60"/>
  <c r="B60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<sst xmlns="http://schemas.openxmlformats.org/spreadsheetml/2006/main" count="791" uniqueCount="295">
  <si>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</si>
  <si>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</si>
  <si>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</si>
  <si>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</si>
  <si>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</si>
  <si>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</si>
  <si>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</si>
  <si>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</si>
  <si>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</si>
  <si>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</si>
  <si>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</si>
  <si>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</si>
  <si>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</si>
  <si>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</si>
  <si>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</si>
  <si>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</si>
  <si>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</si>
  <si>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</si>
  <si>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</si>
  <si>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</si>
  <si>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</si>
  <si>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</si>
  <si>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</si>
  <si>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</si>
  <si>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</si>
  <si>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</si>
  <si>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</si>
  <si>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</si>
  <si>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</si>
  <si>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</si>
  <si>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</si>
  <si>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</si>
  <si>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</si>
  <si>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</si>
  <si>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</si>
  <si>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</si>
  <si>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</si>
  <si>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</si>
  <si>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</si>
  <si>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</si>
  <si>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</si>
  <si>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</si>
  <si>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</si>
  <si>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</si>
  <si>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</si>
  <si>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</si>
  <si>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</si>
  <si>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</si>
  <si>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</si>
  <si>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</si>
  <si>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</si>
  <si>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</si>
  <si>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</si>
  <si>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</si>
  <si>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</si>
  <si>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</si>
  <si>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</si>
  <si>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</si>
  <si>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</si>
  <si>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</si>
  <si>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</si>
  <si>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</si>
  <si>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</si>
  <si>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</si>
  <si>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</si>
  <si>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</si>
  <si>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</si>
  <si>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</si>
  <si>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</si>
  <si>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</si>
  <si>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</si>
  <si>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</si>
  <si>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</si>
  <si>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</si>
  <si>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</si>
  <si>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</si>
  <si>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</si>
  <si>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</si>
  <si>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</si>
  <si>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</si>
  <si>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</si>
  <si>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</si>
  <si>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</si>
  <si>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</si>
  <si>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</si>
  <si>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</si>
  <si>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</si>
  <si>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</si>
  <si>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</si>
  <si>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</si>
  <si>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</si>
  <si>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</si>
  <si>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</si>
  <si>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</si>
  <si>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</si>
  <si>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</si>
  <si>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</si>
  <si>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</si>
  <si>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</si>
  <si>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</si>
  <si>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</si>
  <si>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</si>
  <si>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</si>
  <si>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</si>
  <si>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</si>
  <si>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</si>
  <si>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</si>
  <si>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</si>
  <si>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</si>
  <si>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</si>
  <si>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</si>
  <si>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</si>
  <si>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</si>
  <si>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</si>
  <si>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</si>
  <si>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</si>
  <si>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</si>
  <si>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</si>
  <si>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</si>
  <si>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</si>
  <si>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</si>
  <si>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</si>
  <si>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</si>
  <si>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</si>
  <si>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</si>
  <si>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</si>
  <si>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</si>
  <si>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</si>
  <si>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</si>
  <si>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</si>
  <si>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</si>
  <si>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</si>
  <si>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</si>
  <si>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</si>
  <si>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</si>
  <si>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</si>
  <si>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</si>
  <si>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</si>
  <si>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</si>
  <si>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</si>
  <si>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</si>
  <si>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</si>
  <si>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</si>
  <si>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</si>
  <si>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</si>
  <si>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</si>
  <si>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</si>
  <si>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</si>
  <si>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</si>
  <si>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</si>
  <si>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</si>
  <si>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</si>
  <si>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</si>
  <si>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</si>
  <si>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</si>
  <si>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</si>
  <si>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</si>
  <si>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</si>
  <si>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</si>
  <si>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</si>
  <si>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</si>
  <si>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</si>
  <si>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</si>
  <si>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</si>
  <si>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</si>
  <si>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</si>
  <si>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</si>
  <si>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</si>
  <si>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</si>
  <si>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</si>
  <si>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</si>
  <si>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</si>
  <si>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</si>
  <si>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</si>
  <si>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</si>
  <si>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</si>
  <si>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</si>
  <si>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</si>
  <si>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</si>
  <si>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</si>
  <si>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</si>
  <si>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</si>
  <si>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</si>
  <si>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</si>
  <si>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</si>
  <si>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</si>
  <si>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</si>
  <si>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</si>
  <si>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</si>
  <si>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</si>
  <si>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</si>
  <si>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</si>
  <si>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</si>
  <si>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</si>
  <si>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</si>
  <si>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</si>
  <si>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</si>
  <si>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</si>
  <si>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</si>
  <si>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</si>
  <si>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</si>
  <si>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</si>
  <si>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</si>
  <si>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</si>
  <si>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</si>
  <si>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</si>
  <si>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</si>
  <si>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</si>
  <si>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</si>
  <si>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</si>
  <si>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</si>
  <si>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</si>
  <si>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</si>
  <si>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</si>
  <si>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</si>
  <si>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</si>
  <si>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</si>
  <si>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</si>
  <si>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</si>
  <si>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</si>
  <si>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</si>
  <si>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</si>
  <si>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</si>
  <si>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</si>
  <si>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</si>
  <si>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</si>
  <si>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</si>
  <si>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</si>
  <si>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</si>
  <si>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</si>
  <si>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</si>
  <si>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</si>
  <si>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</si>
  <si>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</si>
  <si>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</si>
  <si>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</si>
  <si>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</si>
  <si>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</si>
  <si>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</si>
  <si>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</si>
  <si>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</si>
  <si>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</si>
  <si>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</si>
  <si>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</si>
  <si>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</si>
  <si>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</si>
  <si>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</si>
  <si>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</si>
  <si>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</si>
  <si>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</si>
  <si>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</si>
  <si>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</si>
  <si>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</si>
  <si>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</si>
  <si>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</si>
  <si>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</si>
  <si>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</si>
  <si>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</si>
  <si>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</si>
  <si>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</si>
  <si>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</si>
  <si>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</si>
  <si>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</si>
  <si>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</si>
  <si>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</si>
  <si>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</si>
  <si>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</si>
  <si>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</si>
  <si>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</si>
  <si>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</si>
  <si>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</si>
  <si>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</si>
  <si>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</si>
  <si>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</si>
  <si>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</si>
  <si>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</si>
  <si>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</si>
  <si>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</si>
  <si>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</si>
  <si>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</si>
  <si>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</si>
  <si>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</si>
  <si>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</si>
  <si>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</si>
  <si>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</si>
  <si>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</si>
  <si>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</si>
  <si>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</si>
  <si>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</si>
  <si>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</si>
  <si>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</si>
  <si>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</si>
  <si>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</si>
  <si>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SpeedMessage (0x20E 0x08 0x0A)</t>
  </si>
  <si>
    <t>Y:\iCub\app\iCubGenova02\conf\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</si>
</sst>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8" zoomScale="55" zoomScaleNormal="55" workbookViewId="0">
      <selection activeCell="B96" sqref="B96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284</v>
      </c>
      <c r="P6" s="43" t="s">
        <v>250</v>
      </c>
      <c r="Q6" s="43" t="s">
        <v>206</v>
      </c>
      <c r="R6" s="43" t="s">
        <v>207</v>
      </c>
      <c r="S6" s="43" t="s">
        <v>282</v>
      </c>
      <c r="T6" s="43" t="s">
        <v>287</v>
      </c>
      <c r="U6" s="43" t="s">
        <v>288</v>
      </c>
      <c r="V6" s="43" t="s">
        <v>289</v>
      </c>
      <c r="W6" s="81" t="s">
        <v>290</v>
      </c>
      <c r="X6" s="81" t="s">
        <v>291</v>
      </c>
      <c r="Y6" s="81" t="s">
        <v>292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282</v>
      </c>
      <c r="T23" s="43" t="s">
        <v>287</v>
      </c>
      <c r="U23" s="43" t="s">
        <v>288</v>
      </c>
      <c r="V23" s="43" t="s">
        <v>289</v>
      </c>
      <c r="W23" s="81" t="s">
        <v>290</v>
      </c>
      <c r="X23" s="81" t="s">
        <v>291</v>
      </c>
      <c r="Y23" s="81" t="s">
        <v>292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500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500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282</v>
      </c>
      <c r="T36" s="43" t="s">
        <v>287</v>
      </c>
      <c r="U36" s="43" t="s">
        <v>288</v>
      </c>
      <c r="V36" s="43" t="s">
        <v>289</v>
      </c>
      <c r="W36" s="81" t="s">
        <v>290</v>
      </c>
      <c r="X36" s="81" t="s">
        <v>291</v>
      </c>
      <c r="Y36" s="81" t="s">
        <v>292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15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450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30</v>
      </c>
      <c r="P44" s="69">
        <v>100</v>
      </c>
      <c r="Q44" s="74">
        <v>30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287</v>
      </c>
      <c r="U47" s="43" t="s">
        <v>288</v>
      </c>
      <c r="V47" s="43" t="s">
        <v>289</v>
      </c>
      <c r="W47" s="81" t="s">
        <v>290</v>
      </c>
      <c r="X47" s="81" t="s">
        <v>291</v>
      </c>
      <c r="Y47" s="81" t="s">
        <v>292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51.951219512195124</v>
      </c>
      <c r="E48" s="32"/>
      <c r="F48" s="32"/>
      <c r="G48" s="74">
        <v>0</v>
      </c>
      <c r="H48" s="74">
        <v>90</v>
      </c>
      <c r="I48" s="40">
        <v>710</v>
      </c>
      <c r="J48" s="40">
        <v>1940</v>
      </c>
      <c r="K48" s="28">
        <f t="shared" ref="K48:K55" si="5">(J48-I48)/(H48-G48)</f>
        <v>13.666666666666666</v>
      </c>
      <c r="L48" s="74">
        <f>ABS(D48*K48)</f>
        <v>710</v>
      </c>
      <c r="M48" s="74">
        <v>10</v>
      </c>
      <c r="N48" s="74">
        <v>0</v>
      </c>
      <c r="O48" s="74">
        <v>15</v>
      </c>
      <c r="P48" s="74">
        <v>100</v>
      </c>
      <c r="Q48" s="74">
        <v>15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282</v>
      </c>
      <c r="T58" s="43" t="s">
        <v>287</v>
      </c>
      <c r="U58" s="43" t="s">
        <v>288</v>
      </c>
      <c r="V58" s="43" t="s">
        <v>289</v>
      </c>
      <c r="W58" s="81" t="s">
        <v>290</v>
      </c>
      <c r="X58" s="81" t="s">
        <v>291</v>
      </c>
      <c r="Y58" s="81" t="s">
        <v>292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450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15</v>
      </c>
      <c r="P66" s="69">
        <v>100</v>
      </c>
      <c r="Q66" s="74">
        <v>15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287</v>
      </c>
      <c r="U69" s="43" t="s">
        <v>288</v>
      </c>
      <c r="V69" s="43" t="s">
        <v>289</v>
      </c>
      <c r="W69" s="81" t="s">
        <v>290</v>
      </c>
      <c r="X69" s="81" t="s">
        <v>291</v>
      </c>
      <c r="Y69" s="81" t="s">
        <v>292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140.23255813953489</v>
      </c>
      <c r="E70" s="32"/>
      <c r="F70" s="32"/>
      <c r="G70" s="74">
        <v>0</v>
      </c>
      <c r="H70" s="74">
        <v>90</v>
      </c>
      <c r="I70" s="40">
        <v>1340</v>
      </c>
      <c r="J70" s="40">
        <v>2200</v>
      </c>
      <c r="K70" s="28">
        <f t="shared" ref="K70:K77" si="7">(J70-I70)/(H70-G70)</f>
        <v>9.5555555555555554</v>
      </c>
      <c r="L70" s="69">
        <f>ABS(D70*K70)</f>
        <v>1340</v>
      </c>
      <c r="M70" s="74">
        <v>10</v>
      </c>
      <c r="N70" s="74">
        <v>0</v>
      </c>
      <c r="O70" s="74">
        <v>30</v>
      </c>
      <c r="P70" s="74">
        <v>100</v>
      </c>
      <c r="Q70" s="74">
        <v>30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285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286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283</v>
      </c>
      <c r="B93" s="65"/>
      <c r="C93" s="3"/>
      <c r="D93" s="3"/>
    </row>
    <row r="94" spans="1:5" ht="21">
      <c r="A94" s="66" t="s">
        <v>280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294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37" workbookViewId="0">
      <selection activeCell="B55" sqref="B5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279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279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281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workbookViewId="0">
      <selection activeCell="G63" sqref="G63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1000</v>
      </c>
      <c r="H64">
        <v>1000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450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30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30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17" workbookViewId="0">
      <selection activeCell="C37" sqref="A35:C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37" spans="1:9">
      <c r="A37" t="s">
        <v>293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13.666666666666666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51.951219512195124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+INDEX(Sheet1!$H$48:$H$77,COLUMN()-COLUMN($B$83)+1)</f>
        <v>90</v>
      </c>
      <c r="C60" s="22">
        <f>+INDEX(Sheet1!$H$48:$H$77,COLUMN()-COLUMN($B$83)+1)</f>
        <v>90</v>
      </c>
      <c r="D60" s="22">
        <f>+INDEX(Sheet1!$H$48:$H$77,COLUMN()-COLUMN($B$83)+1)</f>
        <v>180</v>
      </c>
      <c r="E60" s="22">
        <f>+INDEX(Sheet1!$H$48:$H$77,COLUMN()-COLUMN($B$83)+1)</f>
        <v>90</v>
      </c>
      <c r="F60" s="22">
        <f>+INDEX(Sheet1!$H$48:$H$77,COLUMN()-COLUMN($B$83)+1)</f>
        <v>180</v>
      </c>
      <c r="G60" s="22">
        <f>+INDEX(Sheet1!$H$48:$H$77,COLUMN()-COLUMN($B$83)+1)</f>
        <v>90</v>
      </c>
      <c r="H60" s="22">
        <f>+INDEX(Sheet1!$H$48:$H$77,COLUMN()-COLUMN($B$83)+1)</f>
        <v>180</v>
      </c>
      <c r="I60" s="22">
        <f>+INDEX(Sheet1!$H$48:$H$77,COLUMN()-COLUMN($B$83)+1)</f>
        <v>270</v>
      </c>
    </row>
    <row r="61" spans="1:9">
      <c r="A61" t="s">
        <v>232</v>
      </c>
      <c r="B61" s="22">
        <f>+INDEX(Sheet1!$G$48:$G$77,COLUMN()-COLUMN($B$83)+1)</f>
        <v>0</v>
      </c>
      <c r="C61" s="22">
        <f>+INDEX(Sheet1!$G$48:$G$77,COLUMN()-COLUMN($B$83)+1)</f>
        <v>0</v>
      </c>
      <c r="D61" s="22">
        <f>+INDEX(Sheet1!$G$48:$G$77,COLUMN()-COLUMN($B$83)+1)</f>
        <v>0</v>
      </c>
      <c r="E61" s="22">
        <f>+INDEX(Sheet1!$G$48:$G$77,COLUMN()-COLUMN($B$83)+1)</f>
        <v>0</v>
      </c>
      <c r="F61" s="22">
        <f>+INDEX(Sheet1!$G$48:$G$77,COLUMN()-COLUMN($B$83)+1)</f>
        <v>0</v>
      </c>
      <c r="G61" s="22">
        <f>+INDEX(Sheet1!$G$48:$G$77,COLUMN()-COLUMN($B$83)+1)</f>
        <v>0</v>
      </c>
      <c r="H61" s="22">
        <f>+INDEX(Sheet1!$G$48:$G$77,COLUMN()-COLUMN($B$83)+1)</f>
        <v>0</v>
      </c>
      <c r="I61" s="22">
        <f>+INDEX(Sheet1!$G$48:$G$77,COLUMN()-COLUMN($B$83)+1)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710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15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15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9" zoomScale="85" zoomScaleNormal="85" workbookViewId="0">
      <selection activeCell="G64" sqref="G64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1000</v>
      </c>
      <c r="H64">
        <v>1000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450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15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15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1" workbookViewId="0">
      <selection activeCell="C36" sqref="C3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0" spans="1:9">
      <c r="A40" t="s">
        <v>293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9.5555555555555554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140.23255813953489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+INDEX(Sheet1!$H$70:$H$77,COLUMN()-COLUMN($B$81)+1)</f>
        <v>90</v>
      </c>
      <c r="C61" s="22">
        <f>+INDEX(Sheet1!$H$70:$H$77,COLUMN()-COLUMN($B$81)+1)</f>
        <v>90</v>
      </c>
      <c r="D61" s="22">
        <f>+INDEX(Sheet1!$H$70:$H$77,COLUMN()-COLUMN($B$81)+1)</f>
        <v>180</v>
      </c>
      <c r="E61" s="22">
        <f>+INDEX(Sheet1!$H$70:$H$77,COLUMN()-COLUMN($B$81)+1)</f>
        <v>90</v>
      </c>
      <c r="F61" s="22">
        <f>+INDEX(Sheet1!$H$70:$H$77,COLUMN()-COLUMN($B$81)+1)</f>
        <v>180</v>
      </c>
      <c r="G61" s="22">
        <f>+INDEX(Sheet1!$H$70:$H$77,COLUMN()-COLUMN($B$81)+1)</f>
        <v>90</v>
      </c>
      <c r="H61" s="22">
        <f>+INDEX(Sheet1!$H$70:$H$77,COLUMN()-COLUMN($B$81)+1)</f>
        <v>180</v>
      </c>
      <c r="I61" s="22">
        <f>+INDEX(Sheet1!$H$70:$H$77,COLUMN()-COLUMN($B$81)+1)</f>
        <v>270</v>
      </c>
    </row>
    <row r="62" spans="1:9">
      <c r="A62" t="s">
        <v>232</v>
      </c>
      <c r="B62" s="22">
        <f>+INDEX(Sheet1!$G$70:$G$77,COLUMN()-COLUMN($B$81)+1)</f>
        <v>0</v>
      </c>
      <c r="C62" s="22">
        <f>+INDEX(Sheet1!$G$70:$G$77,COLUMN()-COLUMN($B$81)+1)</f>
        <v>0</v>
      </c>
      <c r="D62" s="22">
        <f>+INDEX(Sheet1!$G$70:$G$77,COLUMN()-COLUMN($B$81)+1)</f>
        <v>0</v>
      </c>
      <c r="E62" s="22">
        <f>+INDEX(Sheet1!$G$70:$G$77,COLUMN()-COLUMN($B$81)+1)</f>
        <v>0</v>
      </c>
      <c r="F62" s="22">
        <f>+INDEX(Sheet1!$G$70:$G$77,COLUMN()-COLUMN($B$81)+1)</f>
        <v>0</v>
      </c>
      <c r="G62" s="22">
        <f>+INDEX(Sheet1!$G$70:$G$77,COLUMN()-COLUMN($B$81)+1)</f>
        <v>0</v>
      </c>
      <c r="H62" s="22">
        <f>+INDEX(Sheet1!$G$70:$G$77,COLUMN()-COLUMN($B$81)+1)</f>
        <v>0</v>
      </c>
      <c r="I62" s="22">
        <f>+INDEX(Sheet1!$G$70:$G$77,COLUMN()-COLUMN($B$81)+1)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1340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30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30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G68" sqref="G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500</v>
      </c>
      <c r="G68" s="22">
        <f>+INDEX(Sheet1!$L$24:$L34,COLUMN()-COLUMN($B$69)+1)</f>
        <v>500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450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710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30</v>
      </c>
      <c r="J42">
        <f>Left_hand!B83</f>
        <v>15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450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1340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francesco</cp:lastModifiedBy>
  <dcterms:created xsi:type="dcterms:W3CDTF">2009-11-13T07:16:58Z</dcterms:created>
  <dcterms:modified xsi:type="dcterms:W3CDTF">2010-05-18T10:34:51Z</dcterms:modified>
</cp:coreProperties>
</file>