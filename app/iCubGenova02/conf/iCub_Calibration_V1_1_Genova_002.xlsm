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 activeTab="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calcPr calcId="125725"/>
</workbook>
</file>

<file path=xl/calcChain.xml><?xml version="1.0" encoding="utf-8"?>
<calcChain xmlns="http://schemas.openxmlformats.org/spreadsheetml/2006/main">
  <c r="C38" i="7"/>
  <c r="D38"/>
  <c r="E38"/>
  <c r="F38"/>
  <c r="G38"/>
  <c r="H38"/>
  <c r="I38"/>
  <c r="J38"/>
  <c r="K38"/>
  <c r="C49" i="4"/>
  <c r="D49"/>
  <c r="E49"/>
  <c r="F49"/>
  <c r="G49"/>
  <c r="H49"/>
  <c r="I49"/>
  <c r="B49"/>
  <c r="C52" i="6" l="1"/>
  <c r="D52"/>
  <c r="E52"/>
  <c r="F52"/>
  <c r="G52"/>
  <c r="H52"/>
  <c r="I52"/>
  <c r="B52"/>
  <c r="C51"/>
  <c r="D51"/>
  <c r="E51"/>
  <c r="F51"/>
  <c r="G51"/>
  <c r="H51"/>
  <c r="I51"/>
  <c r="B51"/>
  <c r="B45" i="5"/>
  <c r="C45"/>
  <c r="D45"/>
  <c r="E45"/>
  <c r="F45"/>
  <c r="G45"/>
  <c r="H45"/>
  <c r="I45"/>
  <c r="B46"/>
  <c r="C46"/>
  <c r="D46"/>
  <c r="E46"/>
  <c r="F46"/>
  <c r="G46"/>
  <c r="H46"/>
  <c r="I46"/>
  <c r="C42" i="8"/>
  <c r="D42"/>
  <c r="E42"/>
  <c r="F42"/>
  <c r="G42"/>
  <c r="H42"/>
  <c r="I42"/>
  <c r="C43"/>
  <c r="D43"/>
  <c r="E43"/>
  <c r="F43"/>
  <c r="G43"/>
  <c r="H43"/>
  <c r="I43"/>
  <c r="B43"/>
  <c r="B42"/>
  <c r="L55" i="1"/>
  <c r="C35" i="8" l="1"/>
  <c r="D35"/>
  <c r="E35"/>
  <c r="F35"/>
  <c r="G35"/>
  <c r="H35"/>
  <c r="I35"/>
  <c r="B35"/>
  <c r="L38" i="1"/>
  <c r="L37"/>
  <c r="L60"/>
  <c r="L59"/>
  <c r="L39"/>
  <c r="L61"/>
  <c r="D60"/>
  <c r="D39"/>
  <c r="E39"/>
  <c r="E61"/>
  <c r="E62"/>
  <c r="F62" s="1"/>
  <c r="E60"/>
  <c r="F60" s="1"/>
  <c r="N60" s="1"/>
  <c r="C68" i="5" s="1"/>
  <c r="C51" i="8" s="1"/>
  <c r="C67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C48" i="4"/>
  <c r="D48"/>
  <c r="E48"/>
  <c r="F48"/>
  <c r="G48"/>
  <c r="H48"/>
  <c r="I48"/>
  <c r="B48"/>
  <c r="L72" i="1"/>
  <c r="L74"/>
  <c r="C46" i="3"/>
  <c r="D46"/>
  <c r="E46"/>
  <c r="F46"/>
  <c r="G46"/>
  <c r="H46"/>
  <c r="I46"/>
  <c r="C47"/>
  <c r="D47"/>
  <c r="E47"/>
  <c r="F47"/>
  <c r="G47"/>
  <c r="H47"/>
  <c r="I47"/>
  <c r="B47"/>
  <c r="B46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46" i="2"/>
  <c r="D46"/>
  <c r="E46"/>
  <c r="F46"/>
  <c r="G46"/>
  <c r="H46"/>
  <c r="I46"/>
  <c r="J46"/>
  <c r="K46"/>
  <c r="L46"/>
  <c r="M46"/>
  <c r="C47"/>
  <c r="D47"/>
  <c r="E47"/>
  <c r="F47"/>
  <c r="G47"/>
  <c r="H47"/>
  <c r="I47"/>
  <c r="J47"/>
  <c r="K47"/>
  <c r="L47"/>
  <c r="M47"/>
  <c r="B47"/>
  <c r="B46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38" i="3"/>
  <c r="C38"/>
  <c r="D38"/>
  <c r="E38"/>
  <c r="G38"/>
  <c r="H38"/>
  <c r="B39"/>
  <c r="C39"/>
  <c r="E39"/>
  <c r="F39"/>
  <c r="G39"/>
  <c r="H39"/>
  <c r="B51"/>
  <c r="C51"/>
  <c r="D51"/>
  <c r="E51"/>
  <c r="E55"/>
  <c r="F55"/>
  <c r="E56"/>
  <c r="F56"/>
  <c r="E57"/>
  <c r="F57"/>
  <c r="E58"/>
  <c r="F58"/>
  <c r="E59"/>
  <c r="F59"/>
  <c r="E60"/>
  <c r="F60"/>
  <c r="E61"/>
  <c r="F61"/>
  <c r="E62"/>
  <c r="F62"/>
  <c r="B67"/>
  <c r="B36" i="8" s="1"/>
  <c r="C67" i="3"/>
  <c r="C36" i="8" s="1"/>
  <c r="E67" i="3"/>
  <c r="E36" i="8" s="1"/>
  <c r="F67" i="3"/>
  <c r="F36" i="8" s="1"/>
  <c r="G67" i="3"/>
  <c r="G36" i="8" s="1"/>
  <c r="H67" i="3"/>
  <c r="H36" i="8" s="1"/>
  <c r="B68" i="3"/>
  <c r="B37" i="8" s="1"/>
  <c r="C68" i="3"/>
  <c r="C37" i="8" s="1"/>
  <c r="D68" i="3"/>
  <c r="D37" i="8" s="1"/>
  <c r="E68" i="3"/>
  <c r="E37" i="8" s="1"/>
  <c r="F68" i="3"/>
  <c r="F37" i="8" s="1"/>
  <c r="G68" i="3"/>
  <c r="G37" i="8" s="1"/>
  <c r="H68" i="3"/>
  <c r="H37" i="8" s="1"/>
  <c r="I68" i="3"/>
  <c r="I37" i="8" s="1"/>
  <c r="F69" i="3"/>
  <c r="F38" i="8" s="1"/>
  <c r="G69" i="3"/>
  <c r="G38" i="8" s="1"/>
  <c r="H69" i="3"/>
  <c r="H38" i="8" s="1"/>
  <c r="I69" i="3"/>
  <c r="I38" i="8" s="1"/>
  <c r="E56" i="4"/>
  <c r="F56"/>
  <c r="E57"/>
  <c r="F57"/>
  <c r="E58"/>
  <c r="F58"/>
  <c r="E59"/>
  <c r="F59"/>
  <c r="E60"/>
  <c r="F60"/>
  <c r="E61"/>
  <c r="F61"/>
  <c r="E62"/>
  <c r="F62"/>
  <c r="E63"/>
  <c r="F63"/>
  <c r="B69"/>
  <c r="J37" i="8" s="1"/>
  <c r="C69" i="4"/>
  <c r="K37" i="8" s="1"/>
  <c r="D69" i="4"/>
  <c r="L37" i="8" s="1"/>
  <c r="E69" i="4"/>
  <c r="M37" i="8" s="1"/>
  <c r="F69" i="4"/>
  <c r="N37" i="8" s="1"/>
  <c r="G69" i="4"/>
  <c r="O37" i="8" s="1"/>
  <c r="H69" i="4"/>
  <c r="P37" i="8" s="1"/>
  <c r="I69" i="4"/>
  <c r="Q37" i="8" s="1"/>
  <c r="B70" i="4"/>
  <c r="J38" i="8" s="1"/>
  <c r="C70" i="4"/>
  <c r="K38" i="8" s="1"/>
  <c r="D70" i="4"/>
  <c r="L38" i="8" s="1"/>
  <c r="E70" i="4"/>
  <c r="M38" i="8" s="1"/>
  <c r="F70" i="4"/>
  <c r="N38" i="8" s="1"/>
  <c r="G70" i="4"/>
  <c r="O38" i="8" s="1"/>
  <c r="H70" i="4"/>
  <c r="P38" i="8" s="1"/>
  <c r="I70" i="4"/>
  <c r="Q38" i="8" s="1"/>
  <c r="B38" i="2"/>
  <c r="C38"/>
  <c r="D38"/>
  <c r="E38"/>
  <c r="F38"/>
  <c r="G38"/>
  <c r="H38"/>
  <c r="I38"/>
  <c r="J38"/>
  <c r="K38"/>
  <c r="L38"/>
  <c r="M38"/>
  <c r="B39"/>
  <c r="C39"/>
  <c r="D39"/>
  <c r="E39"/>
  <c r="F39"/>
  <c r="G39"/>
  <c r="H39"/>
  <c r="I39"/>
  <c r="J39"/>
  <c r="K39"/>
  <c r="L39"/>
  <c r="M39"/>
  <c r="B51"/>
  <c r="C51"/>
  <c r="D51"/>
  <c r="E51"/>
  <c r="F51"/>
  <c r="G51"/>
  <c r="H51"/>
  <c r="I51"/>
  <c r="J51"/>
  <c r="K51"/>
  <c r="L51"/>
  <c r="M51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B72"/>
  <c r="B75" i="8" s="1"/>
  <c r="C72" i="2"/>
  <c r="C75" i="8" s="1"/>
  <c r="D72" i="2"/>
  <c r="D75" i="8" s="1"/>
  <c r="E72" i="2"/>
  <c r="E75" i="8" s="1"/>
  <c r="F72" i="2"/>
  <c r="F75" i="8" s="1"/>
  <c r="G72" i="2"/>
  <c r="G75" i="8" s="1"/>
  <c r="H72" i="2"/>
  <c r="B63" i="8" s="1"/>
  <c r="I72" i="2"/>
  <c r="C63" i="8" s="1"/>
  <c r="J72" i="2"/>
  <c r="D63" i="8" s="1"/>
  <c r="K72" i="2"/>
  <c r="E63" i="8" s="1"/>
  <c r="L72" i="2"/>
  <c r="F63" i="8" s="1"/>
  <c r="M72" i="2"/>
  <c r="G63" i="8" s="1"/>
  <c r="B37" i="5"/>
  <c r="C37"/>
  <c r="D37"/>
  <c r="E37"/>
  <c r="G37"/>
  <c r="H37"/>
  <c r="B38"/>
  <c r="C38"/>
  <c r="E38"/>
  <c r="F38"/>
  <c r="G38"/>
  <c r="H38"/>
  <c r="B50"/>
  <c r="C50"/>
  <c r="D50"/>
  <c r="E50"/>
  <c r="E54"/>
  <c r="F54"/>
  <c r="E55"/>
  <c r="F55"/>
  <c r="E56"/>
  <c r="F56"/>
  <c r="E57"/>
  <c r="F57"/>
  <c r="E58"/>
  <c r="F58"/>
  <c r="E59"/>
  <c r="F59"/>
  <c r="E60"/>
  <c r="F60"/>
  <c r="E61"/>
  <c r="F61"/>
  <c r="B66"/>
  <c r="B49" i="8" s="1"/>
  <c r="C66" i="5"/>
  <c r="C49" i="8" s="1"/>
  <c r="E66" i="5"/>
  <c r="E49" i="8" s="1"/>
  <c r="G66" i="5"/>
  <c r="G49" i="8" s="1"/>
  <c r="H66" i="5"/>
  <c r="H49" i="8" s="1"/>
  <c r="F67" i="5"/>
  <c r="F50" i="8" s="1"/>
  <c r="G67" i="5"/>
  <c r="G50" i="8" s="1"/>
  <c r="H67" i="5"/>
  <c r="H50" i="8" s="1"/>
  <c r="I67" i="5"/>
  <c r="I50" i="8" s="1"/>
  <c r="F68" i="5"/>
  <c r="F51" i="8" s="1"/>
  <c r="G68" i="5"/>
  <c r="G51" i="8" s="1"/>
  <c r="H68" i="5"/>
  <c r="H51" i="8" s="1"/>
  <c r="I68" i="5"/>
  <c r="I51" i="8" s="1"/>
  <c r="E59" i="6"/>
  <c r="F59"/>
  <c r="E60"/>
  <c r="F60"/>
  <c r="E61"/>
  <c r="F61"/>
  <c r="E62"/>
  <c r="F62"/>
  <c r="E63"/>
  <c r="F63"/>
  <c r="E64"/>
  <c r="F64"/>
  <c r="E65"/>
  <c r="F65"/>
  <c r="E66"/>
  <c r="F66"/>
  <c r="B72"/>
  <c r="J50" i="8" s="1"/>
  <c r="C72" i="6"/>
  <c r="K50" i="8" s="1"/>
  <c r="D72" i="6"/>
  <c r="L50" i="8" s="1"/>
  <c r="E72" i="6"/>
  <c r="M50" i="8" s="1"/>
  <c r="F72" i="6"/>
  <c r="N50" i="8" s="1"/>
  <c r="G72" i="6"/>
  <c r="O50" i="8" s="1"/>
  <c r="H72" i="6"/>
  <c r="P50" i="8" s="1"/>
  <c r="I72" i="6"/>
  <c r="Q50" i="8" s="1"/>
  <c r="B73" i="6"/>
  <c r="J51" i="8" s="1"/>
  <c r="C73" i="6"/>
  <c r="K51" i="8" s="1"/>
  <c r="D73" i="6"/>
  <c r="L51" i="8" s="1"/>
  <c r="E73" i="6"/>
  <c r="M51" i="8" s="1"/>
  <c r="F73" i="6"/>
  <c r="N51" i="8" s="1"/>
  <c r="G73" i="6"/>
  <c r="O51" i="8" s="1"/>
  <c r="H73" i="6"/>
  <c r="P51" i="8" s="1"/>
  <c r="I73" i="6"/>
  <c r="Q51" i="8" s="1"/>
  <c r="E7" i="1"/>
  <c r="F7" s="1"/>
  <c r="N7" s="1"/>
  <c r="B73" i="2" s="1"/>
  <c r="B76" i="8" s="1"/>
  <c r="L7" i="1"/>
  <c r="B71" i="2"/>
  <c r="B74" i="8" s="1"/>
  <c r="E8" i="1"/>
  <c r="F8"/>
  <c r="N8" s="1"/>
  <c r="C73" i="2" s="1"/>
  <c r="C76" i="8" s="1"/>
  <c r="L8" i="1"/>
  <c r="C71" i="2"/>
  <c r="C74" i="8" s="1"/>
  <c r="E9" i="1"/>
  <c r="F9"/>
  <c r="N9" s="1"/>
  <c r="D73" i="2" s="1"/>
  <c r="D76" i="8" s="1"/>
  <c r="L9" i="1"/>
  <c r="D71" i="2"/>
  <c r="D74" i="8" s="1"/>
  <c r="E10" i="1"/>
  <c r="F10"/>
  <c r="N10" s="1"/>
  <c r="E73" i="2" s="1"/>
  <c r="E76" i="8" s="1"/>
  <c r="L10" i="1"/>
  <c r="E71" i="2"/>
  <c r="E74" i="8" s="1"/>
  <c r="E11" i="1"/>
  <c r="F11"/>
  <c r="N11" s="1"/>
  <c r="F73" i="2" s="1"/>
  <c r="F76" i="8" s="1"/>
  <c r="L11" i="1"/>
  <c r="F71" i="2"/>
  <c r="F74" i="8" s="1"/>
  <c r="E12" i="1"/>
  <c r="F12"/>
  <c r="N12" s="1"/>
  <c r="G73" i="2" s="1"/>
  <c r="G76" i="8" s="1"/>
  <c r="L12" i="1"/>
  <c r="G71" i="2"/>
  <c r="G74" i="8" s="1"/>
  <c r="E13" i="1"/>
  <c r="F13"/>
  <c r="N13" s="1"/>
  <c r="H73" i="2" s="1"/>
  <c r="B64" i="8" s="1"/>
  <c r="L13" i="1"/>
  <c r="H71" i="2"/>
  <c r="B62" i="8" s="1"/>
  <c r="E14" i="1"/>
  <c r="F14"/>
  <c r="N14" s="1"/>
  <c r="I73" i="2" s="1"/>
  <c r="C64" i="8" s="1"/>
  <c r="L14" i="1"/>
  <c r="I71" i="2"/>
  <c r="C62" i="8" s="1"/>
  <c r="E15" i="1"/>
  <c r="F15"/>
  <c r="N15" s="1"/>
  <c r="J73" i="2" s="1"/>
  <c r="D64" i="8" s="1"/>
  <c r="L15" i="1"/>
  <c r="J71" i="2"/>
  <c r="D62" i="8" s="1"/>
  <c r="E16" i="1"/>
  <c r="F16"/>
  <c r="N16" s="1"/>
  <c r="K73" i="2" s="1"/>
  <c r="E64" i="8" s="1"/>
  <c r="L16" i="1"/>
  <c r="K71" i="2"/>
  <c r="E62" i="8" s="1"/>
  <c r="E17" i="1"/>
  <c r="F17"/>
  <c r="N17" s="1"/>
  <c r="L73" i="2" s="1"/>
  <c r="F64" i="8" s="1"/>
  <c r="L17" i="1"/>
  <c r="L71" i="2"/>
  <c r="F62" i="8" s="1"/>
  <c r="E18" i="1"/>
  <c r="F18"/>
  <c r="N18" s="1"/>
  <c r="M73" i="2" s="1"/>
  <c r="G64" i="8" s="1"/>
  <c r="L18" i="1"/>
  <c r="M71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69" i="3" s="1"/>
  <c r="B38" i="8" s="1"/>
  <c r="E38" i="1"/>
  <c r="F38" s="1"/>
  <c r="N38" s="1"/>
  <c r="C69" i="3" s="1"/>
  <c r="C38" i="8" s="1"/>
  <c r="F39" i="1"/>
  <c r="N39" s="1"/>
  <c r="D69" i="3" s="1"/>
  <c r="D38" i="8" s="1"/>
  <c r="D67" i="3"/>
  <c r="D36" i="8" s="1"/>
  <c r="E40" i="1"/>
  <c r="F40" s="1"/>
  <c r="N40" s="1"/>
  <c r="E69" i="3" s="1"/>
  <c r="E38" i="8" s="1"/>
  <c r="K41" i="1"/>
  <c r="F38" i="3"/>
  <c r="K44" i="1"/>
  <c r="D44" s="1"/>
  <c r="K48"/>
  <c r="B37" i="4" s="1"/>
  <c r="K49" i="1"/>
  <c r="D49" s="1"/>
  <c r="C38" i="4" s="1"/>
  <c r="C37"/>
  <c r="L49" i="1"/>
  <c r="C68" i="4" s="1"/>
  <c r="K36" i="8" s="1"/>
  <c r="K50" i="1"/>
  <c r="D37" i="4" s="1"/>
  <c r="L50" i="1"/>
  <c r="D68" i="4" s="1"/>
  <c r="L36" i="8" s="1"/>
  <c r="K51" i="1"/>
  <c r="D51" s="1"/>
  <c r="E38" i="4" s="1"/>
  <c r="L51" i="1"/>
  <c r="E68" i="4" s="1"/>
  <c r="M36" i="8" s="1"/>
  <c r="K52" i="1"/>
  <c r="F37" i="4" s="1"/>
  <c r="L52" i="1"/>
  <c r="F68" i="4" s="1"/>
  <c r="N36" i="8" s="1"/>
  <c r="K53" i="1"/>
  <c r="D53" s="1"/>
  <c r="G38" i="4" s="1"/>
  <c r="L53" i="1"/>
  <c r="G68" i="4" s="1"/>
  <c r="O36" i="8" s="1"/>
  <c r="K54" i="1"/>
  <c r="H37" i="4" s="1"/>
  <c r="L54" i="1"/>
  <c r="H68" i="4" s="1"/>
  <c r="P36" i="8" s="1"/>
  <c r="K55" i="1"/>
  <c r="D55" s="1"/>
  <c r="I38" i="4" s="1"/>
  <c r="I68"/>
  <c r="Q36" i="8" s="1"/>
  <c r="K63" i="1"/>
  <c r="F37" i="5"/>
  <c r="K66" i="1"/>
  <c r="D66" s="1"/>
  <c r="K70"/>
  <c r="D70" s="1"/>
  <c r="K71"/>
  <c r="D71" s="1"/>
  <c r="C41" i="6" s="1"/>
  <c r="C40"/>
  <c r="L71" i="1"/>
  <c r="C71" i="6" s="1"/>
  <c r="K49" i="8" s="1"/>
  <c r="K72" i="1"/>
  <c r="D72" s="1"/>
  <c r="D41" i="6" s="1"/>
  <c r="D71"/>
  <c r="L49" i="8" s="1"/>
  <c r="K73" i="1"/>
  <c r="D73" s="1"/>
  <c r="E41" i="6" s="1"/>
  <c r="L73" i="1"/>
  <c r="E71" i="6" s="1"/>
  <c r="M49" i="8" s="1"/>
  <c r="K74" i="1"/>
  <c r="D74" s="1"/>
  <c r="F41" i="6" s="1"/>
  <c r="F71"/>
  <c r="N49" i="8" s="1"/>
  <c r="K75" i="1"/>
  <c r="D75" s="1"/>
  <c r="G41" i="6" s="1"/>
  <c r="L75" i="1"/>
  <c r="G71" i="6" s="1"/>
  <c r="O49" i="8" s="1"/>
  <c r="K76" i="1"/>
  <c r="D76" s="1"/>
  <c r="H41" i="6" s="1"/>
  <c r="L76" i="1"/>
  <c r="H71" i="6" s="1"/>
  <c r="P49" i="8" s="1"/>
  <c r="K77" i="1"/>
  <c r="D77" s="1"/>
  <c r="I41" i="6" s="1"/>
  <c r="I71"/>
  <c r="Q49" i="8" s="1"/>
  <c r="H40" i="6"/>
  <c r="F40"/>
  <c r="D40"/>
  <c r="B40"/>
  <c r="D52" i="1"/>
  <c r="F38" i="4" s="1"/>
  <c r="D50" i="1"/>
  <c r="D38" i="4" s="1"/>
  <c r="I37" l="1"/>
  <c r="I40" i="6"/>
  <c r="I38" i="3"/>
  <c r="G40" i="6"/>
  <c r="D48" i="1"/>
  <c r="B38" i="4" s="1"/>
  <c r="D61" i="1"/>
  <c r="D38" i="5" s="1"/>
  <c r="D39" i="3"/>
  <c r="F61" i="1"/>
  <c r="N61" s="1"/>
  <c r="D68" i="5" s="1"/>
  <c r="D51" i="8" s="1"/>
  <c r="E59" i="1"/>
  <c r="F59" s="1"/>
  <c r="D67" i="5"/>
  <c r="D50" i="8" s="1"/>
  <c r="E67" i="5"/>
  <c r="E50" i="8" s="1"/>
  <c r="N62" i="1"/>
  <c r="E68" i="5" s="1"/>
  <c r="E51" i="8" s="1"/>
  <c r="N59" i="1"/>
  <c r="B68" i="5" s="1"/>
  <c r="B51" i="8" s="1"/>
  <c r="B67" i="5"/>
  <c r="B50" i="8" s="1"/>
  <c r="D66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37" i="4"/>
  <c r="L48" i="1"/>
  <c r="B68" i="4" s="1"/>
  <c r="J36" i="8" s="1"/>
  <c r="D54" i="1"/>
  <c r="H38" i="4" s="1"/>
  <c r="G37"/>
  <c r="E40" i="6"/>
  <c r="L70" i="1"/>
  <c r="B71" i="6" s="1"/>
  <c r="J49" i="8" s="1"/>
  <c r="B41" i="6"/>
  <c r="I37" i="5"/>
  <c r="L66" i="1"/>
  <c r="I66" i="5" s="1"/>
  <c r="I49" i="8" s="1"/>
  <c r="I38" i="5"/>
  <c r="I39" i="3"/>
  <c r="L44" i="1"/>
  <c r="I67" i="3" s="1"/>
  <c r="I36" i="8" s="1"/>
</calcChain>
</file>

<file path=xl/sharedStrings.xml><?xml version="1.0" encoding="utf-8"?>
<sst xmlns="http://schemas.openxmlformats.org/spreadsheetml/2006/main" count="675" uniqueCount="254">
  <si>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</si>
  <si>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</si>
  <si>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</si>
  <si>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</si>
  <si>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</si>
  <si>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</si>
  <si>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</si>
  <si>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</si>
  <si>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</si>
  <si>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</si>
  <si>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</si>
  <si>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</si>
  <si>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</si>
  <si>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</si>
  <si>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</si>
  <si>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</si>
  <si>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</si>
  <si>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</si>
  <si>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</si>
  <si>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</si>
  <si>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</si>
  <si>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</si>
  <si>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</si>
  <si>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</si>
  <si>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</si>
  <si>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</si>
  <si>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</si>
  <si>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</si>
  <si>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</si>
  <si>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</si>
  <si>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</si>
  <si>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</si>
  <si>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</si>
  <si>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</si>
  <si>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</si>
  <si>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</si>
  <si>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</si>
  <si>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</si>
  <si>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</si>
  <si>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</si>
  <si>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</si>
  <si>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</si>
  <si>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</si>
  <si>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</si>
  <si>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</si>
  <si>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</si>
  <si>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</si>
  <si>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</si>
  <si>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</si>
  <si>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</si>
  <si>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</si>
  <si>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</si>
  <si>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</si>
  <si>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</si>
  <si>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</si>
  <si>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</si>
  <si>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</si>
  <si>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</si>
  <si>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</si>
  <si>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</si>
  <si>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</si>
  <si>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</si>
  <si>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</si>
  <si>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</si>
  <si>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</si>
  <si>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</si>
  <si>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</si>
  <si>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</si>
  <si>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</si>
  <si>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</si>
  <si>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</si>
  <si>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</si>
  <si>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</si>
  <si>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</si>
  <si>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</si>
  <si>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</si>
  <si>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</si>
  <si>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</si>
  <si>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</si>
  <si>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</si>
  <si>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</si>
  <si>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</si>
  <si>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</si>
  <si>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</si>
  <si>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</si>
  <si>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</si>
  <si>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</si>
  <si>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</si>
  <si>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</si>
  <si>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</si>
  <si>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</si>
  <si>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</si>
  <si>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</si>
  <si>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</si>
  <si>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</si>
  <si>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</si>
  <si>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</si>
  <si>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</si>
  <si>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</si>
  <si>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</si>
  <si>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</si>
  <si>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</si>
  <si>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</si>
  <si>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</si>
  <si>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</si>
  <si>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</si>
  <si>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</si>
  <si>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</si>
  <si>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</si>
  <si>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</si>
  <si>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</si>
  <si>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</si>
  <si>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</si>
  <si>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</si>
  <si>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</si>
  <si>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</si>
  <si>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</si>
  <si>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</si>
  <si>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</si>
  <si>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</si>
  <si>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</si>
  <si>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</si>
  <si>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</si>
  <si>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</si>
  <si>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</si>
  <si>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</si>
  <si>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</si>
  <si>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</si>
  <si>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</si>
  <si>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</si>
  <si>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</si>
  <si>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</si>
  <si>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</si>
  <si>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</si>
  <si>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</si>
  <si>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</si>
  <si>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</si>
  <si>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</si>
  <si>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</si>
  <si>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</si>
  <si>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</si>
  <si>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</si>
  <si>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</si>
  <si>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</si>
  <si>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</si>
  <si>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</si>
  <si>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</si>
  <si>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</si>
  <si>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</si>
  <si>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</si>
  <si>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</si>
  <si>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</si>
  <si>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</si>
  <si>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</si>
  <si>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</si>
  <si>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</si>
  <si>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</si>
  <si>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</si>
  <si>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</si>
  <si>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</si>
  <si>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</si>
  <si>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</si>
  <si>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</si>
  <si>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</si>
  <si>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</si>
  <si>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</si>
  <si>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</si>
  <si>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</si>
  <si>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</si>
  <si>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</si>
  <si>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</si>
  <si>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</si>
  <si>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</si>
  <si>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</si>
  <si>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</si>
  <si>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</si>
  <si>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</si>
  <si>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</si>
  <si>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</si>
  <si>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</si>
  <si>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</si>
  <si>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</si>
  <si>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</si>
  <si>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</si>
  <si>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</si>
  <si>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</si>
  <si>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</si>
  <si>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</si>
  <si>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</si>
  <si>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</si>
  <si>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</si>
  <si>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</si>
  <si>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</si>
  <si>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</si>
  <si>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</si>
  <si>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</si>
  <si>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</si>
  <si>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</si>
  <si>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</si>
  <si>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</si>
  <si>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</si>
  <si>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</si>
  <si>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</si>
  <si>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</si>
  <si>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</si>
  <si>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</si>
  <si>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</si>
  <si>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16/12/09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</si>
  <si>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</si>
  <si>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</si>
  <si>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</si>
  <si>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</si>
  <si>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</si>
  <si>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</si>
  <si>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</si>
  <si>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</si>
  <si>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</si>
  <si>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</si>
  <si>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</si>
  <si>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</si>
  <si>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</si>
  <si>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</si>
  <si>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</si>
  <si>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</si>
  <si>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</si>
  <si>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</si>
  <si>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</si>
  <si>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</si>
  <si>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</si>
  <si>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</si>
  <si>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</si>
  <si>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</si>
  <si>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</si>
  <si>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</si>
  <si>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</si>
  <si>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</si>
  <si>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</si>
  <si>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</si>
  <si>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</si>
  <si>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</si>
  <si>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</si>
  <si>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</si>
  <si>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</si>
  <si>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</si>
  <si>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</si>
  <si>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</si>
  <si>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</si>
  <si>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</si>
  <si>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</si>
  <si>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</si>
  <si>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</si>
  <si>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</si>
  <si>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>D:\icub\app\iCubGenova02\conf</t>
  </si>
  <si>
    <t xml:space="preserve">Release: 0.4: 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</si>
</sst>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78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164" fontId="23" fillId="25" borderId="30" xfId="0" applyNumberFormat="1" applyFont="1" applyFill="1" applyBorder="1"/>
    <xf numFmtId="1" fontId="0" fillId="0" borderId="0" xfId="0" applyNumberFormat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07"/>
  <sheetViews>
    <sheetView topLeftCell="A7" zoomScale="70" zoomScaleNormal="70" workbookViewId="0">
      <selection activeCell="C10" sqref="C10"/>
    </sheetView>
  </sheetViews>
  <sheetFormatPr defaultRowHeight="15"/>
  <cols>
    <col min="2" max="2" width="24.5703125" customWidth="1"/>
    <col min="3" max="3" width="22.42578125" style="1" customWidth="1"/>
    <col min="4" max="4" width="11.42578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6" width="18.28515625" customWidth="1"/>
  </cols>
  <sheetData>
    <row r="1" spans="1:16">
      <c r="C1" s="3"/>
      <c r="D1" s="3"/>
    </row>
    <row r="2" spans="1:16">
      <c r="C2" s="3"/>
      <c r="D2" s="3"/>
    </row>
    <row r="3" spans="1:16">
      <c r="C3" s="3"/>
      <c r="D3" s="3"/>
    </row>
    <row r="4" spans="1:16">
      <c r="C4" s="3"/>
      <c r="D4" s="3"/>
    </row>
    <row r="5" spans="1:16" ht="21.75" thickBot="1">
      <c r="B5" s="47" t="s">
        <v>0</v>
      </c>
      <c r="C5" s="47"/>
      <c r="D5" s="47"/>
      <c r="E5" s="58"/>
      <c r="F5" s="58"/>
      <c r="G5" s="47"/>
      <c r="H5" s="47"/>
      <c r="I5" s="47"/>
      <c r="J5" s="47"/>
      <c r="K5" s="47"/>
      <c r="L5" s="47"/>
      <c r="M5" s="47"/>
      <c r="N5" s="47"/>
      <c r="O5" s="47"/>
      <c r="P5" s="47"/>
    </row>
    <row r="6" spans="1:16" ht="47.25" customHeight="1" thickBot="1">
      <c r="A6" s="48" t="s">
        <v>1</v>
      </c>
      <c r="B6" s="72" t="s">
        <v>2</v>
      </c>
      <c r="C6" s="50" t="s">
        <v>3</v>
      </c>
      <c r="D6" s="50" t="s">
        <v>4</v>
      </c>
      <c r="E6" s="51" t="s">
        <v>5</v>
      </c>
      <c r="F6" s="52" t="s">
        <v>163</v>
      </c>
      <c r="G6" s="50" t="s">
        <v>6</v>
      </c>
      <c r="H6" s="50" t="s">
        <v>7</v>
      </c>
      <c r="I6" s="50" t="s">
        <v>8</v>
      </c>
      <c r="J6" s="50" t="s">
        <v>9</v>
      </c>
      <c r="K6" s="50" t="s">
        <v>10</v>
      </c>
      <c r="L6" s="50" t="s">
        <v>11</v>
      </c>
      <c r="M6" s="50" t="s">
        <v>12</v>
      </c>
      <c r="N6" s="50" t="s">
        <v>13</v>
      </c>
      <c r="O6" s="50" t="s">
        <v>209</v>
      </c>
      <c r="P6" s="50" t="s">
        <v>210</v>
      </c>
    </row>
    <row r="7" spans="1:16" ht="18.75">
      <c r="A7" s="28">
        <v>0</v>
      </c>
      <c r="B7" s="53" t="s">
        <v>14</v>
      </c>
      <c r="C7" s="4">
        <v>233.2</v>
      </c>
      <c r="D7" s="25">
        <v>180</v>
      </c>
      <c r="E7" s="26">
        <f>(ABS(C7)-ABS(D7))</f>
        <v>53.199999999999989</v>
      </c>
      <c r="F7" s="26">
        <f>IF(E7&gt;=0,(E7*11.375),(360+E7)*11.375)</f>
        <v>605.14999999999986</v>
      </c>
      <c r="G7" s="36">
        <v>-30</v>
      </c>
      <c r="H7" s="36">
        <v>90</v>
      </c>
      <c r="I7" s="35"/>
      <c r="J7" s="35"/>
      <c r="K7" s="29">
        <v>11.375</v>
      </c>
      <c r="L7" s="27">
        <f>D7*K7</f>
        <v>2047.5</v>
      </c>
      <c r="M7" s="27">
        <v>10</v>
      </c>
      <c r="N7" s="25">
        <f>+F7</f>
        <v>605.14999999999986</v>
      </c>
      <c r="O7" s="25"/>
      <c r="P7" s="25"/>
    </row>
    <row r="8" spans="1:16" ht="18.75">
      <c r="A8" s="23">
        <v>1</v>
      </c>
      <c r="B8" s="53" t="s">
        <v>15</v>
      </c>
      <c r="C8" s="4">
        <v>210.6</v>
      </c>
      <c r="D8" s="25">
        <v>180</v>
      </c>
      <c r="E8" s="26">
        <f t="shared" ref="E8:E18" si="0">(ABS(C8)-ABS(D8))</f>
        <v>30.599999999999994</v>
      </c>
      <c r="F8" s="26">
        <f t="shared" ref="F8:F18" si="1">IF(E8&gt;=0,(E8*11.375),(360+E8)*11.375)</f>
        <v>348.07499999999993</v>
      </c>
      <c r="G8" s="36">
        <v>0</v>
      </c>
      <c r="H8" s="36">
        <v>90</v>
      </c>
      <c r="I8" s="35"/>
      <c r="J8" s="35"/>
      <c r="K8" s="29">
        <v>11.375</v>
      </c>
      <c r="L8" s="27">
        <f t="shared" ref="L8:L18" si="2">D8*K8</f>
        <v>2047.5</v>
      </c>
      <c r="M8" s="27">
        <v>10</v>
      </c>
      <c r="N8" s="25">
        <f>F8</f>
        <v>348.07499999999993</v>
      </c>
      <c r="O8" s="25"/>
      <c r="P8" s="25"/>
    </row>
    <row r="9" spans="1:16" ht="18.75">
      <c r="A9" s="23">
        <v>2</v>
      </c>
      <c r="B9" s="53" t="s">
        <v>16</v>
      </c>
      <c r="C9" s="4">
        <v>124.9</v>
      </c>
      <c r="D9" s="25">
        <v>180</v>
      </c>
      <c r="E9" s="26">
        <f t="shared" si="0"/>
        <v>-55.099999999999994</v>
      </c>
      <c r="F9" s="26">
        <f t="shared" si="1"/>
        <v>3468.2374999999997</v>
      </c>
      <c r="G9" s="36">
        <v>-80</v>
      </c>
      <c r="H9" s="36">
        <v>78</v>
      </c>
      <c r="I9" s="35"/>
      <c r="J9" s="35"/>
      <c r="K9" s="29">
        <v>11.375</v>
      </c>
      <c r="L9" s="27">
        <f t="shared" si="2"/>
        <v>2047.5</v>
      </c>
      <c r="M9" s="27">
        <v>10</v>
      </c>
      <c r="N9" s="25">
        <f t="shared" ref="N9:N18" si="3">+F9</f>
        <v>3468.2374999999997</v>
      </c>
      <c r="O9" s="25"/>
      <c r="P9" s="25"/>
    </row>
    <row r="10" spans="1:16" ht="18.75">
      <c r="A10" s="23">
        <v>3</v>
      </c>
      <c r="B10" s="53" t="s">
        <v>17</v>
      </c>
      <c r="C10" s="4">
        <v>122.5</v>
      </c>
      <c r="D10" s="25">
        <v>180</v>
      </c>
      <c r="E10" s="26">
        <f t="shared" si="0"/>
        <v>-57.5</v>
      </c>
      <c r="F10" s="26">
        <f t="shared" si="1"/>
        <v>3440.9375</v>
      </c>
      <c r="G10" s="36">
        <v>-125</v>
      </c>
      <c r="H10" s="36">
        <v>0</v>
      </c>
      <c r="I10" s="35"/>
      <c r="J10" s="35"/>
      <c r="K10" s="29">
        <v>11.375</v>
      </c>
      <c r="L10" s="27">
        <f t="shared" si="2"/>
        <v>2047.5</v>
      </c>
      <c r="M10" s="27">
        <v>10</v>
      </c>
      <c r="N10" s="25">
        <f t="shared" si="3"/>
        <v>3440.9375</v>
      </c>
      <c r="O10" s="25"/>
      <c r="P10" s="25"/>
    </row>
    <row r="11" spans="1:16" ht="18.75">
      <c r="A11" s="23">
        <v>4</v>
      </c>
      <c r="B11" s="53" t="s">
        <v>18</v>
      </c>
      <c r="C11" s="4">
        <v>358.4</v>
      </c>
      <c r="D11" s="25">
        <v>180</v>
      </c>
      <c r="E11" s="26">
        <f t="shared" si="0"/>
        <v>178.39999999999998</v>
      </c>
      <c r="F11" s="26">
        <f t="shared" si="1"/>
        <v>2029.2999999999997</v>
      </c>
      <c r="G11" s="36">
        <v>-20</v>
      </c>
      <c r="H11" s="36">
        <v>39</v>
      </c>
      <c r="I11" s="35"/>
      <c r="J11" s="35"/>
      <c r="K11" s="29">
        <v>11.375</v>
      </c>
      <c r="L11" s="27">
        <f t="shared" si="2"/>
        <v>2047.5</v>
      </c>
      <c r="M11" s="27">
        <v>10</v>
      </c>
      <c r="N11" s="25">
        <f t="shared" si="3"/>
        <v>2029.2999999999997</v>
      </c>
      <c r="O11" s="25"/>
      <c r="P11" s="25"/>
    </row>
    <row r="12" spans="1:16" ht="18.75">
      <c r="A12" s="23">
        <v>5</v>
      </c>
      <c r="B12" s="53" t="s">
        <v>19</v>
      </c>
      <c r="C12" s="4">
        <v>124.4</v>
      </c>
      <c r="D12" s="25">
        <v>180</v>
      </c>
      <c r="E12" s="26">
        <f t="shared" si="0"/>
        <v>-55.599999999999994</v>
      </c>
      <c r="F12" s="26">
        <f t="shared" si="1"/>
        <v>3462.5499999999997</v>
      </c>
      <c r="G12" s="36">
        <v>-22</v>
      </c>
      <c r="H12" s="36">
        <v>22</v>
      </c>
      <c r="I12" s="35"/>
      <c r="J12" s="35"/>
      <c r="K12" s="29">
        <v>11.375</v>
      </c>
      <c r="L12" s="27">
        <f t="shared" si="2"/>
        <v>2047.5</v>
      </c>
      <c r="M12" s="27">
        <v>10</v>
      </c>
      <c r="N12" s="25">
        <f t="shared" si="3"/>
        <v>3462.5499999999997</v>
      </c>
      <c r="O12" s="25"/>
      <c r="P12" s="25"/>
    </row>
    <row r="13" spans="1:16" ht="18.75">
      <c r="A13" s="23">
        <v>6</v>
      </c>
      <c r="B13" s="53" t="s">
        <v>20</v>
      </c>
      <c r="C13" s="4">
        <v>-156.69999999999999</v>
      </c>
      <c r="D13" s="25">
        <v>-180</v>
      </c>
      <c r="E13" s="26">
        <f t="shared" si="0"/>
        <v>-23.300000000000011</v>
      </c>
      <c r="F13" s="26">
        <f t="shared" si="1"/>
        <v>3829.9625000000001</v>
      </c>
      <c r="G13" s="36">
        <v>-30</v>
      </c>
      <c r="H13" s="36">
        <v>90</v>
      </c>
      <c r="I13" s="35"/>
      <c r="J13" s="35"/>
      <c r="K13" s="29">
        <v>-11.375</v>
      </c>
      <c r="L13" s="27">
        <f t="shared" si="2"/>
        <v>2047.5</v>
      </c>
      <c r="M13" s="27">
        <v>10</v>
      </c>
      <c r="N13" s="25">
        <f t="shared" si="3"/>
        <v>3829.9625000000001</v>
      </c>
      <c r="O13" s="25"/>
      <c r="P13" s="25"/>
    </row>
    <row r="14" spans="1:16" ht="18.75">
      <c r="A14" s="23">
        <v>7</v>
      </c>
      <c r="B14" s="53" t="s">
        <v>21</v>
      </c>
      <c r="C14" s="4">
        <v>-124</v>
      </c>
      <c r="D14" s="25">
        <v>-180</v>
      </c>
      <c r="E14" s="26">
        <f t="shared" si="0"/>
        <v>-56</v>
      </c>
      <c r="F14" s="26">
        <f t="shared" si="1"/>
        <v>3458</v>
      </c>
      <c r="G14" s="36">
        <v>0</v>
      </c>
      <c r="H14" s="36">
        <v>90</v>
      </c>
      <c r="I14" s="35"/>
      <c r="J14" s="35"/>
      <c r="K14" s="29">
        <v>-11.375</v>
      </c>
      <c r="L14" s="27">
        <f t="shared" si="2"/>
        <v>2047.5</v>
      </c>
      <c r="M14" s="27">
        <v>10</v>
      </c>
      <c r="N14" s="25">
        <f t="shared" si="3"/>
        <v>3458</v>
      </c>
      <c r="O14" s="25"/>
      <c r="P14" s="25"/>
    </row>
    <row r="15" spans="1:16" ht="18.75">
      <c r="A15" s="23">
        <v>8</v>
      </c>
      <c r="B15" s="53" t="s">
        <v>22</v>
      </c>
      <c r="C15" s="4">
        <v>-190.8</v>
      </c>
      <c r="D15" s="25">
        <v>-180</v>
      </c>
      <c r="E15" s="26">
        <f t="shared" si="0"/>
        <v>10.800000000000011</v>
      </c>
      <c r="F15" s="26">
        <f t="shared" si="1"/>
        <v>122.85000000000014</v>
      </c>
      <c r="G15" s="36">
        <v>-80</v>
      </c>
      <c r="H15" s="36">
        <v>78</v>
      </c>
      <c r="I15" s="35"/>
      <c r="J15" s="35"/>
      <c r="K15" s="29">
        <v>-11.375</v>
      </c>
      <c r="L15" s="27">
        <f t="shared" si="2"/>
        <v>2047.5</v>
      </c>
      <c r="M15" s="27">
        <v>10</v>
      </c>
      <c r="N15" s="25">
        <f t="shared" si="3"/>
        <v>122.85000000000014</v>
      </c>
      <c r="O15" s="25"/>
      <c r="P15" s="25"/>
    </row>
    <row r="16" spans="1:16" ht="18.75">
      <c r="A16" s="23">
        <v>9</v>
      </c>
      <c r="B16" s="53" t="s">
        <v>23</v>
      </c>
      <c r="C16" s="4">
        <v>-48.6</v>
      </c>
      <c r="D16" s="25">
        <v>-180</v>
      </c>
      <c r="E16" s="26">
        <f t="shared" si="0"/>
        <v>-131.4</v>
      </c>
      <c r="F16" s="26">
        <f t="shared" si="1"/>
        <v>2600.3249999999998</v>
      </c>
      <c r="G16" s="36">
        <v>-125</v>
      </c>
      <c r="H16" s="36">
        <v>0</v>
      </c>
      <c r="I16" s="35"/>
      <c r="J16" s="35"/>
      <c r="K16" s="29">
        <v>-11.375</v>
      </c>
      <c r="L16" s="27">
        <f t="shared" si="2"/>
        <v>2047.5</v>
      </c>
      <c r="M16" s="27">
        <v>10</v>
      </c>
      <c r="N16" s="25">
        <f t="shared" si="3"/>
        <v>2600.3249999999998</v>
      </c>
      <c r="O16" s="25"/>
      <c r="P16" s="25"/>
    </row>
    <row r="17" spans="1:16" ht="18.75">
      <c r="A17" s="23">
        <v>10</v>
      </c>
      <c r="B17" s="53" t="s">
        <v>24</v>
      </c>
      <c r="C17" s="4">
        <v>-65.2</v>
      </c>
      <c r="D17" s="25">
        <v>-180</v>
      </c>
      <c r="E17" s="26">
        <f t="shared" si="0"/>
        <v>-114.8</v>
      </c>
      <c r="F17" s="26">
        <f t="shared" si="1"/>
        <v>2789.15</v>
      </c>
      <c r="G17" s="36">
        <v>-20</v>
      </c>
      <c r="H17" s="36">
        <v>39</v>
      </c>
      <c r="I17" s="35"/>
      <c r="J17" s="35"/>
      <c r="K17" s="29">
        <v>-11.375</v>
      </c>
      <c r="L17" s="27">
        <f t="shared" si="2"/>
        <v>2047.5</v>
      </c>
      <c r="M17" s="27">
        <v>10</v>
      </c>
      <c r="N17" s="25">
        <f t="shared" si="3"/>
        <v>2789.15</v>
      </c>
      <c r="O17" s="25"/>
      <c r="P17" s="25"/>
    </row>
    <row r="18" spans="1:16" ht="18.75">
      <c r="A18" s="23">
        <v>11</v>
      </c>
      <c r="B18" s="53" t="s">
        <v>25</v>
      </c>
      <c r="C18" s="4">
        <v>-321.10000000000002</v>
      </c>
      <c r="D18" s="25">
        <v>-180</v>
      </c>
      <c r="E18" s="26">
        <f t="shared" si="0"/>
        <v>141.10000000000002</v>
      </c>
      <c r="F18" s="26">
        <f t="shared" si="1"/>
        <v>1605.0125000000003</v>
      </c>
      <c r="G18" s="36">
        <v>-22</v>
      </c>
      <c r="H18" s="36">
        <v>22</v>
      </c>
      <c r="I18" s="35"/>
      <c r="J18" s="35"/>
      <c r="K18" s="29">
        <v>-11.375</v>
      </c>
      <c r="L18" s="27">
        <f t="shared" si="2"/>
        <v>2047.5</v>
      </c>
      <c r="M18" s="27">
        <v>10</v>
      </c>
      <c r="N18" s="25">
        <f t="shared" si="3"/>
        <v>1605.0125000000003</v>
      </c>
      <c r="O18" s="25"/>
      <c r="P18" s="25"/>
    </row>
    <row r="19" spans="1:16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6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6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6" ht="21.75" thickBot="1">
      <c r="B22" s="47" t="s">
        <v>26</v>
      </c>
      <c r="C22" s="47"/>
      <c r="D22" s="47"/>
      <c r="E22" s="58"/>
      <c r="F22" s="58"/>
      <c r="G22" s="47"/>
      <c r="H22" s="47"/>
      <c r="I22" s="47"/>
      <c r="J22" s="47"/>
      <c r="K22" s="47"/>
      <c r="L22" s="47"/>
      <c r="M22" s="47"/>
      <c r="N22" s="47"/>
      <c r="O22" s="47"/>
      <c r="P22" s="47"/>
    </row>
    <row r="23" spans="1:16" ht="48" customHeight="1" thickBot="1">
      <c r="A23" s="48" t="s">
        <v>1</v>
      </c>
      <c r="B23" s="49" t="s">
        <v>2</v>
      </c>
      <c r="C23" s="50" t="s">
        <v>27</v>
      </c>
      <c r="D23" s="50" t="s">
        <v>4</v>
      </c>
      <c r="E23" s="51" t="s">
        <v>5</v>
      </c>
      <c r="F23" s="52" t="s">
        <v>163</v>
      </c>
      <c r="G23" s="50" t="s">
        <v>6</v>
      </c>
      <c r="H23" s="50" t="s">
        <v>7</v>
      </c>
      <c r="I23" s="50" t="s">
        <v>8</v>
      </c>
      <c r="J23" s="50" t="s">
        <v>9</v>
      </c>
      <c r="K23" s="50" t="s">
        <v>10</v>
      </c>
      <c r="L23" s="50" t="s">
        <v>11</v>
      </c>
      <c r="M23" s="50" t="s">
        <v>12</v>
      </c>
      <c r="N23" s="50" t="s">
        <v>13</v>
      </c>
      <c r="O23" s="50" t="s">
        <v>209</v>
      </c>
      <c r="P23" s="50" t="s">
        <v>210</v>
      </c>
    </row>
    <row r="24" spans="1:16" ht="18.75">
      <c r="A24" s="28">
        <v>0</v>
      </c>
      <c r="B24" s="53" t="s">
        <v>28</v>
      </c>
      <c r="C24" s="33"/>
      <c r="D24" s="25">
        <v>32</v>
      </c>
      <c r="E24" s="33"/>
      <c r="F24" s="33"/>
      <c r="G24" s="36">
        <v>-39</v>
      </c>
      <c r="H24" s="36">
        <v>24</v>
      </c>
      <c r="I24" s="34"/>
      <c r="J24" s="34"/>
      <c r="K24" s="27">
        <v>-1951.29</v>
      </c>
      <c r="L24" s="27">
        <v>500</v>
      </c>
      <c r="M24" s="25">
        <v>20</v>
      </c>
      <c r="N24" s="25">
        <v>0</v>
      </c>
      <c r="O24" s="25"/>
      <c r="P24" s="25"/>
    </row>
    <row r="25" spans="1:16" ht="18.75">
      <c r="A25" s="23">
        <v>1</v>
      </c>
      <c r="B25" s="53" t="s">
        <v>29</v>
      </c>
      <c r="C25" s="33"/>
      <c r="D25" s="25">
        <v>54</v>
      </c>
      <c r="E25" s="33"/>
      <c r="F25" s="33"/>
      <c r="G25" s="37">
        <v>-47</v>
      </c>
      <c r="H25" s="36">
        <v>47</v>
      </c>
      <c r="I25" s="34"/>
      <c r="J25" s="34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/>
      <c r="P25" s="25"/>
    </row>
    <row r="26" spans="1:16" ht="18.75">
      <c r="A26" s="23">
        <v>2</v>
      </c>
      <c r="B26" s="53" t="s">
        <v>30</v>
      </c>
      <c r="C26" s="33"/>
      <c r="D26" s="25">
        <v>53.5</v>
      </c>
      <c r="E26" s="33"/>
      <c r="F26" s="33"/>
      <c r="G26" s="36">
        <v>-52</v>
      </c>
      <c r="H26" s="36">
        <v>52</v>
      </c>
      <c r="I26" s="34"/>
      <c r="J26" s="34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/>
      <c r="P26" s="25"/>
    </row>
    <row r="27" spans="1:16" ht="18.75">
      <c r="A27" s="23">
        <v>3</v>
      </c>
      <c r="B27" s="53" t="s">
        <v>31</v>
      </c>
      <c r="C27" s="33"/>
      <c r="D27" s="25">
        <v>-38.4</v>
      </c>
      <c r="E27" s="33"/>
      <c r="F27" s="33"/>
      <c r="G27" s="36">
        <v>-44</v>
      </c>
      <c r="H27" s="36">
        <v>19</v>
      </c>
      <c r="I27" s="34"/>
      <c r="J27" s="34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/>
      <c r="P27" s="25"/>
    </row>
    <row r="28" spans="1:16" ht="18.75">
      <c r="A28" s="23">
        <v>4</v>
      </c>
      <c r="B28" s="53" t="s">
        <v>32</v>
      </c>
      <c r="C28" s="33"/>
      <c r="D28" s="25">
        <v>47.35</v>
      </c>
      <c r="E28" s="33"/>
      <c r="F28" s="33"/>
      <c r="G28" s="36">
        <v>-63</v>
      </c>
      <c r="H28" s="36">
        <v>66</v>
      </c>
      <c r="I28" s="34"/>
      <c r="J28" s="34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/>
      <c r="P28" s="25"/>
    </row>
    <row r="29" spans="1:16" ht="18.75">
      <c r="A29" s="23">
        <v>5</v>
      </c>
      <c r="B29" s="53" t="s">
        <v>33</v>
      </c>
      <c r="C29" s="33"/>
      <c r="D29" s="25">
        <v>8.9600000000000009</v>
      </c>
      <c r="E29" s="33"/>
      <c r="F29" s="33"/>
      <c r="G29" s="36">
        <v>0</v>
      </c>
      <c r="H29" s="36">
        <v>50</v>
      </c>
      <c r="I29" s="34"/>
      <c r="J29" s="34"/>
      <c r="K29" s="27">
        <v>293.33</v>
      </c>
      <c r="L29" s="27">
        <v>1333</v>
      </c>
      <c r="M29" s="25">
        <v>20</v>
      </c>
      <c r="N29" s="25">
        <f t="shared" si="4"/>
        <v>0</v>
      </c>
      <c r="O29" s="25"/>
      <c r="P29" s="25"/>
    </row>
    <row r="30" spans="1:16" ht="18.75">
      <c r="A30" s="23">
        <v>6</v>
      </c>
      <c r="B30" s="53" t="s">
        <v>34</v>
      </c>
      <c r="C30" s="4">
        <v>233</v>
      </c>
      <c r="D30" s="25">
        <v>180</v>
      </c>
      <c r="E30" s="26">
        <f>(C30-D30)</f>
        <v>53</v>
      </c>
      <c r="F30" s="26">
        <f>IF(E30&gt;=0,(E30*11.375),(360+E30)*11.375)</f>
        <v>602.875</v>
      </c>
      <c r="G30" s="36">
        <v>-50</v>
      </c>
      <c r="H30" s="36">
        <v>50</v>
      </c>
      <c r="I30" s="34"/>
      <c r="J30" s="34"/>
      <c r="K30" s="27">
        <v>11.375</v>
      </c>
      <c r="L30" s="27">
        <f>D30*K30</f>
        <v>2047.5</v>
      </c>
      <c r="M30" s="27">
        <v>10</v>
      </c>
      <c r="N30" s="25">
        <f t="shared" si="4"/>
        <v>602.875</v>
      </c>
      <c r="O30" s="25"/>
      <c r="P30" s="25"/>
    </row>
    <row r="31" spans="1:16" ht="18.75">
      <c r="A31" s="23">
        <v>7</v>
      </c>
      <c r="B31" s="53" t="s">
        <v>35</v>
      </c>
      <c r="C31" s="76">
        <v>51.6</v>
      </c>
      <c r="D31" s="25">
        <v>180</v>
      </c>
      <c r="E31" s="26">
        <f>(C31-D31)</f>
        <v>-128.4</v>
      </c>
      <c r="F31" s="26">
        <f>IF(E31&gt;=0,(E31*11.375),(360+E31)*11.375)</f>
        <v>2634.45</v>
      </c>
      <c r="G31" s="36">
        <v>-30</v>
      </c>
      <c r="H31" s="36">
        <v>30</v>
      </c>
      <c r="I31" s="34"/>
      <c r="J31" s="34"/>
      <c r="K31" s="27">
        <v>11.375</v>
      </c>
      <c r="L31" s="27">
        <f>D31*K31</f>
        <v>2047.5</v>
      </c>
      <c r="M31" s="27">
        <v>10</v>
      </c>
      <c r="N31" s="25">
        <f t="shared" si="4"/>
        <v>2634.45</v>
      </c>
      <c r="O31" s="25"/>
      <c r="P31" s="25"/>
    </row>
    <row r="32" spans="1:16" ht="19.5" thickBot="1">
      <c r="A32" s="30">
        <v>8</v>
      </c>
      <c r="B32" s="53" t="s">
        <v>36</v>
      </c>
      <c r="C32" s="73">
        <v>77.8</v>
      </c>
      <c r="D32" s="25">
        <v>180</v>
      </c>
      <c r="E32" s="26">
        <f>(C32-D32)</f>
        <v>-102.2</v>
      </c>
      <c r="F32" s="26">
        <f>IF(E32&gt;=0,(E32*11.375),(360+E32)*11.375)</f>
        <v>2932.4749999999999</v>
      </c>
      <c r="G32" s="36">
        <v>-22</v>
      </c>
      <c r="H32" s="36">
        <v>70</v>
      </c>
      <c r="I32" s="34"/>
      <c r="J32" s="34"/>
      <c r="K32" s="27">
        <v>11.375</v>
      </c>
      <c r="L32" s="27">
        <f>D32*K32</f>
        <v>2047.5</v>
      </c>
      <c r="M32" s="27">
        <v>10</v>
      </c>
      <c r="N32" s="25">
        <f t="shared" si="4"/>
        <v>2932.4749999999999</v>
      </c>
      <c r="O32" s="25"/>
      <c r="P32" s="25"/>
    </row>
    <row r="33" spans="1:21" ht="18.75">
      <c r="A33" s="31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1" ht="18.75">
      <c r="A34" s="31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1" ht="21.75" thickBot="1">
      <c r="A35" s="31"/>
      <c r="B35" s="47" t="s">
        <v>37</v>
      </c>
      <c r="C35" s="47"/>
      <c r="D35" s="47"/>
      <c r="E35" s="58"/>
      <c r="F35" s="58"/>
      <c r="G35" s="47"/>
      <c r="H35" s="47"/>
      <c r="I35" s="47"/>
      <c r="J35" s="47"/>
      <c r="K35" s="47"/>
      <c r="L35" s="47"/>
      <c r="M35" s="47"/>
      <c r="N35" s="47"/>
      <c r="O35" s="47"/>
      <c r="P35" s="47"/>
    </row>
    <row r="36" spans="1:21" ht="39" customHeight="1" thickBot="1">
      <c r="A36" s="48" t="s">
        <v>1</v>
      </c>
      <c r="B36" s="49" t="s">
        <v>2</v>
      </c>
      <c r="C36" s="50" t="s">
        <v>38</v>
      </c>
      <c r="D36" s="50" t="s">
        <v>4</v>
      </c>
      <c r="E36" s="51" t="s">
        <v>5</v>
      </c>
      <c r="F36" s="52" t="s">
        <v>163</v>
      </c>
      <c r="G36" s="50" t="s">
        <v>6</v>
      </c>
      <c r="H36" s="50" t="s">
        <v>7</v>
      </c>
      <c r="I36" s="50" t="s">
        <v>8</v>
      </c>
      <c r="J36" s="50" t="s">
        <v>9</v>
      </c>
      <c r="K36" s="50" t="s">
        <v>10</v>
      </c>
      <c r="L36" s="50" t="s">
        <v>11</v>
      </c>
      <c r="M36" s="50" t="s">
        <v>12</v>
      </c>
      <c r="N36" s="50" t="s">
        <v>13</v>
      </c>
      <c r="O36" s="50" t="s">
        <v>209</v>
      </c>
      <c r="P36" s="50" t="s">
        <v>210</v>
      </c>
    </row>
    <row r="37" spans="1:21" ht="18.75">
      <c r="A37" s="28">
        <v>0</v>
      </c>
      <c r="B37" s="53" t="s">
        <v>39</v>
      </c>
      <c r="C37" s="24">
        <v>-78</v>
      </c>
      <c r="D37" s="25">
        <v>-180</v>
      </c>
      <c r="E37" s="26">
        <f>(ABS(C37)-ABS(D37))</f>
        <v>-102</v>
      </c>
      <c r="F37" s="26">
        <f>IF(E37&gt;=0,(E37*11.375),(360+E37)*11.375)</f>
        <v>2934.75</v>
      </c>
      <c r="G37" s="36">
        <v>-95.5</v>
      </c>
      <c r="H37" s="36">
        <v>10</v>
      </c>
      <c r="I37" s="34"/>
      <c r="J37" s="35"/>
      <c r="K37" s="27">
        <v>-11.375</v>
      </c>
      <c r="L37" s="27">
        <f>(D37-30)*K37</f>
        <v>2388.75</v>
      </c>
      <c r="M37" s="27">
        <v>10</v>
      </c>
      <c r="N37" s="25">
        <f>+F37</f>
        <v>2934.75</v>
      </c>
      <c r="O37" s="25"/>
      <c r="P37" s="25"/>
    </row>
    <row r="38" spans="1:21" ht="18.75">
      <c r="A38" s="23">
        <v>1</v>
      </c>
      <c r="B38" s="53" t="s">
        <v>40</v>
      </c>
      <c r="C38" s="24">
        <v>-44</v>
      </c>
      <c r="D38" s="25">
        <v>-315</v>
      </c>
      <c r="E38" s="26">
        <f>(ABS(C38)-ABS(D38))</f>
        <v>-271</v>
      </c>
      <c r="F38" s="26">
        <f>IF(E38&gt;=0,(E38*11.375),(360+E38)*11.375)</f>
        <v>1012.375</v>
      </c>
      <c r="G38" s="36">
        <v>0</v>
      </c>
      <c r="H38" s="36">
        <v>160.80000000000001</v>
      </c>
      <c r="I38" s="34"/>
      <c r="J38" s="34"/>
      <c r="K38" s="27">
        <v>-11.375</v>
      </c>
      <c r="L38" s="27">
        <f>K38*(D38+30)</f>
        <v>3241.875</v>
      </c>
      <c r="M38" s="27">
        <v>10</v>
      </c>
      <c r="N38" s="25">
        <f>+F38</f>
        <v>1012.375</v>
      </c>
      <c r="O38" s="25"/>
      <c r="P38" s="25"/>
    </row>
    <row r="39" spans="1:21" ht="18.75">
      <c r="A39" s="23">
        <v>2</v>
      </c>
      <c r="B39" s="53" t="s">
        <v>41</v>
      </c>
      <c r="C39" s="24">
        <v>-72.599999999999994</v>
      </c>
      <c r="D39" s="25">
        <f>-L39/-K39</f>
        <v>24.257819103972956</v>
      </c>
      <c r="E39" s="44">
        <f>ABS((+C39/(40/65)-(C37-C38)/(40/65)))-ABS(180)</f>
        <v>-117.27500000000002</v>
      </c>
      <c r="F39" s="44">
        <f>IF(E39&gt;=0,(E39*11.375),(360+E39)*11.375)</f>
        <v>2760.9968749999998</v>
      </c>
      <c r="G39" s="36">
        <v>-37</v>
      </c>
      <c r="H39" s="36">
        <v>80</v>
      </c>
      <c r="I39" s="34"/>
      <c r="J39" s="34"/>
      <c r="K39" s="27">
        <v>-11.375</v>
      </c>
      <c r="L39" s="64">
        <f>2047*40/65+((D37*K37)-(D38*K38))</f>
        <v>-275.93269230769238</v>
      </c>
      <c r="M39" s="27">
        <v>10</v>
      </c>
      <c r="N39" s="27">
        <f>F39</f>
        <v>2760.9968749999998</v>
      </c>
      <c r="O39" s="27"/>
      <c r="P39" s="27"/>
      <c r="R39" s="45" t="s">
        <v>208</v>
      </c>
      <c r="S39" s="45"/>
      <c r="T39" s="45"/>
      <c r="U39" s="45"/>
    </row>
    <row r="40" spans="1:21" ht="18.75">
      <c r="A40" s="23">
        <v>3</v>
      </c>
      <c r="B40" s="53" t="s">
        <v>42</v>
      </c>
      <c r="C40" s="24">
        <v>30</v>
      </c>
      <c r="D40" s="25">
        <v>-180</v>
      </c>
      <c r="E40" s="26">
        <f>(ABS(C40)-ABS(D40))</f>
        <v>-150</v>
      </c>
      <c r="F40" s="26">
        <f>IF(E40&gt;=0,(E40*11.375),(360+E40)*11.375)</f>
        <v>2388.75</v>
      </c>
      <c r="G40" s="36">
        <v>15</v>
      </c>
      <c r="H40" s="36">
        <v>106</v>
      </c>
      <c r="I40" s="34"/>
      <c r="J40" s="34"/>
      <c r="K40" s="27">
        <v>-11.375</v>
      </c>
      <c r="L40" s="27">
        <v>1532</v>
      </c>
      <c r="M40" s="27">
        <v>10</v>
      </c>
      <c r="N40" s="25">
        <f>+F40</f>
        <v>2388.75</v>
      </c>
      <c r="O40" s="25"/>
      <c r="P40" s="25"/>
    </row>
    <row r="41" spans="1:21" ht="18.75">
      <c r="A41" s="23">
        <v>4</v>
      </c>
      <c r="B41" s="53" t="s">
        <v>43</v>
      </c>
      <c r="C41" s="33"/>
      <c r="D41" s="25">
        <v>90</v>
      </c>
      <c r="E41" s="33"/>
      <c r="F41" s="33"/>
      <c r="G41" s="36">
        <v>-90</v>
      </c>
      <c r="H41" s="36">
        <v>90</v>
      </c>
      <c r="I41" s="34"/>
      <c r="J41" s="34"/>
      <c r="K41" s="27">
        <f>-706.67</f>
        <v>-706.67</v>
      </c>
      <c r="L41" s="27">
        <v>1000</v>
      </c>
      <c r="M41" s="27">
        <v>20</v>
      </c>
      <c r="N41" s="25">
        <v>0</v>
      </c>
      <c r="O41" s="25"/>
      <c r="P41" s="25"/>
    </row>
    <row r="42" spans="1:21" ht="18.75">
      <c r="A42" s="23">
        <v>5</v>
      </c>
      <c r="B42" s="53" t="s">
        <v>44</v>
      </c>
      <c r="C42" s="33"/>
      <c r="D42" s="25">
        <v>-20</v>
      </c>
      <c r="E42" s="33"/>
      <c r="F42" s="33"/>
      <c r="G42" s="36">
        <v>-90</v>
      </c>
      <c r="H42" s="36">
        <v>0</v>
      </c>
      <c r="I42" s="34"/>
      <c r="J42" s="34"/>
      <c r="K42" s="27">
        <v>-978.46</v>
      </c>
      <c r="L42" s="27">
        <v>750</v>
      </c>
      <c r="M42" s="27">
        <v>-10</v>
      </c>
      <c r="N42" s="25">
        <v>0</v>
      </c>
      <c r="O42" s="25"/>
      <c r="P42" s="25"/>
    </row>
    <row r="43" spans="1:21" ht="18.75">
      <c r="A43" s="23">
        <v>6</v>
      </c>
      <c r="B43" s="53" t="s">
        <v>45</v>
      </c>
      <c r="C43" s="33"/>
      <c r="D43" s="25">
        <v>-52</v>
      </c>
      <c r="E43" s="33"/>
      <c r="F43" s="33"/>
      <c r="G43" s="36">
        <v>-20</v>
      </c>
      <c r="H43" s="36">
        <v>40</v>
      </c>
      <c r="I43" s="34"/>
      <c r="J43" s="34"/>
      <c r="K43" s="27">
        <v>-978.46</v>
      </c>
      <c r="L43" s="27">
        <v>750</v>
      </c>
      <c r="M43" s="27">
        <v>-10</v>
      </c>
      <c r="N43" s="25">
        <v>0</v>
      </c>
      <c r="O43" s="25"/>
      <c r="P43" s="25"/>
    </row>
    <row r="44" spans="1:21" ht="18.75">
      <c r="A44" s="23">
        <v>7</v>
      </c>
      <c r="B44" s="53" t="s">
        <v>46</v>
      </c>
      <c r="C44" s="33"/>
      <c r="D44" s="27">
        <f>IF(K44&gt;0,+I44/K44+G44,+I44/K44-G44)</f>
        <v>-480</v>
      </c>
      <c r="E44" s="33"/>
      <c r="F44" s="33"/>
      <c r="G44" s="27">
        <v>0</v>
      </c>
      <c r="H44" s="27">
        <v>60</v>
      </c>
      <c r="I44" s="46">
        <v>1600</v>
      </c>
      <c r="J44" s="46">
        <v>1400</v>
      </c>
      <c r="K44" s="29">
        <f>(J44-I44)/(H44-G44)</f>
        <v>-3.3333333333333335</v>
      </c>
      <c r="L44" s="27">
        <f>ABS(+D44*K44)</f>
        <v>1600</v>
      </c>
      <c r="M44" s="27">
        <v>100</v>
      </c>
      <c r="N44" s="27">
        <v>0</v>
      </c>
      <c r="O44" s="27"/>
      <c r="P44" s="27"/>
    </row>
    <row r="45" spans="1:21" ht="18.75">
      <c r="A45" s="32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1" ht="21.75" thickBot="1">
      <c r="B46" s="47" t="s">
        <v>47</v>
      </c>
      <c r="C46" s="47"/>
      <c r="D46" s="47"/>
      <c r="E46" s="58"/>
      <c r="F46" s="58"/>
      <c r="G46" s="47"/>
      <c r="H46" s="47"/>
      <c r="I46" s="47"/>
      <c r="J46" s="47"/>
      <c r="K46" s="47"/>
      <c r="L46" s="47"/>
      <c r="M46" s="47"/>
      <c r="N46" s="47"/>
      <c r="O46" s="47"/>
      <c r="P46" s="47"/>
    </row>
    <row r="47" spans="1:21" ht="36.75" customHeight="1" thickBot="1">
      <c r="A47" s="48" t="s">
        <v>1</v>
      </c>
      <c r="B47" s="49" t="s">
        <v>2</v>
      </c>
      <c r="C47" s="50" t="s">
        <v>38</v>
      </c>
      <c r="D47" s="50" t="s">
        <v>4</v>
      </c>
      <c r="E47" s="51" t="s">
        <v>5</v>
      </c>
      <c r="F47" s="52" t="s">
        <v>163</v>
      </c>
      <c r="G47" s="50" t="s">
        <v>6</v>
      </c>
      <c r="H47" s="50" t="s">
        <v>7</v>
      </c>
      <c r="I47" s="50" t="s">
        <v>8</v>
      </c>
      <c r="J47" s="50" t="s">
        <v>9</v>
      </c>
      <c r="K47" s="50" t="s">
        <v>10</v>
      </c>
      <c r="L47" s="50" t="s">
        <v>11</v>
      </c>
      <c r="M47" s="50" t="s">
        <v>12</v>
      </c>
      <c r="N47" s="50" t="s">
        <v>13</v>
      </c>
      <c r="O47" s="50" t="s">
        <v>209</v>
      </c>
      <c r="P47" s="50" t="s">
        <v>210</v>
      </c>
    </row>
    <row r="48" spans="1:21" ht="18.75">
      <c r="A48" s="28">
        <v>0</v>
      </c>
      <c r="B48" s="53" t="s">
        <v>48</v>
      </c>
      <c r="C48" s="33"/>
      <c r="D48" s="27">
        <f>IF(K48&gt;0,+I48/K48-G48,+I48/K48+G48)</f>
        <v>43.971291866028707</v>
      </c>
      <c r="E48" s="33"/>
      <c r="F48" s="33"/>
      <c r="G48" s="27">
        <v>-10</v>
      </c>
      <c r="H48" s="27">
        <v>90</v>
      </c>
      <c r="I48" s="46">
        <v>710</v>
      </c>
      <c r="J48" s="46">
        <v>2800</v>
      </c>
      <c r="K48" s="29">
        <f t="shared" ref="K48:K55" si="5">(J48-I48)/(H48-G48)</f>
        <v>20.9</v>
      </c>
      <c r="L48" s="27">
        <f>ABS(D48*K48)</f>
        <v>918.99999999999989</v>
      </c>
      <c r="M48" s="27">
        <v>10</v>
      </c>
      <c r="N48" s="27">
        <v>0</v>
      </c>
      <c r="O48" s="27"/>
      <c r="P48" s="27"/>
    </row>
    <row r="49" spans="1:16" ht="19.5" thickBot="1">
      <c r="A49" s="23">
        <v>1</v>
      </c>
      <c r="B49" s="53" t="s">
        <v>49</v>
      </c>
      <c r="C49" s="33"/>
      <c r="D49" s="27">
        <f>-G49+(+I49/K49)</f>
        <v>-98</v>
      </c>
      <c r="E49" s="33"/>
      <c r="F49" s="33"/>
      <c r="G49" s="27">
        <v>0</v>
      </c>
      <c r="H49" s="27">
        <v>90</v>
      </c>
      <c r="I49" s="74">
        <v>245</v>
      </c>
      <c r="J49" s="74">
        <v>20</v>
      </c>
      <c r="K49" s="29">
        <f t="shared" si="5"/>
        <v>-2.5</v>
      </c>
      <c r="L49" s="27">
        <f>I49</f>
        <v>245</v>
      </c>
      <c r="M49" s="27">
        <v>10</v>
      </c>
      <c r="N49" s="27">
        <v>6000</v>
      </c>
      <c r="O49" s="27"/>
      <c r="P49" s="27"/>
    </row>
    <row r="50" spans="1:16" ht="19.5" thickBot="1">
      <c r="A50" s="23">
        <v>2</v>
      </c>
      <c r="B50" s="53" t="s">
        <v>50</v>
      </c>
      <c r="C50" s="33"/>
      <c r="D50" s="27">
        <f t="shared" ref="D50:D55" si="6">-G50+(+I50/K50)</f>
        <v>-183.91304347826087</v>
      </c>
      <c r="E50" s="33"/>
      <c r="F50" s="33"/>
      <c r="G50" s="27">
        <v>0</v>
      </c>
      <c r="H50" s="27">
        <v>180</v>
      </c>
      <c r="I50" s="74">
        <v>470</v>
      </c>
      <c r="J50" s="74">
        <v>10</v>
      </c>
      <c r="K50" s="29">
        <f t="shared" si="5"/>
        <v>-2.5555555555555554</v>
      </c>
      <c r="L50" s="27">
        <f>J50</f>
        <v>10</v>
      </c>
      <c r="M50" s="27">
        <v>10</v>
      </c>
      <c r="N50" s="27">
        <v>6500</v>
      </c>
      <c r="O50" s="27"/>
      <c r="P50" s="27"/>
    </row>
    <row r="51" spans="1:16" ht="19.5" thickBot="1">
      <c r="A51" s="23">
        <v>3</v>
      </c>
      <c r="B51" s="53" t="s">
        <v>51</v>
      </c>
      <c r="C51" s="33"/>
      <c r="D51" s="27">
        <f t="shared" si="6"/>
        <v>-93.84615384615384</v>
      </c>
      <c r="E51" s="33"/>
      <c r="F51" s="33"/>
      <c r="G51" s="27">
        <v>0</v>
      </c>
      <c r="H51" s="27">
        <v>90</v>
      </c>
      <c r="I51" s="74">
        <v>244</v>
      </c>
      <c r="J51" s="74">
        <v>10</v>
      </c>
      <c r="K51" s="29">
        <f t="shared" si="5"/>
        <v>-2.6</v>
      </c>
      <c r="L51" s="27">
        <f>I51</f>
        <v>244</v>
      </c>
      <c r="M51" s="27">
        <v>10</v>
      </c>
      <c r="N51" s="27">
        <v>6000</v>
      </c>
      <c r="O51" s="27"/>
      <c r="P51" s="27"/>
    </row>
    <row r="52" spans="1:16" ht="19.5" thickBot="1">
      <c r="A52" s="23">
        <v>4</v>
      </c>
      <c r="B52" s="53" t="s">
        <v>52</v>
      </c>
      <c r="C52" s="33"/>
      <c r="D52" s="27">
        <f t="shared" si="6"/>
        <v>-187.74193548387095</v>
      </c>
      <c r="E52" s="33"/>
      <c r="F52" s="33"/>
      <c r="G52" s="27">
        <v>0</v>
      </c>
      <c r="H52" s="27">
        <v>180</v>
      </c>
      <c r="I52" s="74">
        <v>485</v>
      </c>
      <c r="J52" s="74">
        <v>20</v>
      </c>
      <c r="K52" s="29">
        <f t="shared" si="5"/>
        <v>-2.5833333333333335</v>
      </c>
      <c r="L52" s="27">
        <f>J52</f>
        <v>20</v>
      </c>
      <c r="M52" s="27">
        <v>10</v>
      </c>
      <c r="N52" s="27">
        <v>6500</v>
      </c>
      <c r="O52" s="27"/>
      <c r="P52" s="27"/>
    </row>
    <row r="53" spans="1:16" ht="19.5" thickBot="1">
      <c r="A53" s="23">
        <v>5</v>
      </c>
      <c r="B53" s="53" t="s">
        <v>53</v>
      </c>
      <c r="C53" s="33"/>
      <c r="D53" s="27">
        <f t="shared" si="6"/>
        <v>-93.75</v>
      </c>
      <c r="E53" s="33"/>
      <c r="F53" s="33"/>
      <c r="G53" s="27">
        <v>0</v>
      </c>
      <c r="H53" s="27">
        <v>90</v>
      </c>
      <c r="I53" s="74">
        <v>250</v>
      </c>
      <c r="J53" s="74">
        <v>10</v>
      </c>
      <c r="K53" s="29">
        <f t="shared" si="5"/>
        <v>-2.6666666666666665</v>
      </c>
      <c r="L53" s="27">
        <f>I53</f>
        <v>250</v>
      </c>
      <c r="M53" s="27">
        <v>10</v>
      </c>
      <c r="N53" s="27">
        <v>6000</v>
      </c>
      <c r="O53" s="27"/>
      <c r="P53" s="27"/>
    </row>
    <row r="54" spans="1:16" ht="19.5" thickBot="1">
      <c r="A54" s="23">
        <v>6</v>
      </c>
      <c r="B54" s="53" t="s">
        <v>54</v>
      </c>
      <c r="C54" s="33"/>
      <c r="D54" s="27">
        <f t="shared" si="6"/>
        <v>-202.39234449760764</v>
      </c>
      <c r="E54" s="33"/>
      <c r="F54" s="33"/>
      <c r="G54" s="27">
        <v>0</v>
      </c>
      <c r="H54" s="27">
        <v>180</v>
      </c>
      <c r="I54" s="74">
        <v>470</v>
      </c>
      <c r="J54" s="74">
        <v>52</v>
      </c>
      <c r="K54" s="29">
        <f t="shared" si="5"/>
        <v>-2.3222222222222224</v>
      </c>
      <c r="L54" s="27">
        <f>J54</f>
        <v>52</v>
      </c>
      <c r="M54" s="27">
        <v>10</v>
      </c>
      <c r="N54" s="27">
        <v>-6500</v>
      </c>
      <c r="O54" s="27"/>
      <c r="P54" s="27"/>
    </row>
    <row r="55" spans="1:16" ht="19.5" thickBot="1">
      <c r="A55" s="23">
        <v>7</v>
      </c>
      <c r="B55" s="53" t="s">
        <v>55</v>
      </c>
      <c r="C55" s="33"/>
      <c r="D55" s="27">
        <f t="shared" si="6"/>
        <v>-286.74418604651163</v>
      </c>
      <c r="E55" s="33"/>
      <c r="F55" s="33"/>
      <c r="G55" s="27">
        <v>0</v>
      </c>
      <c r="H55" s="27">
        <v>270</v>
      </c>
      <c r="I55" s="74">
        <v>685</v>
      </c>
      <c r="J55" s="74">
        <v>40</v>
      </c>
      <c r="K55" s="29">
        <f t="shared" si="5"/>
        <v>-2.3888888888888888</v>
      </c>
      <c r="L55" s="27">
        <f>I55</f>
        <v>685</v>
      </c>
      <c r="M55" s="27">
        <v>10</v>
      </c>
      <c r="N55" s="27">
        <v>26000</v>
      </c>
      <c r="O55" s="27"/>
      <c r="P55" s="27"/>
    </row>
    <row r="56" spans="1:16" ht="18.75">
      <c r="B56" s="70"/>
      <c r="C56" s="33"/>
      <c r="D56" s="33"/>
      <c r="E56" s="71"/>
      <c r="F56" s="71"/>
      <c r="G56" s="70"/>
      <c r="H56" s="70"/>
      <c r="I56" s="70"/>
      <c r="J56" s="70"/>
      <c r="K56" s="70"/>
      <c r="L56" s="70"/>
      <c r="M56" s="70"/>
      <c r="N56" s="70"/>
      <c r="O56" s="70"/>
      <c r="P56" s="70"/>
    </row>
    <row r="57" spans="1:16" ht="21.75" thickBot="1">
      <c r="B57" s="66" t="s">
        <v>56</v>
      </c>
      <c r="C57" s="67"/>
      <c r="D57" s="67"/>
      <c r="E57" s="68"/>
      <c r="F57" s="68"/>
      <c r="G57" s="67"/>
      <c r="H57" s="67"/>
      <c r="I57" s="67"/>
      <c r="J57" s="67"/>
      <c r="K57" s="67"/>
      <c r="L57" s="67"/>
      <c r="M57" s="67"/>
      <c r="N57" s="67"/>
      <c r="O57" s="67"/>
      <c r="P57" s="69"/>
    </row>
    <row r="58" spans="1:16" ht="33" customHeight="1" thickBot="1">
      <c r="A58" s="48" t="s">
        <v>1</v>
      </c>
      <c r="B58" s="54" t="s">
        <v>2</v>
      </c>
      <c r="C58" s="55" t="s">
        <v>38</v>
      </c>
      <c r="D58" s="55" t="s">
        <v>4</v>
      </c>
      <c r="E58" s="56" t="s">
        <v>5</v>
      </c>
      <c r="F58" s="57" t="s">
        <v>163</v>
      </c>
      <c r="G58" s="55" t="s">
        <v>6</v>
      </c>
      <c r="H58" s="55" t="s">
        <v>7</v>
      </c>
      <c r="I58" s="55" t="s">
        <v>8</v>
      </c>
      <c r="J58" s="55" t="s">
        <v>9</v>
      </c>
      <c r="K58" s="55" t="s">
        <v>10</v>
      </c>
      <c r="L58" s="55" t="s">
        <v>11</v>
      </c>
      <c r="M58" s="55" t="s">
        <v>12</v>
      </c>
      <c r="N58" s="55" t="s">
        <v>13</v>
      </c>
      <c r="O58" s="55" t="s">
        <v>209</v>
      </c>
      <c r="P58" s="55" t="s">
        <v>210</v>
      </c>
    </row>
    <row r="59" spans="1:16" ht="18.75">
      <c r="A59" s="28">
        <v>0</v>
      </c>
      <c r="B59" s="53" t="s">
        <v>57</v>
      </c>
      <c r="C59" s="24">
        <v>225.1</v>
      </c>
      <c r="D59" s="25">
        <v>180</v>
      </c>
      <c r="E59" s="26">
        <f>(ABS(C59)-ABS(D59))</f>
        <v>45.099999999999994</v>
      </c>
      <c r="F59" s="26">
        <f>IF(E59&gt;=0,(E59*11.375),(360+E59)*11.375)</f>
        <v>513.01249999999993</v>
      </c>
      <c r="G59" s="36">
        <v>-95.5</v>
      </c>
      <c r="H59" s="36">
        <v>10</v>
      </c>
      <c r="I59" s="63"/>
      <c r="J59" s="63"/>
      <c r="K59" s="64">
        <v>11.375</v>
      </c>
      <c r="L59" s="25">
        <f>(D59-30)*K59</f>
        <v>1706.25</v>
      </c>
      <c r="M59" s="25">
        <v>10</v>
      </c>
      <c r="N59" s="25">
        <f>+F59</f>
        <v>513.01249999999993</v>
      </c>
      <c r="O59" s="25"/>
      <c r="P59" s="25"/>
    </row>
    <row r="60" spans="1:16" ht="18.75">
      <c r="A60" s="23">
        <v>1</v>
      </c>
      <c r="B60" s="53" t="s">
        <v>58</v>
      </c>
      <c r="C60" s="24">
        <v>5.4</v>
      </c>
      <c r="D60" s="25">
        <f>45</f>
        <v>45</v>
      </c>
      <c r="E60" s="26">
        <f>(ABS(C60)-ABS(D60))</f>
        <v>-39.6</v>
      </c>
      <c r="F60" s="26">
        <f>IF(E60&gt;=0,(E60*11.375),(360+E60)*11.375)</f>
        <v>3644.5499999999997</v>
      </c>
      <c r="G60" s="36">
        <v>0</v>
      </c>
      <c r="H60" s="36">
        <v>161</v>
      </c>
      <c r="I60" s="63"/>
      <c r="J60" s="63"/>
      <c r="K60" s="64">
        <v>11.375</v>
      </c>
      <c r="L60" s="25">
        <f>(D60+30)*K60</f>
        <v>853.125</v>
      </c>
      <c r="M60" s="25">
        <v>10</v>
      </c>
      <c r="N60" s="25">
        <f>+F60</f>
        <v>3644.5499999999997</v>
      </c>
      <c r="O60" s="25"/>
      <c r="P60" s="25"/>
    </row>
    <row r="61" spans="1:16" ht="18.75">
      <c r="A61" s="23">
        <v>2</v>
      </c>
      <c r="B61" s="53" t="s">
        <v>59</v>
      </c>
      <c r="C61" s="65">
        <v>410</v>
      </c>
      <c r="D61" s="25">
        <f>L61/K61</f>
        <v>245.74218089602704</v>
      </c>
      <c r="E61" s="44">
        <f>ABS((+C61/(40/65)-(C59-C60)/(40/65)))-ABS(180)</f>
        <v>129.23750000000001</v>
      </c>
      <c r="F61" s="44">
        <f>IF(E61&gt;=0,(E61*11.375),(360+E61)*11.375)</f>
        <v>1470.0765625000001</v>
      </c>
      <c r="G61" s="36">
        <v>-37</v>
      </c>
      <c r="H61" s="36">
        <v>80</v>
      </c>
      <c r="I61" s="63"/>
      <c r="J61" s="63"/>
      <c r="K61" s="64">
        <v>11.375</v>
      </c>
      <c r="L61" s="64">
        <f>2047*40/65+((D59*K59)-(D60*K60))</f>
        <v>2795.3173076923076</v>
      </c>
      <c r="M61" s="25">
        <v>10</v>
      </c>
      <c r="N61" s="25">
        <f>F61</f>
        <v>1470.0765625000001</v>
      </c>
      <c r="O61" s="25"/>
      <c r="P61" s="25"/>
    </row>
    <row r="62" spans="1:16" ht="18.75">
      <c r="A62" s="23">
        <v>3</v>
      </c>
      <c r="B62" s="53" t="s">
        <v>60</v>
      </c>
      <c r="C62" s="24">
        <v>48.3</v>
      </c>
      <c r="D62" s="25">
        <v>180</v>
      </c>
      <c r="E62" s="26">
        <f>(ABS(C62)-ABS(D62))</f>
        <v>-131.69999999999999</v>
      </c>
      <c r="F62" s="26">
        <f>IF(E62&gt;=0,(E62*11.375),(360+E62)*11.375)</f>
        <v>2596.9124999999999</v>
      </c>
      <c r="G62" s="36">
        <v>15</v>
      </c>
      <c r="H62" s="36">
        <v>106</v>
      </c>
      <c r="I62" s="63"/>
      <c r="J62" s="63"/>
      <c r="K62" s="64">
        <v>11.375</v>
      </c>
      <c r="L62" s="27">
        <v>2558</v>
      </c>
      <c r="M62" s="25">
        <v>10</v>
      </c>
      <c r="N62" s="25">
        <f>+F62</f>
        <v>2596.9124999999999</v>
      </c>
      <c r="O62" s="25"/>
      <c r="P62" s="25"/>
    </row>
    <row r="63" spans="1:16" ht="18.75">
      <c r="A63" s="23">
        <v>4</v>
      </c>
      <c r="B63" s="53" t="s">
        <v>61</v>
      </c>
      <c r="C63" s="34"/>
      <c r="D63" s="27">
        <v>90</v>
      </c>
      <c r="E63" s="33"/>
      <c r="F63" s="33"/>
      <c r="G63" s="38">
        <v>-90</v>
      </c>
      <c r="H63" s="38">
        <v>90</v>
      </c>
      <c r="I63" s="33"/>
      <c r="J63" s="33"/>
      <c r="K63" s="64">
        <f>706.67</f>
        <v>706.67</v>
      </c>
      <c r="L63" s="25">
        <v>750</v>
      </c>
      <c r="M63" s="25">
        <v>-20</v>
      </c>
      <c r="N63" s="25">
        <v>0</v>
      </c>
      <c r="O63" s="25"/>
      <c r="P63" s="25"/>
    </row>
    <row r="64" spans="1:16" ht="18.75">
      <c r="A64" s="23">
        <v>5</v>
      </c>
      <c r="B64" s="53" t="s">
        <v>62</v>
      </c>
      <c r="C64" s="33"/>
      <c r="D64" s="27">
        <v>-20</v>
      </c>
      <c r="E64" s="33"/>
      <c r="F64" s="33"/>
      <c r="G64" s="38">
        <v>-90</v>
      </c>
      <c r="H64" s="38">
        <v>0</v>
      </c>
      <c r="I64" s="33"/>
      <c r="J64" s="33"/>
      <c r="K64" s="64">
        <v>978.46</v>
      </c>
      <c r="L64" s="25">
        <v>750</v>
      </c>
      <c r="M64" s="25">
        <v>10</v>
      </c>
      <c r="N64" s="25">
        <v>0</v>
      </c>
      <c r="O64" s="25"/>
      <c r="P64" s="25"/>
    </row>
    <row r="65" spans="1:16" ht="18.75">
      <c r="A65" s="23">
        <v>6</v>
      </c>
      <c r="B65" s="53" t="s">
        <v>63</v>
      </c>
      <c r="C65" s="33"/>
      <c r="D65" s="27">
        <v>-52</v>
      </c>
      <c r="E65" s="33"/>
      <c r="F65" s="33"/>
      <c r="G65" s="38">
        <v>-20</v>
      </c>
      <c r="H65" s="38">
        <v>40</v>
      </c>
      <c r="I65" s="33"/>
      <c r="J65" s="33"/>
      <c r="K65" s="64">
        <v>978.46</v>
      </c>
      <c r="L65" s="25">
        <v>750</v>
      </c>
      <c r="M65" s="25">
        <v>10</v>
      </c>
      <c r="N65" s="25">
        <v>0</v>
      </c>
      <c r="O65" s="25"/>
      <c r="P65" s="25"/>
    </row>
    <row r="66" spans="1:16" ht="18.75">
      <c r="A66" s="23">
        <v>7</v>
      </c>
      <c r="B66" s="53" t="s">
        <v>64</v>
      </c>
      <c r="C66" s="33"/>
      <c r="D66" s="27">
        <f>IF(K66&gt;0,+I66/K66+G66,+I66/K66-G66)</f>
        <v>353.68421052631578</v>
      </c>
      <c r="E66" s="33"/>
      <c r="F66" s="33"/>
      <c r="G66" s="25">
        <v>0</v>
      </c>
      <c r="H66" s="25">
        <v>60</v>
      </c>
      <c r="I66" s="46">
        <v>2240</v>
      </c>
      <c r="J66" s="46">
        <v>2620</v>
      </c>
      <c r="K66" s="64">
        <f>(J66-I66)/(H66-G66)</f>
        <v>6.333333333333333</v>
      </c>
      <c r="L66" s="25">
        <f>ABS(+D66*K66)</f>
        <v>2240</v>
      </c>
      <c r="M66" s="25">
        <v>100</v>
      </c>
      <c r="N66" s="25">
        <v>0</v>
      </c>
      <c r="O66" s="25"/>
      <c r="P66" s="25"/>
    </row>
    <row r="67" spans="1:16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6" ht="21.75" thickBot="1">
      <c r="B68" s="59" t="s">
        <v>65</v>
      </c>
      <c r="C68" s="60"/>
      <c r="D68" s="60"/>
      <c r="E68" s="61"/>
      <c r="F68" s="61"/>
      <c r="G68" s="60"/>
      <c r="H68" s="60"/>
      <c r="I68" s="60"/>
      <c r="J68" s="60"/>
      <c r="K68" s="60"/>
      <c r="L68" s="60"/>
      <c r="M68" s="60"/>
      <c r="N68" s="60"/>
      <c r="O68" s="60"/>
      <c r="P68" s="62"/>
    </row>
    <row r="69" spans="1:16" ht="36.75" customHeight="1" thickBot="1">
      <c r="A69" s="48" t="s">
        <v>1</v>
      </c>
      <c r="B69" s="54" t="s">
        <v>2</v>
      </c>
      <c r="C69" s="55" t="s">
        <v>38</v>
      </c>
      <c r="D69" s="55" t="s">
        <v>4</v>
      </c>
      <c r="E69" s="56" t="s">
        <v>5</v>
      </c>
      <c r="F69" s="57" t="s">
        <v>163</v>
      </c>
      <c r="G69" s="55" t="s">
        <v>6</v>
      </c>
      <c r="H69" s="55" t="s">
        <v>7</v>
      </c>
      <c r="I69" s="55" t="s">
        <v>8</v>
      </c>
      <c r="J69" s="55" t="s">
        <v>9</v>
      </c>
      <c r="K69" s="55" t="s">
        <v>10</v>
      </c>
      <c r="L69" s="55" t="s">
        <v>11</v>
      </c>
      <c r="M69" s="55" t="s">
        <v>12</v>
      </c>
      <c r="N69" s="55" t="s">
        <v>13</v>
      </c>
      <c r="O69" s="55" t="s">
        <v>209</v>
      </c>
      <c r="P69" s="55" t="s">
        <v>210</v>
      </c>
    </row>
    <row r="70" spans="1:16" ht="18.75">
      <c r="A70" s="28">
        <v>0</v>
      </c>
      <c r="B70" s="53" t="s">
        <v>66</v>
      </c>
      <c r="C70" s="33"/>
      <c r="D70" s="27">
        <f>IF(K70&gt;0,+I70/K70-G70,+I70/K70+G70)</f>
        <v>114</v>
      </c>
      <c r="E70" s="33"/>
      <c r="F70" s="33"/>
      <c r="G70" s="27">
        <v>-10</v>
      </c>
      <c r="H70" s="27">
        <v>90</v>
      </c>
      <c r="I70" s="46">
        <v>1300</v>
      </c>
      <c r="J70" s="46">
        <v>2550</v>
      </c>
      <c r="K70" s="29">
        <f t="shared" ref="K70:K77" si="7">(J70-I70)/(H70-G70)</f>
        <v>12.5</v>
      </c>
      <c r="L70" s="25">
        <f>ABS(D70*K70)</f>
        <v>1425</v>
      </c>
      <c r="M70" s="27">
        <v>10</v>
      </c>
      <c r="N70" s="27">
        <v>0</v>
      </c>
      <c r="O70" s="27"/>
      <c r="P70" s="27"/>
    </row>
    <row r="71" spans="1:16" ht="19.5" thickBot="1">
      <c r="A71" s="23">
        <v>1</v>
      </c>
      <c r="B71" s="53" t="s">
        <v>67</v>
      </c>
      <c r="C71" s="33"/>
      <c r="D71" s="27">
        <f t="shared" ref="D71:D77" si="8">-G71+(+I71/K71)</f>
        <v>-93.75</v>
      </c>
      <c r="E71" s="33"/>
      <c r="F71" s="33"/>
      <c r="G71" s="27">
        <v>0</v>
      </c>
      <c r="H71" s="27">
        <v>90</v>
      </c>
      <c r="I71" s="74">
        <v>250</v>
      </c>
      <c r="J71" s="74">
        <v>10</v>
      </c>
      <c r="K71" s="29">
        <f t="shared" si="7"/>
        <v>-2.6666666666666665</v>
      </c>
      <c r="L71" s="27">
        <f>I71</f>
        <v>250</v>
      </c>
      <c r="M71" s="27">
        <v>10</v>
      </c>
      <c r="N71" s="27">
        <v>6000</v>
      </c>
      <c r="O71" s="27"/>
      <c r="P71" s="27"/>
    </row>
    <row r="72" spans="1:16" ht="19.5" thickBot="1">
      <c r="A72" s="23">
        <v>2</v>
      </c>
      <c r="B72" s="53" t="s">
        <v>68</v>
      </c>
      <c r="C72" s="33"/>
      <c r="D72" s="27">
        <f t="shared" si="8"/>
        <v>-202.5</v>
      </c>
      <c r="E72" s="33"/>
      <c r="F72" s="33"/>
      <c r="G72" s="27">
        <v>0</v>
      </c>
      <c r="H72" s="27">
        <v>180</v>
      </c>
      <c r="I72" s="74">
        <v>450</v>
      </c>
      <c r="J72" s="74">
        <v>50</v>
      </c>
      <c r="K72" s="29">
        <f t="shared" si="7"/>
        <v>-2.2222222222222223</v>
      </c>
      <c r="L72" s="27">
        <f>+J72</f>
        <v>50</v>
      </c>
      <c r="M72" s="27">
        <v>10</v>
      </c>
      <c r="N72" s="27">
        <v>6600</v>
      </c>
      <c r="O72" s="27"/>
      <c r="P72" s="27"/>
    </row>
    <row r="73" spans="1:16" ht="19.5" thickBot="1">
      <c r="A73" s="23">
        <v>3</v>
      </c>
      <c r="B73" s="53" t="s">
        <v>69</v>
      </c>
      <c r="C73" s="33"/>
      <c r="D73" s="27">
        <f t="shared" si="8"/>
        <v>-93.75</v>
      </c>
      <c r="E73" s="33"/>
      <c r="F73" s="33"/>
      <c r="G73" s="27">
        <v>0</v>
      </c>
      <c r="H73" s="27">
        <v>90</v>
      </c>
      <c r="I73" s="74">
        <v>250</v>
      </c>
      <c r="J73" s="74">
        <v>10</v>
      </c>
      <c r="K73" s="29">
        <f t="shared" si="7"/>
        <v>-2.6666666666666665</v>
      </c>
      <c r="L73" s="27">
        <f>I73</f>
        <v>250</v>
      </c>
      <c r="M73" s="27">
        <v>10</v>
      </c>
      <c r="N73" s="27">
        <v>6000</v>
      </c>
      <c r="O73" s="27"/>
      <c r="P73" s="27"/>
    </row>
    <row r="74" spans="1:16" ht="19.5" thickBot="1">
      <c r="A74" s="23">
        <v>4</v>
      </c>
      <c r="B74" s="53" t="s">
        <v>70</v>
      </c>
      <c r="C74" s="33"/>
      <c r="D74" s="27">
        <f t="shared" si="8"/>
        <v>-183.75</v>
      </c>
      <c r="E74" s="33"/>
      <c r="F74" s="33"/>
      <c r="G74" s="27">
        <v>0</v>
      </c>
      <c r="H74" s="27">
        <v>180</v>
      </c>
      <c r="I74" s="74">
        <v>490</v>
      </c>
      <c r="J74" s="74">
        <v>10</v>
      </c>
      <c r="K74" s="29">
        <f t="shared" si="7"/>
        <v>-2.6666666666666665</v>
      </c>
      <c r="L74" s="27">
        <f>+J74</f>
        <v>10</v>
      </c>
      <c r="M74" s="27">
        <v>10</v>
      </c>
      <c r="N74" s="27">
        <v>-6600</v>
      </c>
      <c r="O74" s="27"/>
      <c r="P74" s="27"/>
    </row>
    <row r="75" spans="1:16" ht="19.5" thickBot="1">
      <c r="A75" s="23">
        <v>5</v>
      </c>
      <c r="B75" s="53" t="s">
        <v>71</v>
      </c>
      <c r="C75" s="33"/>
      <c r="D75" s="27">
        <f t="shared" si="8"/>
        <v>-100</v>
      </c>
      <c r="E75" s="33"/>
      <c r="F75" s="33"/>
      <c r="G75" s="27">
        <v>0</v>
      </c>
      <c r="H75" s="27">
        <v>90</v>
      </c>
      <c r="I75" s="74">
        <v>250</v>
      </c>
      <c r="J75" s="74">
        <v>25</v>
      </c>
      <c r="K75" s="29">
        <f t="shared" si="7"/>
        <v>-2.5</v>
      </c>
      <c r="L75" s="27">
        <f>I75</f>
        <v>250</v>
      </c>
      <c r="M75" s="27">
        <v>10</v>
      </c>
      <c r="N75" s="27">
        <v>6000</v>
      </c>
      <c r="O75" s="27"/>
      <c r="P75" s="27"/>
    </row>
    <row r="76" spans="1:16" ht="19.5" thickBot="1">
      <c r="A76" s="23">
        <v>6</v>
      </c>
      <c r="B76" s="53" t="s">
        <v>72</v>
      </c>
      <c r="C76" s="33"/>
      <c r="D76" s="27">
        <f t="shared" si="8"/>
        <v>-187.74193548387095</v>
      </c>
      <c r="E76" s="33"/>
      <c r="F76" s="33"/>
      <c r="G76" s="27">
        <v>0</v>
      </c>
      <c r="H76" s="27">
        <v>180</v>
      </c>
      <c r="I76" s="74">
        <v>485</v>
      </c>
      <c r="J76" s="74">
        <v>20</v>
      </c>
      <c r="K76" s="29">
        <f t="shared" si="7"/>
        <v>-2.5833333333333335</v>
      </c>
      <c r="L76" s="27">
        <f>J76</f>
        <v>20</v>
      </c>
      <c r="M76" s="27">
        <v>10</v>
      </c>
      <c r="N76" s="27">
        <v>6600</v>
      </c>
      <c r="O76" s="27"/>
      <c r="P76" s="27"/>
    </row>
    <row r="77" spans="1:16" ht="19.5" thickBot="1">
      <c r="A77" s="23">
        <v>7</v>
      </c>
      <c r="B77" s="53" t="s">
        <v>73</v>
      </c>
      <c r="C77" s="33"/>
      <c r="D77" s="27">
        <f t="shared" si="8"/>
        <v>-313.54838709677421</v>
      </c>
      <c r="E77" s="33"/>
      <c r="F77" s="33"/>
      <c r="G77" s="27">
        <v>0</v>
      </c>
      <c r="H77" s="27">
        <v>270</v>
      </c>
      <c r="I77" s="74">
        <v>720</v>
      </c>
      <c r="J77" s="74">
        <v>100</v>
      </c>
      <c r="K77" s="29">
        <f t="shared" si="7"/>
        <v>-2.2962962962962963</v>
      </c>
      <c r="L77" s="27">
        <v>738</v>
      </c>
      <c r="M77" s="27">
        <v>10</v>
      </c>
      <c r="N77" s="27">
        <v>26000</v>
      </c>
      <c r="O77" s="27"/>
      <c r="P77" s="27"/>
    </row>
    <row r="78" spans="1:16">
      <c r="C78" s="3"/>
      <c r="D78" s="3"/>
      <c r="E78" s="10"/>
      <c r="F78" s="10"/>
    </row>
    <row r="79" spans="1:16">
      <c r="C79" s="3"/>
      <c r="D79" s="3"/>
    </row>
    <row r="80" spans="1:16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>
      <c r="A92" t="s">
        <v>164</v>
      </c>
      <c r="C92" s="3"/>
      <c r="D92" s="3"/>
    </row>
    <row r="93" spans="1:5">
      <c r="A93" t="s">
        <v>253</v>
      </c>
      <c r="C93" s="3"/>
      <c r="D93" s="3"/>
    </row>
    <row r="94" spans="1:5">
      <c r="A94" t="s">
        <v>207</v>
      </c>
      <c r="C94" s="3"/>
      <c r="D94" s="3"/>
    </row>
    <row r="95" spans="1:5" ht="15.75" thickBot="1">
      <c r="C95" s="3"/>
      <c r="D95" s="3"/>
    </row>
    <row r="96" spans="1:5" ht="21.75" thickBot="1">
      <c r="A96" s="43" t="s">
        <v>166</v>
      </c>
      <c r="B96" s="42" t="s">
        <v>252</v>
      </c>
      <c r="C96" s="40"/>
      <c r="D96" s="40"/>
      <c r="E96" s="41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83"/>
  <sheetViews>
    <sheetView tabSelected="1" topLeftCell="A102" zoomScale="75" zoomScaleNormal="75" workbookViewId="0">
      <selection activeCell="A42" sqref="A42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5" t="s">
        <v>83</v>
      </c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</row>
    <row r="11" spans="1:13">
      <c r="A11" s="75" t="s">
        <v>84</v>
      </c>
      <c r="B11" s="75"/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</row>
    <row r="12" spans="1:13">
      <c r="A12" s="75" t="s">
        <v>85</v>
      </c>
      <c r="B12" s="75"/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75"/>
    </row>
    <row r="13" spans="1:13">
      <c r="A13" s="75" t="s">
        <v>86</v>
      </c>
      <c r="B13" s="75"/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</row>
    <row r="14" spans="1:13">
      <c r="A14" s="75" t="s">
        <v>87</v>
      </c>
      <c r="B14" s="75" t="s">
        <v>88</v>
      </c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</row>
    <row r="15" spans="1:13">
      <c r="A15" s="75" t="s">
        <v>89</v>
      </c>
      <c r="B15" s="75">
        <v>3</v>
      </c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</row>
    <row r="16" spans="1:13">
      <c r="A16" s="75" t="s">
        <v>90</v>
      </c>
      <c r="B16" s="75">
        <v>0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</row>
    <row r="17" spans="1:13">
      <c r="A17" s="75" t="s">
        <v>91</v>
      </c>
      <c r="B17" s="75">
        <v>10</v>
      </c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</row>
    <row r="18" spans="1:13">
      <c r="A18" s="75" t="s">
        <v>92</v>
      </c>
      <c r="B18" s="75">
        <v>300</v>
      </c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</row>
    <row r="19" spans="1:13">
      <c r="A19" s="75" t="s">
        <v>93</v>
      </c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</row>
    <row r="20" spans="1:13">
      <c r="A20" s="75" t="s">
        <v>94</v>
      </c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</row>
    <row r="21" spans="1:13">
      <c r="A21" s="75" t="s">
        <v>95</v>
      </c>
      <c r="B21" s="75">
        <v>1</v>
      </c>
      <c r="C21" s="75">
        <v>1</v>
      </c>
      <c r="D21" s="75">
        <v>1</v>
      </c>
      <c r="E21" s="75">
        <v>1</v>
      </c>
      <c r="F21" s="75">
        <v>1</v>
      </c>
      <c r="G21" s="75">
        <v>1</v>
      </c>
      <c r="H21" s="75">
        <v>1</v>
      </c>
      <c r="I21" s="75">
        <v>1</v>
      </c>
      <c r="J21" s="75">
        <v>1</v>
      </c>
      <c r="K21" s="75">
        <v>1</v>
      </c>
      <c r="L21" s="75">
        <v>1</v>
      </c>
      <c r="M21" s="75">
        <v>1</v>
      </c>
    </row>
    <row r="22" spans="1:13">
      <c r="A22" s="75" t="s">
        <v>96</v>
      </c>
      <c r="B22" s="75">
        <v>0</v>
      </c>
      <c r="C22" s="75">
        <v>0</v>
      </c>
      <c r="D22" s="75">
        <v>0</v>
      </c>
      <c r="E22" s="75">
        <v>0</v>
      </c>
      <c r="F22" s="75">
        <v>0</v>
      </c>
      <c r="G22" s="75">
        <v>0</v>
      </c>
      <c r="H22" s="75">
        <v>0</v>
      </c>
      <c r="I22" s="75">
        <v>0</v>
      </c>
      <c r="J22" s="75">
        <v>0</v>
      </c>
      <c r="K22" s="75">
        <v>0</v>
      </c>
      <c r="L22" s="75">
        <v>0</v>
      </c>
      <c r="M22" s="75">
        <v>0</v>
      </c>
    </row>
    <row r="23" spans="1:13">
      <c r="A23" s="75" t="s">
        <v>97</v>
      </c>
      <c r="B23" s="75">
        <v>1</v>
      </c>
      <c r="C23" s="75">
        <v>1</v>
      </c>
      <c r="D23" s="75">
        <v>1</v>
      </c>
      <c r="E23" s="75">
        <v>1</v>
      </c>
      <c r="F23" s="75">
        <v>1</v>
      </c>
      <c r="G23" s="75">
        <v>1</v>
      </c>
      <c r="H23" s="75">
        <v>1</v>
      </c>
      <c r="I23" s="75">
        <v>1</v>
      </c>
      <c r="J23" s="75">
        <v>1</v>
      </c>
      <c r="K23" s="75">
        <v>1</v>
      </c>
      <c r="L23" s="75">
        <v>1</v>
      </c>
      <c r="M23" s="75">
        <v>1</v>
      </c>
    </row>
    <row r="24" spans="1:13">
      <c r="A24" s="75" t="s">
        <v>98</v>
      </c>
      <c r="B24" s="75">
        <v>0</v>
      </c>
      <c r="C24" s="75">
        <v>0</v>
      </c>
      <c r="D24" s="75">
        <v>0</v>
      </c>
      <c r="E24" s="75">
        <v>0</v>
      </c>
      <c r="F24" s="75">
        <v>0</v>
      </c>
      <c r="G24" s="75">
        <v>0</v>
      </c>
      <c r="H24" s="75">
        <v>0</v>
      </c>
      <c r="I24" s="75">
        <v>0</v>
      </c>
      <c r="J24" s="75">
        <v>0</v>
      </c>
      <c r="K24" s="75">
        <v>0</v>
      </c>
      <c r="L24" s="75">
        <v>0</v>
      </c>
      <c r="M24" s="75">
        <v>0</v>
      </c>
    </row>
    <row r="25" spans="1:13">
      <c r="A25" s="75" t="s">
        <v>99</v>
      </c>
      <c r="B25" s="75">
        <v>1</v>
      </c>
      <c r="C25" s="75">
        <v>1</v>
      </c>
      <c r="D25" s="75">
        <v>1</v>
      </c>
      <c r="E25" s="75">
        <v>1</v>
      </c>
      <c r="F25" s="75">
        <v>1</v>
      </c>
      <c r="G25" s="75">
        <v>1</v>
      </c>
      <c r="H25" s="75">
        <v>1</v>
      </c>
      <c r="I25" s="75">
        <v>1</v>
      </c>
      <c r="J25" s="75">
        <v>1</v>
      </c>
      <c r="K25" s="75">
        <v>1</v>
      </c>
      <c r="L25" s="75">
        <v>1</v>
      </c>
      <c r="M25" s="75">
        <v>1</v>
      </c>
    </row>
    <row r="26" spans="1:13">
      <c r="A26" s="75" t="s">
        <v>100</v>
      </c>
      <c r="B26" s="75">
        <v>1</v>
      </c>
      <c r="C26" s="75">
        <v>1</v>
      </c>
      <c r="D26" s="75">
        <v>1</v>
      </c>
      <c r="E26" s="75">
        <v>1</v>
      </c>
      <c r="F26" s="75">
        <v>1</v>
      </c>
      <c r="G26" s="75">
        <v>1</v>
      </c>
      <c r="H26" s="75">
        <v>1</v>
      </c>
      <c r="I26" s="75">
        <v>1</v>
      </c>
      <c r="J26" s="75">
        <v>1</v>
      </c>
      <c r="K26" s="75">
        <v>1</v>
      </c>
      <c r="L26" s="75">
        <v>1</v>
      </c>
      <c r="M26" s="75">
        <v>1</v>
      </c>
    </row>
    <row r="27" spans="1:13">
      <c r="A27" s="75" t="s">
        <v>101</v>
      </c>
      <c r="B27" s="75">
        <v>0</v>
      </c>
      <c r="C27" s="75">
        <v>0</v>
      </c>
      <c r="D27" s="75">
        <v>0</v>
      </c>
      <c r="E27" s="75">
        <v>0</v>
      </c>
      <c r="F27" s="75">
        <v>0</v>
      </c>
      <c r="G27" s="75">
        <v>0</v>
      </c>
      <c r="H27" s="75">
        <v>0</v>
      </c>
      <c r="I27" s="75">
        <v>0</v>
      </c>
      <c r="J27" s="75">
        <v>0</v>
      </c>
      <c r="K27" s="75">
        <v>0</v>
      </c>
      <c r="L27" s="75">
        <v>0</v>
      </c>
      <c r="M27" s="75">
        <v>0</v>
      </c>
    </row>
    <row r="28" spans="1:13">
      <c r="A28" s="75"/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1:13">
      <c r="A29" s="75"/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</row>
    <row r="30" spans="1:13">
      <c r="A30" s="75" t="s">
        <v>102</v>
      </c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</row>
    <row r="31" spans="1:13">
      <c r="A31" s="75" t="s">
        <v>103</v>
      </c>
      <c r="B31" s="75">
        <v>12</v>
      </c>
      <c r="C31" s="75" t="s">
        <v>104</v>
      </c>
      <c r="D31" s="75"/>
      <c r="E31" s="75"/>
      <c r="F31" s="75"/>
      <c r="G31" s="75"/>
      <c r="H31" s="75"/>
      <c r="I31" s="75"/>
      <c r="J31" s="75"/>
      <c r="K31" s="75"/>
      <c r="L31" s="75"/>
      <c r="M31" s="75"/>
    </row>
    <row r="32" spans="1:13">
      <c r="A32" s="75" t="s">
        <v>220</v>
      </c>
      <c r="B32" s="75">
        <v>0</v>
      </c>
      <c r="C32" s="75">
        <v>1</v>
      </c>
      <c r="D32" s="75">
        <v>2</v>
      </c>
      <c r="E32" s="75">
        <v>3</v>
      </c>
      <c r="F32" s="75">
        <v>4</v>
      </c>
      <c r="G32" s="75">
        <v>5</v>
      </c>
      <c r="H32" s="75">
        <v>6</v>
      </c>
      <c r="I32" s="75">
        <v>7</v>
      </c>
      <c r="J32" s="75">
        <v>8</v>
      </c>
      <c r="K32" s="75">
        <v>9</v>
      </c>
      <c r="L32" s="75">
        <v>10</v>
      </c>
      <c r="M32" s="75">
        <v>11</v>
      </c>
    </row>
    <row r="33" spans="1:13">
      <c r="A33" s="75" t="s">
        <v>219</v>
      </c>
      <c r="B33" s="75">
        <v>100</v>
      </c>
      <c r="C33" s="75">
        <v>100</v>
      </c>
      <c r="D33" s="75">
        <v>100</v>
      </c>
      <c r="E33" s="75">
        <v>100</v>
      </c>
      <c r="F33" s="75">
        <v>100</v>
      </c>
      <c r="G33" s="75">
        <v>100</v>
      </c>
      <c r="H33" s="75">
        <v>100</v>
      </c>
      <c r="I33" s="75">
        <v>100</v>
      </c>
      <c r="J33" s="75">
        <v>100</v>
      </c>
      <c r="K33" s="75">
        <v>100</v>
      </c>
      <c r="L33" s="75">
        <v>100</v>
      </c>
      <c r="M33" s="75">
        <v>100</v>
      </c>
    </row>
    <row r="34" spans="1:13">
      <c r="A34" s="75" t="s">
        <v>105</v>
      </c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</row>
    <row r="35" spans="1:13">
      <c r="A35" s="75" t="s">
        <v>218</v>
      </c>
      <c r="B35" s="75">
        <v>0</v>
      </c>
      <c r="C35" s="75">
        <v>1</v>
      </c>
      <c r="D35" s="75">
        <v>2</v>
      </c>
      <c r="E35" s="75">
        <v>3</v>
      </c>
      <c r="F35" s="75">
        <v>4</v>
      </c>
      <c r="G35" s="75">
        <v>5</v>
      </c>
      <c r="H35" s="75">
        <v>6</v>
      </c>
      <c r="I35" s="75">
        <v>7</v>
      </c>
      <c r="J35" s="75">
        <v>8</v>
      </c>
      <c r="K35" s="75">
        <v>9</v>
      </c>
      <c r="L35" s="75">
        <v>10</v>
      </c>
      <c r="M35" s="75">
        <v>11</v>
      </c>
    </row>
    <row r="36" spans="1:13">
      <c r="A36" s="75" t="s">
        <v>217</v>
      </c>
      <c r="B36" s="75">
        <v>2</v>
      </c>
      <c r="C36" s="75">
        <v>3</v>
      </c>
      <c r="D36" s="75">
        <v>0</v>
      </c>
      <c r="E36" s="75">
        <v>1</v>
      </c>
      <c r="F36" s="75">
        <v>4</v>
      </c>
      <c r="G36" s="75">
        <v>5</v>
      </c>
      <c r="H36" s="75">
        <v>8</v>
      </c>
      <c r="I36" s="75">
        <v>9</v>
      </c>
      <c r="J36" s="75">
        <v>6</v>
      </c>
      <c r="K36" s="75">
        <v>7</v>
      </c>
      <c r="L36" s="75">
        <v>10</v>
      </c>
      <c r="M36" s="75">
        <v>11</v>
      </c>
    </row>
    <row r="37" spans="1:13">
      <c r="A37" s="75"/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</row>
    <row r="38" spans="1:13">
      <c r="A38" s="75" t="s">
        <v>216</v>
      </c>
      <c r="B38" s="75">
        <f>+INDEX(Sheet1!$K$7:$K18,COLUMN()-COLUMN($B$69)+1)</f>
        <v>11.375</v>
      </c>
      <c r="C38" s="75">
        <f>+INDEX(Sheet1!$K$7:$K18,COLUMN()-COLUMN($B$69)+1)</f>
        <v>11.375</v>
      </c>
      <c r="D38" s="75">
        <f>+INDEX(Sheet1!$K$7:$K18,COLUMN()-COLUMN($B$69)+1)</f>
        <v>11.375</v>
      </c>
      <c r="E38" s="75">
        <f>+INDEX(Sheet1!$K$7:$K18,COLUMN()-COLUMN($B$69)+1)</f>
        <v>11.375</v>
      </c>
      <c r="F38" s="75">
        <f>+INDEX(Sheet1!$K$7:$K18,COLUMN()-COLUMN($B$69)+1)</f>
        <v>11.375</v>
      </c>
      <c r="G38" s="75">
        <f>+INDEX(Sheet1!$K$7:$K18,COLUMN()-COLUMN($B$69)+1)</f>
        <v>11.375</v>
      </c>
      <c r="H38" s="75">
        <f>+INDEX(Sheet1!$K$7:$K18,COLUMN()-COLUMN($B$69)+1)</f>
        <v>-11.375</v>
      </c>
      <c r="I38" s="75">
        <f>+INDEX(Sheet1!$K$7:$K18,COLUMN()-COLUMN($B$69)+1)</f>
        <v>-11.375</v>
      </c>
      <c r="J38" s="75">
        <f>+INDEX(Sheet1!$K$7:$K18,COLUMN()-COLUMN($B$69)+1)</f>
        <v>-11.375</v>
      </c>
      <c r="K38" s="75">
        <f>+INDEX(Sheet1!$K$7:$K18,COLUMN()-COLUMN($B$69)+1)</f>
        <v>-11.375</v>
      </c>
      <c r="L38" s="75">
        <f>+INDEX(Sheet1!$K$7:$K18,COLUMN()-COLUMN($B$69)+1)</f>
        <v>-11.375</v>
      </c>
      <c r="M38" s="75">
        <f>+INDEX(Sheet1!$K$7:$K18,COLUMN()-COLUMN($B$69)+1)</f>
        <v>-11.375</v>
      </c>
    </row>
    <row r="39" spans="1:13">
      <c r="A39" s="75" t="s">
        <v>215</v>
      </c>
      <c r="B39" s="75">
        <f>+INDEX(Sheet1!$D$7:$D19,COLUMN()-COLUMN($B$69)+1)</f>
        <v>180</v>
      </c>
      <c r="C39" s="75">
        <f>+INDEX(Sheet1!$D$7:$D19,COLUMN()-COLUMN($B$69)+1)</f>
        <v>180</v>
      </c>
      <c r="D39" s="75">
        <f>+INDEX(Sheet1!$D$7:$D19,COLUMN()-COLUMN($B$69)+1)</f>
        <v>180</v>
      </c>
      <c r="E39" s="75">
        <f>+INDEX(Sheet1!$D$7:$D19,COLUMN()-COLUMN($B$69)+1)</f>
        <v>180</v>
      </c>
      <c r="F39" s="75">
        <f>+INDEX(Sheet1!$D$7:$D19,COLUMN()-COLUMN($B$69)+1)</f>
        <v>180</v>
      </c>
      <c r="G39" s="75">
        <f>+INDEX(Sheet1!$D$7:$D19,COLUMN()-COLUMN($B$69)+1)</f>
        <v>180</v>
      </c>
      <c r="H39" s="75">
        <f>+INDEX(Sheet1!$D$7:$D19,COLUMN()-COLUMN($B$69)+1)</f>
        <v>-180</v>
      </c>
      <c r="I39" s="75">
        <f>+INDEX(Sheet1!$D$7:$D19,COLUMN()-COLUMN($B$69)+1)</f>
        <v>-180</v>
      </c>
      <c r="J39" s="75">
        <f>+INDEX(Sheet1!$D$7:$D19,COLUMN()-COLUMN($B$69)+1)</f>
        <v>-180</v>
      </c>
      <c r="K39" s="75">
        <f>+INDEX(Sheet1!$D$7:$D19,COLUMN()-COLUMN($B$69)+1)</f>
        <v>-180</v>
      </c>
      <c r="L39" s="75">
        <f>+INDEX(Sheet1!$D$7:$D19,COLUMN()-COLUMN($B$69)+1)</f>
        <v>-180</v>
      </c>
      <c r="M39" s="75">
        <f>+INDEX(Sheet1!$D$7:$D19,COLUMN()-COLUMN($B$69)+1)</f>
        <v>-180</v>
      </c>
    </row>
    <row r="40" spans="1:13">
      <c r="A40" s="75"/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</row>
    <row r="41" spans="1:13">
      <c r="A41" s="75" t="s">
        <v>106</v>
      </c>
      <c r="B41" s="75">
        <v>0</v>
      </c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</row>
    <row r="42" spans="1:1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</row>
    <row r="43" spans="1:13">
      <c r="A43" s="75"/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</row>
    <row r="44" spans="1:13">
      <c r="A44" s="75" t="s">
        <v>224</v>
      </c>
      <c r="B44" s="75">
        <v>0</v>
      </c>
      <c r="C44" s="75">
        <v>1</v>
      </c>
      <c r="D44" s="75">
        <v>2</v>
      </c>
      <c r="E44" s="75">
        <v>3</v>
      </c>
      <c r="F44" s="75">
        <v>4</v>
      </c>
      <c r="G44" s="75">
        <v>5</v>
      </c>
      <c r="H44" s="75">
        <v>6</v>
      </c>
      <c r="I44" s="75">
        <v>7</v>
      </c>
      <c r="J44" s="75">
        <v>8</v>
      </c>
      <c r="K44" s="75">
        <v>9</v>
      </c>
      <c r="L44" s="75">
        <v>10</v>
      </c>
      <c r="M44" s="75">
        <v>11</v>
      </c>
    </row>
    <row r="45" spans="1:13">
      <c r="A45" s="75" t="s">
        <v>107</v>
      </c>
      <c r="B45" s="75"/>
      <c r="C45" s="75"/>
      <c r="D45" s="75"/>
      <c r="E45" s="75"/>
      <c r="F45" s="75"/>
      <c r="G45" s="75"/>
      <c r="H45" s="75"/>
      <c r="I45" s="75"/>
      <c r="J45" s="75"/>
      <c r="K45" s="75"/>
      <c r="L45" s="75"/>
      <c r="M45" s="75"/>
    </row>
    <row r="46" spans="1:13">
      <c r="A46" s="75" t="s">
        <v>213</v>
      </c>
      <c r="B46" s="75">
        <f>+INDEX(Sheet1!$H$7:$H26,COLUMN()-COLUMN($B$69)+1)</f>
        <v>90</v>
      </c>
      <c r="C46" s="75">
        <f>+INDEX(Sheet1!$H$7:$H26,COLUMN()-COLUMN($B$69)+1)</f>
        <v>90</v>
      </c>
      <c r="D46" s="75">
        <f>+INDEX(Sheet1!$H$7:$H26,COLUMN()-COLUMN($B$69)+1)</f>
        <v>78</v>
      </c>
      <c r="E46" s="75">
        <f>+INDEX(Sheet1!$H$7:$H26,COLUMN()-COLUMN($B$69)+1)</f>
        <v>0</v>
      </c>
      <c r="F46" s="75">
        <f>+INDEX(Sheet1!$H$7:$H26,COLUMN()-COLUMN($B$69)+1)</f>
        <v>39</v>
      </c>
      <c r="G46" s="75">
        <f>+INDEX(Sheet1!$H$7:$H26,COLUMN()-COLUMN($B$69)+1)</f>
        <v>22</v>
      </c>
      <c r="H46" s="75">
        <f>+INDEX(Sheet1!$H$7:$H26,COLUMN()-COLUMN($B$69)+1)</f>
        <v>90</v>
      </c>
      <c r="I46" s="75">
        <f>+INDEX(Sheet1!$H$7:$H26,COLUMN()-COLUMN($B$69)+1)</f>
        <v>90</v>
      </c>
      <c r="J46" s="75">
        <f>+INDEX(Sheet1!$H$7:$H26,COLUMN()-COLUMN($B$69)+1)</f>
        <v>78</v>
      </c>
      <c r="K46" s="75">
        <f>+INDEX(Sheet1!$H$7:$H26,COLUMN()-COLUMN($B$69)+1)</f>
        <v>0</v>
      </c>
      <c r="L46" s="75">
        <f>+INDEX(Sheet1!$H$7:$H26,COLUMN()-COLUMN($B$69)+1)</f>
        <v>39</v>
      </c>
      <c r="M46" s="75">
        <f>+INDEX(Sheet1!$H$7:$H26,COLUMN()-COLUMN($B$69)+1)</f>
        <v>22</v>
      </c>
    </row>
    <row r="47" spans="1:13">
      <c r="A47" s="75" t="s">
        <v>214</v>
      </c>
      <c r="B47" s="75">
        <f>+INDEX(Sheet1!$G$7:$G27,COLUMN()-COLUMN($B$69)+1)</f>
        <v>-30</v>
      </c>
      <c r="C47" s="75">
        <f>+INDEX(Sheet1!$G$7:$G27,COLUMN()-COLUMN($B$69)+1)</f>
        <v>0</v>
      </c>
      <c r="D47" s="75">
        <f>+INDEX(Sheet1!$G$7:$G27,COLUMN()-COLUMN($B$69)+1)</f>
        <v>-80</v>
      </c>
      <c r="E47" s="75">
        <f>+INDEX(Sheet1!$G$7:$G27,COLUMN()-COLUMN($B$69)+1)</f>
        <v>-125</v>
      </c>
      <c r="F47" s="75">
        <f>+INDEX(Sheet1!$G$7:$G27,COLUMN()-COLUMN($B$69)+1)</f>
        <v>-20</v>
      </c>
      <c r="G47" s="75">
        <f>+INDEX(Sheet1!$G$7:$G27,COLUMN()-COLUMN($B$69)+1)</f>
        <v>-22</v>
      </c>
      <c r="H47" s="75">
        <f>+INDEX(Sheet1!$G$7:$G27,COLUMN()-COLUMN($B$69)+1)</f>
        <v>-30</v>
      </c>
      <c r="I47" s="75">
        <f>+INDEX(Sheet1!$G$7:$G27,COLUMN()-COLUMN($B$69)+1)</f>
        <v>0</v>
      </c>
      <c r="J47" s="75">
        <f>+INDEX(Sheet1!$G$7:$G27,COLUMN()-COLUMN($B$69)+1)</f>
        <v>-80</v>
      </c>
      <c r="K47" s="75">
        <f>+INDEX(Sheet1!$G$7:$G27,COLUMN()-COLUMN($B$69)+1)</f>
        <v>-125</v>
      </c>
      <c r="L47" s="75">
        <f>+INDEX(Sheet1!$G$7:$G27,COLUMN()-COLUMN($B$69)+1)</f>
        <v>-20</v>
      </c>
      <c r="M47" s="75">
        <f>+INDEX(Sheet1!$G$7:$G27,COLUMN()-COLUMN($B$69)+1)</f>
        <v>-22</v>
      </c>
    </row>
    <row r="48" spans="1:13">
      <c r="A48" s="75"/>
      <c r="B48" s="75"/>
      <c r="C48" s="75"/>
      <c r="D48" s="75"/>
      <c r="E48" s="75"/>
      <c r="F48" s="75"/>
      <c r="G48" s="75"/>
      <c r="H48" s="75"/>
      <c r="I48" s="75"/>
      <c r="J48" s="75"/>
      <c r="K48" s="75"/>
      <c r="L48" s="75"/>
      <c r="M48" s="75"/>
    </row>
    <row r="49" spans="1:13">
      <c r="A49" s="75"/>
      <c r="B49" s="75"/>
      <c r="C49" s="75"/>
      <c r="D49" s="75"/>
      <c r="E49" s="75"/>
      <c r="F49" s="75"/>
      <c r="G49" s="75"/>
      <c r="H49" s="75"/>
      <c r="I49" s="75"/>
      <c r="J49" s="75"/>
      <c r="K49" s="75"/>
      <c r="L49" s="75"/>
      <c r="M49" s="75"/>
    </row>
    <row r="50" spans="1:13">
      <c r="A50" s="75" t="s">
        <v>222</v>
      </c>
      <c r="B50" s="75">
        <v>0</v>
      </c>
      <c r="C50" s="75">
        <v>1</v>
      </c>
      <c r="D50" s="75">
        <v>2</v>
      </c>
      <c r="E50" s="75">
        <v>3</v>
      </c>
      <c r="F50" s="75">
        <v>4</v>
      </c>
      <c r="G50" s="75">
        <v>5</v>
      </c>
      <c r="H50" s="75">
        <v>6</v>
      </c>
      <c r="I50" s="75">
        <v>7</v>
      </c>
      <c r="J50" s="75">
        <v>8</v>
      </c>
      <c r="K50" s="75">
        <v>9</v>
      </c>
      <c r="L50" s="75">
        <v>10</v>
      </c>
      <c r="M50" s="75">
        <v>11</v>
      </c>
    </row>
    <row r="51" spans="1:13">
      <c r="A51" s="75" t="s">
        <v>221</v>
      </c>
      <c r="B51" s="75">
        <f>+$B$5</f>
        <v>7000</v>
      </c>
      <c r="C51" s="75">
        <f t="shared" ref="C51:M51" si="0">+$B$5</f>
        <v>7000</v>
      </c>
      <c r="D51" s="75">
        <f t="shared" si="0"/>
        <v>7000</v>
      </c>
      <c r="E51" s="75">
        <f t="shared" si="0"/>
        <v>7000</v>
      </c>
      <c r="F51" s="75">
        <f t="shared" si="0"/>
        <v>7000</v>
      </c>
      <c r="G51" s="75">
        <f t="shared" si="0"/>
        <v>7000</v>
      </c>
      <c r="H51" s="75">
        <f t="shared" si="0"/>
        <v>7000</v>
      </c>
      <c r="I51" s="75">
        <f t="shared" si="0"/>
        <v>7000</v>
      </c>
      <c r="J51" s="75">
        <f t="shared" si="0"/>
        <v>7000</v>
      </c>
      <c r="K51" s="75">
        <f t="shared" si="0"/>
        <v>7000</v>
      </c>
      <c r="L51" s="75">
        <f t="shared" si="0"/>
        <v>7000</v>
      </c>
      <c r="M51" s="75">
        <f t="shared" si="0"/>
        <v>7000</v>
      </c>
    </row>
    <row r="52" spans="1:13">
      <c r="A52" s="75"/>
      <c r="B52" s="75"/>
      <c r="C52" s="75"/>
      <c r="D52" s="75"/>
      <c r="E52" s="75"/>
      <c r="F52" s="75"/>
      <c r="G52" s="75"/>
      <c r="H52" s="75"/>
      <c r="I52" s="75"/>
      <c r="J52" s="75"/>
      <c r="K52" s="75"/>
      <c r="L52" s="75"/>
      <c r="M52" s="75"/>
    </row>
    <row r="53" spans="1:13">
      <c r="A53" s="75" t="s">
        <v>108</v>
      </c>
      <c r="B53" s="75" t="s">
        <v>109</v>
      </c>
      <c r="C53" s="75" t="s">
        <v>110</v>
      </c>
      <c r="D53" s="75" t="s">
        <v>111</v>
      </c>
      <c r="E53" s="75" t="s">
        <v>112</v>
      </c>
      <c r="F53" s="75" t="s">
        <v>113</v>
      </c>
      <c r="G53" s="75" t="s">
        <v>114</v>
      </c>
      <c r="H53" s="75" t="s">
        <v>115</v>
      </c>
      <c r="I53" s="75"/>
      <c r="J53" s="75"/>
      <c r="K53" s="75"/>
      <c r="L53" s="75"/>
      <c r="M53" s="75"/>
    </row>
    <row r="54" spans="1:13">
      <c r="A54" s="75" t="s">
        <v>116</v>
      </c>
      <c r="B54" s="75"/>
      <c r="C54" s="75"/>
      <c r="D54" s="75"/>
      <c r="E54" s="75"/>
      <c r="F54" s="75"/>
      <c r="G54" s="75"/>
      <c r="H54" s="75"/>
      <c r="I54" s="75"/>
      <c r="J54" s="75"/>
      <c r="K54" s="75"/>
      <c r="L54" s="75"/>
      <c r="M54" s="75"/>
    </row>
    <row r="55" spans="1:13">
      <c r="A55" s="75" t="s">
        <v>117</v>
      </c>
      <c r="B55" s="75">
        <v>32000</v>
      </c>
      <c r="C55" s="75">
        <v>100</v>
      </c>
      <c r="D55" s="75">
        <v>60</v>
      </c>
      <c r="E55" s="75">
        <f>+$B$3</f>
        <v>1333</v>
      </c>
      <c r="F55" s="75">
        <f t="shared" ref="F55:F66" si="1">+$B$3</f>
        <v>1333</v>
      </c>
      <c r="G55" s="75">
        <v>13</v>
      </c>
      <c r="H55" s="75">
        <v>0</v>
      </c>
      <c r="I55" s="75"/>
      <c r="J55" s="75"/>
      <c r="K55" s="75"/>
      <c r="L55" s="75"/>
      <c r="M55" s="75"/>
    </row>
    <row r="56" spans="1:13">
      <c r="A56" s="75" t="s">
        <v>118</v>
      </c>
      <c r="B56" s="75">
        <v>-32000</v>
      </c>
      <c r="C56" s="75">
        <v>-100</v>
      </c>
      <c r="D56" s="75">
        <v>-60</v>
      </c>
      <c r="E56" s="75">
        <f t="shared" ref="E56:E66" si="2">+$B$3</f>
        <v>1333</v>
      </c>
      <c r="F56" s="75">
        <f t="shared" si="1"/>
        <v>1333</v>
      </c>
      <c r="G56" s="75">
        <v>13</v>
      </c>
      <c r="H56" s="75">
        <v>0</v>
      </c>
      <c r="I56" s="75"/>
      <c r="J56" s="75"/>
      <c r="K56" s="75"/>
      <c r="L56" s="75"/>
      <c r="M56" s="75"/>
    </row>
    <row r="57" spans="1:13">
      <c r="A57" s="75" t="s">
        <v>119</v>
      </c>
      <c r="B57" s="75">
        <v>32000</v>
      </c>
      <c r="C57" s="75">
        <v>100</v>
      </c>
      <c r="D57" s="75">
        <v>60</v>
      </c>
      <c r="E57" s="75">
        <f t="shared" si="2"/>
        <v>1333</v>
      </c>
      <c r="F57" s="75">
        <f t="shared" si="1"/>
        <v>1333</v>
      </c>
      <c r="G57" s="75">
        <v>13</v>
      </c>
      <c r="H57" s="75">
        <v>0</v>
      </c>
      <c r="I57" s="75"/>
      <c r="J57" s="75"/>
      <c r="K57" s="75"/>
      <c r="L57" s="75"/>
      <c r="M57" s="75"/>
    </row>
    <row r="58" spans="1:13">
      <c r="A58" s="75" t="s">
        <v>120</v>
      </c>
      <c r="B58" s="75">
        <v>-32000</v>
      </c>
      <c r="C58" s="75">
        <v>-100</v>
      </c>
      <c r="D58" s="75">
        <v>-60</v>
      </c>
      <c r="E58" s="75">
        <f t="shared" si="2"/>
        <v>1333</v>
      </c>
      <c r="F58" s="75">
        <f t="shared" si="1"/>
        <v>1333</v>
      </c>
      <c r="G58" s="75">
        <v>13</v>
      </c>
      <c r="H58" s="75">
        <v>0</v>
      </c>
      <c r="I58" s="75"/>
      <c r="J58" s="75"/>
      <c r="K58" s="75"/>
      <c r="L58" s="75"/>
      <c r="M58" s="75"/>
    </row>
    <row r="59" spans="1:13">
      <c r="A59" s="75" t="s">
        <v>121</v>
      </c>
      <c r="B59" s="75">
        <v>-32000</v>
      </c>
      <c r="C59" s="75">
        <v>-100</v>
      </c>
      <c r="D59" s="75">
        <v>-60</v>
      </c>
      <c r="E59" s="75">
        <f t="shared" si="2"/>
        <v>1333</v>
      </c>
      <c r="F59" s="75">
        <f t="shared" si="1"/>
        <v>1333</v>
      </c>
      <c r="G59" s="75">
        <v>13</v>
      </c>
      <c r="H59" s="75">
        <v>0</v>
      </c>
      <c r="I59" s="75"/>
      <c r="J59" s="75"/>
      <c r="K59" s="75"/>
      <c r="L59" s="75"/>
      <c r="M59" s="75"/>
    </row>
    <row r="60" spans="1:13">
      <c r="A60" s="75" t="s">
        <v>122</v>
      </c>
      <c r="B60" s="75">
        <v>-32000</v>
      </c>
      <c r="C60" s="75">
        <v>-100</v>
      </c>
      <c r="D60" s="75">
        <v>-60</v>
      </c>
      <c r="E60" s="75">
        <f t="shared" si="2"/>
        <v>1333</v>
      </c>
      <c r="F60" s="75">
        <f t="shared" si="1"/>
        <v>1333</v>
      </c>
      <c r="G60" s="75">
        <v>13</v>
      </c>
      <c r="H60" s="75">
        <v>0</v>
      </c>
      <c r="I60" s="75"/>
      <c r="J60" s="75"/>
      <c r="K60" s="75"/>
      <c r="L60" s="75"/>
      <c r="M60" s="75"/>
    </row>
    <row r="61" spans="1:13">
      <c r="A61" s="75" t="s">
        <v>123</v>
      </c>
      <c r="B61" s="75">
        <v>32000</v>
      </c>
      <c r="C61" s="75">
        <v>100</v>
      </c>
      <c r="D61" s="75">
        <v>60</v>
      </c>
      <c r="E61" s="75">
        <f t="shared" si="2"/>
        <v>1333</v>
      </c>
      <c r="F61" s="75">
        <f t="shared" si="1"/>
        <v>1333</v>
      </c>
      <c r="G61" s="75">
        <v>13</v>
      </c>
      <c r="H61" s="75">
        <v>0</v>
      </c>
      <c r="I61" s="75"/>
      <c r="J61" s="75"/>
      <c r="K61" s="75"/>
      <c r="L61" s="75"/>
      <c r="M61" s="75"/>
    </row>
    <row r="62" spans="1:13">
      <c r="A62" s="75" t="s">
        <v>124</v>
      </c>
      <c r="B62" s="75">
        <v>-32000</v>
      </c>
      <c r="C62" s="75">
        <v>-100</v>
      </c>
      <c r="D62" s="75">
        <v>-60</v>
      </c>
      <c r="E62" s="75">
        <f t="shared" si="2"/>
        <v>1333</v>
      </c>
      <c r="F62" s="75">
        <f t="shared" si="1"/>
        <v>1333</v>
      </c>
      <c r="G62" s="75">
        <v>13</v>
      </c>
      <c r="H62" s="75">
        <v>0</v>
      </c>
      <c r="I62" s="75"/>
      <c r="J62" s="75"/>
      <c r="K62" s="75"/>
      <c r="L62" s="75"/>
      <c r="M62" s="75"/>
    </row>
    <row r="63" spans="1:13">
      <c r="A63" s="75" t="s">
        <v>125</v>
      </c>
      <c r="B63" s="75">
        <v>32000</v>
      </c>
      <c r="C63" s="75">
        <v>100</v>
      </c>
      <c r="D63" s="75">
        <v>60</v>
      </c>
      <c r="E63" s="75">
        <f t="shared" si="2"/>
        <v>1333</v>
      </c>
      <c r="F63" s="75">
        <f t="shared" si="1"/>
        <v>1333</v>
      </c>
      <c r="G63" s="75">
        <v>13</v>
      </c>
      <c r="H63" s="75">
        <v>0</v>
      </c>
      <c r="I63" s="75"/>
      <c r="J63" s="75"/>
      <c r="K63" s="75"/>
      <c r="L63" s="75"/>
      <c r="M63" s="75"/>
    </row>
    <row r="64" spans="1:13">
      <c r="A64" s="75" t="s">
        <v>126</v>
      </c>
      <c r="B64" s="75">
        <v>-32000</v>
      </c>
      <c r="C64" s="75">
        <v>-100</v>
      </c>
      <c r="D64" s="75">
        <v>-60</v>
      </c>
      <c r="E64" s="75">
        <f t="shared" si="2"/>
        <v>1333</v>
      </c>
      <c r="F64" s="75">
        <f t="shared" si="1"/>
        <v>1333</v>
      </c>
      <c r="G64" s="75">
        <v>13</v>
      </c>
      <c r="H64" s="75">
        <v>0</v>
      </c>
      <c r="I64" s="75"/>
      <c r="J64" s="75"/>
      <c r="K64" s="75"/>
      <c r="L64" s="75"/>
      <c r="M64" s="75"/>
    </row>
    <row r="65" spans="1:13">
      <c r="A65" s="75" t="s">
        <v>127</v>
      </c>
      <c r="B65" s="75">
        <v>-32000</v>
      </c>
      <c r="C65" s="75">
        <v>-100</v>
      </c>
      <c r="D65" s="75">
        <v>-60</v>
      </c>
      <c r="E65" s="75">
        <f t="shared" si="2"/>
        <v>1333</v>
      </c>
      <c r="F65" s="75">
        <f t="shared" si="1"/>
        <v>1333</v>
      </c>
      <c r="G65" s="75">
        <v>13</v>
      </c>
      <c r="H65" s="75">
        <v>0</v>
      </c>
      <c r="I65" s="75"/>
      <c r="J65" s="75"/>
      <c r="K65" s="75"/>
      <c r="L65" s="75"/>
      <c r="M65" s="75"/>
    </row>
    <row r="66" spans="1:13">
      <c r="A66" s="75" t="s">
        <v>128</v>
      </c>
      <c r="B66" s="75">
        <v>-32000</v>
      </c>
      <c r="C66" s="75">
        <v>-100</v>
      </c>
      <c r="D66" s="75">
        <v>-60</v>
      </c>
      <c r="E66" s="75">
        <f t="shared" si="2"/>
        <v>1333</v>
      </c>
      <c r="F66" s="75">
        <f t="shared" si="1"/>
        <v>1333</v>
      </c>
      <c r="G66" s="75">
        <v>13</v>
      </c>
      <c r="H66" s="75">
        <v>0</v>
      </c>
      <c r="I66" s="75"/>
      <c r="J66" s="75"/>
      <c r="K66" s="75"/>
      <c r="L66" s="75"/>
      <c r="M66" s="75"/>
    </row>
    <row r="67" spans="1:13">
      <c r="A67" s="75"/>
      <c r="B67" s="75"/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75"/>
    </row>
    <row r="68" spans="1:13">
      <c r="A68" s="75" t="s">
        <v>129</v>
      </c>
      <c r="B68" s="75"/>
      <c r="C68" s="75"/>
      <c r="D68" s="75"/>
      <c r="E68" s="75"/>
      <c r="F68" s="75"/>
      <c r="G68" s="75"/>
      <c r="H68" s="75"/>
      <c r="I68" s="75"/>
      <c r="J68" s="75"/>
      <c r="K68" s="75"/>
      <c r="L68" s="75"/>
      <c r="M68" s="75"/>
    </row>
    <row r="69" spans="1:13">
      <c r="A69" s="75" t="s">
        <v>211</v>
      </c>
      <c r="B69" s="75">
        <v>0</v>
      </c>
      <c r="C69" s="75">
        <v>1</v>
      </c>
      <c r="D69" s="75">
        <v>2</v>
      </c>
      <c r="E69" s="75">
        <v>3</v>
      </c>
      <c r="F69" s="75">
        <v>4</v>
      </c>
      <c r="G69" s="75">
        <v>5</v>
      </c>
      <c r="H69" s="75">
        <v>6</v>
      </c>
      <c r="I69" s="75">
        <v>7</v>
      </c>
      <c r="J69" s="75">
        <v>8</v>
      </c>
      <c r="K69" s="75">
        <v>9</v>
      </c>
      <c r="L69" s="75">
        <v>10</v>
      </c>
      <c r="M69" s="75">
        <v>11</v>
      </c>
    </row>
    <row r="70" spans="1:13">
      <c r="A70" s="75" t="s">
        <v>130</v>
      </c>
      <c r="B70" s="75">
        <v>3</v>
      </c>
      <c r="C70" s="75">
        <v>3</v>
      </c>
      <c r="D70" s="75">
        <v>3</v>
      </c>
      <c r="E70" s="75">
        <v>3</v>
      </c>
      <c r="F70" s="75">
        <v>3</v>
      </c>
      <c r="G70" s="75">
        <v>3</v>
      </c>
      <c r="H70" s="75">
        <v>3</v>
      </c>
      <c r="I70" s="75">
        <v>3</v>
      </c>
      <c r="J70" s="75">
        <v>3</v>
      </c>
      <c r="K70" s="75">
        <v>3</v>
      </c>
      <c r="L70" s="75">
        <v>3</v>
      </c>
      <c r="M70" s="75">
        <v>3</v>
      </c>
    </row>
    <row r="71" spans="1:13">
      <c r="A71" s="75" t="s">
        <v>131</v>
      </c>
      <c r="B71" s="75">
        <f>+INDEX(Sheet1!$L$7:$L18,COLUMN()-COLUMN($B$69)+1)</f>
        <v>2047.5</v>
      </c>
      <c r="C71" s="75">
        <f>+INDEX(Sheet1!$L$7:$L18,COLUMN()-COLUMN($B$69)+1)</f>
        <v>2047.5</v>
      </c>
      <c r="D71" s="75">
        <f>+INDEX(Sheet1!$L$7:$L18,COLUMN()-COLUMN($B$69)+1)</f>
        <v>2047.5</v>
      </c>
      <c r="E71" s="75">
        <f>+INDEX(Sheet1!$L$7:$L18,COLUMN()-COLUMN($B$69)+1)</f>
        <v>2047.5</v>
      </c>
      <c r="F71" s="75">
        <f>+INDEX(Sheet1!$L$7:$L18,COLUMN()-COLUMN($B$69)+1)</f>
        <v>2047.5</v>
      </c>
      <c r="G71" s="75">
        <f>+INDEX(Sheet1!$L$7:$L18,COLUMN()-COLUMN($B$69)+1)</f>
        <v>2047.5</v>
      </c>
      <c r="H71" s="75">
        <f>+INDEX(Sheet1!$L$7:$L18,COLUMN()-COLUMN($B$69)+1)</f>
        <v>2047.5</v>
      </c>
      <c r="I71" s="75">
        <f>+INDEX(Sheet1!$L$7:$L18,COLUMN()-COLUMN($B$69)+1)</f>
        <v>2047.5</v>
      </c>
      <c r="J71" s="75">
        <f>+INDEX(Sheet1!$L$7:$L18,COLUMN()-COLUMN($B$69)+1)</f>
        <v>2047.5</v>
      </c>
      <c r="K71" s="75">
        <f>+INDEX(Sheet1!$L$7:$L18,COLUMN()-COLUMN($B$69)+1)</f>
        <v>2047.5</v>
      </c>
      <c r="L71" s="75">
        <f>+INDEX(Sheet1!$L$7:$L18,COLUMN()-COLUMN($B$69)+1)</f>
        <v>2047.5</v>
      </c>
      <c r="M71" s="75">
        <f>+INDEX(Sheet1!$L$7:$L18,COLUMN()-COLUMN($B$69)+1)</f>
        <v>2047.5</v>
      </c>
    </row>
    <row r="72" spans="1:13">
      <c r="A72" s="75" t="s">
        <v>132</v>
      </c>
      <c r="B72" s="75">
        <f>+INDEX(Sheet1!$M$7:$M19,COLUMN()-COLUMN($B$69)+1)</f>
        <v>10</v>
      </c>
      <c r="C72" s="75">
        <f>+INDEX(Sheet1!$M$7:$M19,COLUMN()-COLUMN($B$69)+1)</f>
        <v>10</v>
      </c>
      <c r="D72" s="75">
        <f>+INDEX(Sheet1!$M$7:$M19,COLUMN()-COLUMN($B$69)+1)</f>
        <v>10</v>
      </c>
      <c r="E72" s="75">
        <f>+INDEX(Sheet1!$M$7:$M19,COLUMN()-COLUMN($B$69)+1)</f>
        <v>10</v>
      </c>
      <c r="F72" s="75">
        <f>+INDEX(Sheet1!$M$7:$M19,COLUMN()-COLUMN($B$69)+1)</f>
        <v>10</v>
      </c>
      <c r="G72" s="75">
        <f>+INDEX(Sheet1!$M$7:$M19,COLUMN()-COLUMN($B$69)+1)</f>
        <v>10</v>
      </c>
      <c r="H72" s="75">
        <f>+INDEX(Sheet1!$M$7:$M19,COLUMN()-COLUMN($B$69)+1)</f>
        <v>10</v>
      </c>
      <c r="I72" s="75">
        <f>+INDEX(Sheet1!$M$7:$M19,COLUMN()-COLUMN($B$69)+1)</f>
        <v>10</v>
      </c>
      <c r="J72" s="75">
        <f>+INDEX(Sheet1!$M$7:$M19,COLUMN()-COLUMN($B$69)+1)</f>
        <v>10</v>
      </c>
      <c r="K72" s="75">
        <f>+INDEX(Sheet1!$M$7:$M19,COLUMN()-COLUMN($B$69)+1)</f>
        <v>10</v>
      </c>
      <c r="L72" s="75">
        <f>+INDEX(Sheet1!$M$7:$M19,COLUMN()-COLUMN($B$69)+1)</f>
        <v>10</v>
      </c>
      <c r="M72" s="75">
        <f>+INDEX(Sheet1!$M$7:$M19,COLUMN()-COLUMN($B$69)+1)</f>
        <v>10</v>
      </c>
    </row>
    <row r="73" spans="1:13">
      <c r="A73" s="75" t="s">
        <v>133</v>
      </c>
      <c r="B73" s="75">
        <f>+INDEX(Sheet1!$N$7:$N20,COLUMN()-COLUMN($B$69)+1)</f>
        <v>605.14999999999986</v>
      </c>
      <c r="C73" s="75">
        <f>+INDEX(Sheet1!$N$7:$N20,COLUMN()-COLUMN($B$69)+1)</f>
        <v>348.07499999999993</v>
      </c>
      <c r="D73" s="75">
        <f>+INDEX(Sheet1!$N$7:$N20,COLUMN()-COLUMN($B$69)+1)</f>
        <v>3468.2374999999997</v>
      </c>
      <c r="E73" s="75">
        <f>+INDEX(Sheet1!$N$7:$N20,COLUMN()-COLUMN($B$69)+1)</f>
        <v>3440.9375</v>
      </c>
      <c r="F73" s="75">
        <f>+INDEX(Sheet1!$N$7:$N20,COLUMN()-COLUMN($B$69)+1)</f>
        <v>2029.2999999999997</v>
      </c>
      <c r="G73" s="75">
        <f>+INDEX(Sheet1!$N$7:$N20,COLUMN()-COLUMN($B$69)+1)</f>
        <v>3462.5499999999997</v>
      </c>
      <c r="H73" s="75">
        <f>+INDEX(Sheet1!$N$7:$N20,COLUMN()-COLUMN($B$69)+1)</f>
        <v>3829.9625000000001</v>
      </c>
      <c r="I73" s="75">
        <f>+INDEX(Sheet1!$N$7:$N20,COLUMN()-COLUMN($B$69)+1)</f>
        <v>3458</v>
      </c>
      <c r="J73" s="75">
        <f>+INDEX(Sheet1!$N$7:$N20,COLUMN()-COLUMN($B$69)+1)</f>
        <v>122.85000000000014</v>
      </c>
      <c r="K73" s="75">
        <f>+INDEX(Sheet1!$N$7:$N20,COLUMN()-COLUMN($B$69)+1)</f>
        <v>2600.3249999999998</v>
      </c>
      <c r="L73" s="75">
        <f>+INDEX(Sheet1!$N$7:$N20,COLUMN()-COLUMN($B$69)+1)</f>
        <v>2789.15</v>
      </c>
      <c r="M73" s="75">
        <f>+INDEX(Sheet1!$N$7:$N20,COLUMN()-COLUMN($B$69)+1)</f>
        <v>1605.0125000000003</v>
      </c>
    </row>
    <row r="74" spans="1:13">
      <c r="A74" s="75" t="s">
        <v>134</v>
      </c>
      <c r="B74" s="75">
        <v>0</v>
      </c>
      <c r="C74" s="75">
        <v>0</v>
      </c>
      <c r="D74" s="75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</row>
    <row r="75" spans="1:13">
      <c r="A75" s="75" t="s">
        <v>135</v>
      </c>
      <c r="B75" s="75">
        <v>10</v>
      </c>
      <c r="C75" s="75">
        <v>10</v>
      </c>
      <c r="D75" s="75">
        <v>10</v>
      </c>
      <c r="E75" s="75">
        <v>10</v>
      </c>
      <c r="F75" s="75">
        <v>10</v>
      </c>
      <c r="G75" s="75">
        <v>10</v>
      </c>
      <c r="H75" s="75">
        <v>10</v>
      </c>
      <c r="I75" s="75">
        <v>10</v>
      </c>
      <c r="J75" s="75">
        <v>10</v>
      </c>
      <c r="K75" s="75">
        <v>10</v>
      </c>
      <c r="L75" s="75">
        <v>10</v>
      </c>
      <c r="M75" s="75">
        <v>10</v>
      </c>
    </row>
    <row r="76" spans="1:13">
      <c r="A76" s="75"/>
      <c r="B76" s="75"/>
      <c r="C76" s="75"/>
      <c r="D76" s="75"/>
      <c r="E76" s="75"/>
      <c r="F76" s="75"/>
      <c r="G76" s="75"/>
      <c r="H76" s="75"/>
      <c r="I76" s="75"/>
      <c r="J76" s="75"/>
      <c r="K76" s="75"/>
      <c r="L76" s="75"/>
      <c r="M76" s="75"/>
    </row>
    <row r="77" spans="1:13">
      <c r="A77" s="75" t="s">
        <v>136</v>
      </c>
      <c r="B77" s="75"/>
      <c r="C77" s="75"/>
      <c r="D77" s="75"/>
      <c r="E77" s="75"/>
      <c r="F77" s="75"/>
      <c r="G77" s="75"/>
      <c r="H77" s="75"/>
      <c r="I77" s="75"/>
      <c r="J77" s="75"/>
      <c r="K77" s="75"/>
      <c r="L77" s="75"/>
      <c r="M77" s="75"/>
    </row>
    <row r="78" spans="1:13">
      <c r="A78" s="75" t="s">
        <v>212</v>
      </c>
      <c r="B78" s="75">
        <v>0</v>
      </c>
      <c r="C78" s="75">
        <v>1</v>
      </c>
      <c r="D78" s="75">
        <v>2</v>
      </c>
      <c r="E78" s="75">
        <v>3</v>
      </c>
      <c r="F78" s="75">
        <v>4</v>
      </c>
      <c r="G78" s="75">
        <v>5</v>
      </c>
      <c r="H78" s="75">
        <v>6</v>
      </c>
      <c r="I78" s="75">
        <v>7</v>
      </c>
      <c r="J78" s="75">
        <v>8</v>
      </c>
      <c r="K78" s="75">
        <v>9</v>
      </c>
      <c r="L78" s="75">
        <v>10</v>
      </c>
      <c r="M78" s="75">
        <v>11</v>
      </c>
    </row>
    <row r="79" spans="1:13">
      <c r="A79" s="75" t="s">
        <v>137</v>
      </c>
      <c r="B79" s="75">
        <v>0</v>
      </c>
      <c r="C79" s="75">
        <v>0</v>
      </c>
      <c r="D79" s="75">
        <v>0</v>
      </c>
      <c r="E79" s="75">
        <v>0</v>
      </c>
      <c r="F79" s="75">
        <v>0</v>
      </c>
      <c r="G79" s="75">
        <v>0</v>
      </c>
      <c r="H79" s="75">
        <v>0</v>
      </c>
      <c r="I79" s="75">
        <v>0</v>
      </c>
      <c r="J79" s="75">
        <v>0</v>
      </c>
      <c r="K79" s="75">
        <v>0</v>
      </c>
      <c r="L79" s="75">
        <v>0</v>
      </c>
      <c r="M79" s="75">
        <v>0</v>
      </c>
    </row>
    <row r="80" spans="1:13">
      <c r="A80" s="75" t="s">
        <v>138</v>
      </c>
      <c r="B80" s="75">
        <v>10</v>
      </c>
      <c r="C80" s="75">
        <v>10</v>
      </c>
      <c r="D80" s="75">
        <v>10</v>
      </c>
      <c r="E80" s="75">
        <v>10</v>
      </c>
      <c r="F80" s="75">
        <v>10</v>
      </c>
      <c r="G80" s="75">
        <v>10</v>
      </c>
      <c r="H80" s="75">
        <v>10</v>
      </c>
      <c r="I80" s="75">
        <v>10</v>
      </c>
      <c r="J80" s="75">
        <v>10</v>
      </c>
      <c r="K80" s="75">
        <v>10</v>
      </c>
      <c r="L80" s="75">
        <v>10</v>
      </c>
      <c r="M80" s="75">
        <v>10</v>
      </c>
    </row>
    <row r="81" spans="1:13">
      <c r="A81" s="75" t="s">
        <v>105</v>
      </c>
      <c r="B81" s="75"/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</row>
    <row r="82" spans="1:13">
      <c r="A82" s="75" t="s">
        <v>139</v>
      </c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</row>
    <row r="83" spans="1:13">
      <c r="A83" s="75"/>
      <c r="B83" s="75"/>
      <c r="C83" s="75"/>
      <c r="D83" s="75"/>
      <c r="E83" s="75"/>
      <c r="F83" s="75"/>
      <c r="G83" s="75"/>
      <c r="H83" s="75"/>
      <c r="I83" s="75"/>
      <c r="J83" s="75"/>
      <c r="K83" s="75"/>
      <c r="L83" s="75"/>
      <c r="M83" s="75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78"/>
  <sheetViews>
    <sheetView topLeftCell="A37" zoomScale="75" zoomScaleNormal="75" workbookViewId="0">
      <selection activeCell="B46" sqref="B46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102</v>
      </c>
    </row>
    <row r="31" spans="1:9">
      <c r="A31" t="s">
        <v>103</v>
      </c>
      <c r="B31">
        <v>8</v>
      </c>
      <c r="C31" t="s">
        <v>104</v>
      </c>
    </row>
    <row r="32" spans="1:9">
      <c r="A32" t="s">
        <v>229</v>
      </c>
      <c r="B32">
        <v>0</v>
      </c>
      <c r="C32">
        <v>1</v>
      </c>
      <c r="D32">
        <v>2</v>
      </c>
      <c r="E32">
        <v>3</v>
      </c>
      <c r="F32">
        <v>4</v>
      </c>
      <c r="G32">
        <v>5</v>
      </c>
      <c r="H32">
        <v>6</v>
      </c>
      <c r="I32">
        <v>7</v>
      </c>
    </row>
    <row r="33" spans="1:9">
      <c r="A33" t="s">
        <v>230</v>
      </c>
      <c r="B33">
        <v>100</v>
      </c>
      <c r="C33">
        <v>100</v>
      </c>
      <c r="D33">
        <v>100</v>
      </c>
      <c r="E33">
        <v>100</v>
      </c>
      <c r="F33">
        <v>100</v>
      </c>
      <c r="G33">
        <v>100</v>
      </c>
      <c r="H33">
        <v>100</v>
      </c>
      <c r="I33">
        <v>100</v>
      </c>
    </row>
    <row r="34" spans="1:9">
      <c r="A34" t="s">
        <v>105</v>
      </c>
    </row>
    <row r="35" spans="1:9">
      <c r="A35" t="s">
        <v>228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6" spans="1:9">
      <c r="A36" t="s">
        <v>233</v>
      </c>
      <c r="B36">
        <v>0</v>
      </c>
      <c r="C36">
        <v>1</v>
      </c>
      <c r="D36">
        <v>2</v>
      </c>
      <c r="E36">
        <v>3</v>
      </c>
      <c r="F36">
        <v>4</v>
      </c>
      <c r="G36">
        <v>5</v>
      </c>
      <c r="H36">
        <v>6</v>
      </c>
      <c r="I36">
        <v>7</v>
      </c>
    </row>
    <row r="38" spans="1:9">
      <c r="A38" t="s">
        <v>226</v>
      </c>
      <c r="B38" s="22">
        <f>+INDEX(Sheet1!$K$37:$K$44,COLUMN()-COLUMN($B$69)+1)</f>
        <v>-11.375</v>
      </c>
      <c r="C38" s="22">
        <f>+INDEX(Sheet1!$K$37:$K$44,COLUMN()-COLUMN($B$69)+1)</f>
        <v>-11.375</v>
      </c>
      <c r="D38" s="22">
        <f>+INDEX(Sheet1!$K$37:$K$44,COLUMN()-COLUMN($B$69)+1)</f>
        <v>-11.375</v>
      </c>
      <c r="E38" s="22">
        <f>+INDEX(Sheet1!$K$37:$K$44,COLUMN()-COLUMN($B$69)+1)</f>
        <v>-11.375</v>
      </c>
      <c r="F38" s="22">
        <f>+INDEX(Sheet1!$K$37:$K$44,COLUMN()-COLUMN($B$69)+1)</f>
        <v>-706.67</v>
      </c>
      <c r="G38" s="22">
        <f>+INDEX(Sheet1!$K$37:$K$44,COLUMN()-COLUMN($B$69)+1)</f>
        <v>-978.46</v>
      </c>
      <c r="H38" s="22">
        <f>+INDEX(Sheet1!$K$37:$K$44,COLUMN()-COLUMN($B$69)+1)</f>
        <v>-978.46</v>
      </c>
      <c r="I38" s="22">
        <f>+INDEX(Sheet1!$K$37:$K$44,COLUMN()-COLUMN($B$69)+1)</f>
        <v>-3.3333333333333335</v>
      </c>
    </row>
    <row r="39" spans="1:9">
      <c r="A39" t="s">
        <v>225</v>
      </c>
      <c r="B39" s="22">
        <f>+INDEX(Sheet1!$D$37:$D$44,COLUMN()-COLUMN($B$69)+1)</f>
        <v>-180</v>
      </c>
      <c r="C39" s="22">
        <f>+INDEX(Sheet1!$D$37:$D$44,COLUMN()-COLUMN($B$69)+1)</f>
        <v>-315</v>
      </c>
      <c r="D39" s="22">
        <f>+INDEX(Sheet1!$D$37:$D$44,COLUMN()-COLUMN($B$69)+1)</f>
        <v>24.257819103972956</v>
      </c>
      <c r="E39" s="22">
        <f>+INDEX(Sheet1!$D$37:$D$44,COLUMN()-COLUMN($B$69)+1)</f>
        <v>-180</v>
      </c>
      <c r="F39" s="22">
        <f>+INDEX(Sheet1!$D$37:$D$44,COLUMN()-COLUMN($B$69)+1)</f>
        <v>90</v>
      </c>
      <c r="G39" s="22">
        <f>+INDEX(Sheet1!$D$37:$D$44,COLUMN()-COLUMN($B$69)+1)</f>
        <v>-20</v>
      </c>
      <c r="H39" s="22">
        <f>+INDEX(Sheet1!$D$37:$D$44,COLUMN()-COLUMN($B$69)+1)</f>
        <v>-52</v>
      </c>
      <c r="I39" s="22">
        <f>+INDEX(Sheet1!$D$37:$D$44,COLUMN()-COLUMN($B$69)+1)</f>
        <v>-480</v>
      </c>
    </row>
    <row r="41" spans="1:9">
      <c r="A41" t="s">
        <v>106</v>
      </c>
      <c r="B41">
        <v>0</v>
      </c>
    </row>
    <row r="44" spans="1:9">
      <c r="A44" t="s">
        <v>228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107</v>
      </c>
    </row>
    <row r="46" spans="1:9">
      <c r="A46" t="s">
        <v>231</v>
      </c>
      <c r="B46" s="22">
        <f>+INDEX(Sheet1!$H$37:$H$44,COLUMN()-COLUMN($B$69)+1)</f>
        <v>10</v>
      </c>
      <c r="C46" s="22">
        <f>+INDEX(Sheet1!$H$37:$H$44,COLUMN()-COLUMN($B$69)+1)</f>
        <v>160.80000000000001</v>
      </c>
      <c r="D46" s="22">
        <f>+INDEX(Sheet1!$H$37:$H$44,COLUMN()-COLUMN($B$69)+1)</f>
        <v>80</v>
      </c>
      <c r="E46" s="22">
        <f>+INDEX(Sheet1!$H$37:$H$44,COLUMN()-COLUMN($B$69)+1)</f>
        <v>106</v>
      </c>
      <c r="F46" s="22">
        <f>+INDEX(Sheet1!$H$37:$H$44,COLUMN()-COLUMN($B$69)+1)</f>
        <v>90</v>
      </c>
      <c r="G46" s="22">
        <f>+INDEX(Sheet1!$H$37:$H$44,COLUMN()-COLUMN($B$69)+1)</f>
        <v>0</v>
      </c>
      <c r="H46" s="22">
        <f>+INDEX(Sheet1!$H$37:$H$44,COLUMN()-COLUMN($B$69)+1)</f>
        <v>40</v>
      </c>
      <c r="I46" s="22">
        <f>+INDEX(Sheet1!$H$37:$H$44,COLUMN()-COLUMN($B$69)+1)</f>
        <v>60</v>
      </c>
    </row>
    <row r="47" spans="1:9">
      <c r="A47" t="s">
        <v>232</v>
      </c>
      <c r="B47" s="22">
        <f>+INDEX(Sheet1!$G$37:$G$44,COLUMN()-COLUMN($B$69)+1)</f>
        <v>-95.5</v>
      </c>
      <c r="C47" s="22">
        <f>+INDEX(Sheet1!$G$37:$G$44,COLUMN()-COLUMN($B$69)+1)</f>
        <v>0</v>
      </c>
      <c r="D47" s="22">
        <f>+INDEX(Sheet1!$G$37:$G$44,COLUMN()-COLUMN($B$69)+1)</f>
        <v>-37</v>
      </c>
      <c r="E47" s="22">
        <f>+INDEX(Sheet1!$G$37:$G$44,COLUMN()-COLUMN($B$69)+1)</f>
        <v>15</v>
      </c>
      <c r="F47" s="22">
        <f>+INDEX(Sheet1!$G$37:$G$44,COLUMN()-COLUMN($B$69)+1)</f>
        <v>-90</v>
      </c>
      <c r="G47" s="22">
        <f>+INDEX(Sheet1!$G$37:$G$44,COLUMN()-COLUMN($B$69)+1)</f>
        <v>-90</v>
      </c>
      <c r="H47" s="22">
        <f>+INDEX(Sheet1!$G$37:$G$44,COLUMN()-COLUMN($B$69)+1)</f>
        <v>-20</v>
      </c>
      <c r="I47" s="22">
        <f>+INDEX(Sheet1!$G$37:$G$44,COLUMN()-COLUMN($B$69)+1)</f>
        <v>0</v>
      </c>
    </row>
    <row r="50" spans="1:9">
      <c r="A50" t="s">
        <v>227</v>
      </c>
      <c r="B50">
        <v>0</v>
      </c>
      <c r="C50">
        <v>1</v>
      </c>
      <c r="D50">
        <v>2</v>
      </c>
      <c r="E50">
        <v>3</v>
      </c>
      <c r="F50">
        <v>4</v>
      </c>
      <c r="G50">
        <v>5</v>
      </c>
      <c r="H50">
        <v>6</v>
      </c>
      <c r="I50">
        <v>7</v>
      </c>
    </row>
    <row r="51" spans="1:9">
      <c r="A51" t="s">
        <v>221</v>
      </c>
      <c r="B51" s="22">
        <f>$B$5</f>
        <v>7000</v>
      </c>
      <c r="C51" s="22">
        <f>$B$5</f>
        <v>7000</v>
      </c>
      <c r="D51" s="22">
        <f>$B$5</f>
        <v>7000</v>
      </c>
      <c r="E51" s="22">
        <f>$B$5</f>
        <v>7000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108</v>
      </c>
      <c r="B53" t="s">
        <v>109</v>
      </c>
      <c r="C53" t="s">
        <v>110</v>
      </c>
      <c r="D53" t="s">
        <v>111</v>
      </c>
      <c r="E53" t="s">
        <v>112</v>
      </c>
      <c r="F53" t="s">
        <v>113</v>
      </c>
      <c r="G53" t="s">
        <v>114</v>
      </c>
      <c r="H53" t="s">
        <v>115</v>
      </c>
    </row>
    <row r="54" spans="1:9">
      <c r="A54" t="s">
        <v>116</v>
      </c>
    </row>
    <row r="55" spans="1:9">
      <c r="A55" t="s">
        <v>117</v>
      </c>
      <c r="B55">
        <v>32000</v>
      </c>
      <c r="C55">
        <v>50</v>
      </c>
      <c r="D55">
        <v>60</v>
      </c>
      <c r="E55" s="22">
        <f>+$B$3</f>
        <v>1333</v>
      </c>
      <c r="F55" s="22">
        <f t="shared" ref="F55:F62" si="0">+$B$3</f>
        <v>1333</v>
      </c>
      <c r="G55">
        <v>13</v>
      </c>
      <c r="H55">
        <v>0</v>
      </c>
    </row>
    <row r="56" spans="1:9">
      <c r="A56" t="s">
        <v>118</v>
      </c>
      <c r="B56">
        <v>32000</v>
      </c>
      <c r="C56">
        <v>50</v>
      </c>
      <c r="D56">
        <v>60</v>
      </c>
      <c r="E56" s="22">
        <f>+$B$3</f>
        <v>1333</v>
      </c>
      <c r="F56" s="22">
        <f t="shared" si="0"/>
        <v>1333</v>
      </c>
      <c r="G56">
        <v>13</v>
      </c>
      <c r="H56">
        <v>0</v>
      </c>
    </row>
    <row r="57" spans="1:9">
      <c r="A57" t="s">
        <v>119</v>
      </c>
      <c r="B57">
        <v>10000</v>
      </c>
      <c r="C57">
        <v>0</v>
      </c>
      <c r="D57">
        <v>10</v>
      </c>
      <c r="E57" s="22">
        <f t="shared" ref="E57:E62" si="1">+$B$3</f>
        <v>1333</v>
      </c>
      <c r="F57" s="22">
        <f t="shared" si="0"/>
        <v>1333</v>
      </c>
      <c r="G57">
        <v>13</v>
      </c>
      <c r="H57">
        <v>0</v>
      </c>
    </row>
    <row r="58" spans="1:9">
      <c r="A58" t="s">
        <v>120</v>
      </c>
      <c r="B58">
        <v>32000</v>
      </c>
      <c r="C58">
        <v>20</v>
      </c>
      <c r="D58">
        <v>60</v>
      </c>
      <c r="E58" s="22">
        <f>+$B$3</f>
        <v>1333</v>
      </c>
      <c r="F58" s="22">
        <f t="shared" si="0"/>
        <v>1333</v>
      </c>
      <c r="G58">
        <v>13</v>
      </c>
      <c r="H58">
        <v>0</v>
      </c>
    </row>
    <row r="59" spans="1:9">
      <c r="A59" t="s">
        <v>121</v>
      </c>
      <c r="B59">
        <v>200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6</v>
      </c>
      <c r="H59">
        <v>0</v>
      </c>
    </row>
    <row r="60" spans="1:9">
      <c r="A60" t="s">
        <v>122</v>
      </c>
      <c r="B60">
        <v>100</v>
      </c>
      <c r="C60">
        <v>100</v>
      </c>
      <c r="D60">
        <v>2</v>
      </c>
      <c r="E60" s="22">
        <f t="shared" si="1"/>
        <v>1333</v>
      </c>
      <c r="F60" s="22">
        <f t="shared" si="0"/>
        <v>1333</v>
      </c>
      <c r="G60">
        <v>6</v>
      </c>
      <c r="H60">
        <v>0</v>
      </c>
    </row>
    <row r="61" spans="1:9">
      <c r="A61" t="s">
        <v>123</v>
      </c>
      <c r="B61">
        <v>100</v>
      </c>
      <c r="C61">
        <v>100</v>
      </c>
      <c r="D61">
        <v>2</v>
      </c>
      <c r="E61" s="22">
        <f t="shared" si="1"/>
        <v>1333</v>
      </c>
      <c r="F61" s="22">
        <f t="shared" si="0"/>
        <v>1333</v>
      </c>
      <c r="G61">
        <v>6</v>
      </c>
      <c r="H61">
        <v>0</v>
      </c>
    </row>
    <row r="62" spans="1:9">
      <c r="A62" t="s">
        <v>124</v>
      </c>
      <c r="B62">
        <v>200</v>
      </c>
      <c r="C62">
        <v>200</v>
      </c>
      <c r="D62">
        <v>1</v>
      </c>
      <c r="E62" s="22">
        <f t="shared" si="1"/>
        <v>1333</v>
      </c>
      <c r="F62" s="22">
        <f t="shared" si="0"/>
        <v>1333</v>
      </c>
      <c r="G62">
        <v>4</v>
      </c>
      <c r="H62">
        <v>0</v>
      </c>
    </row>
    <row r="64" spans="1:9">
      <c r="A64" t="s">
        <v>129</v>
      </c>
    </row>
    <row r="65" spans="1:9">
      <c r="A65" t="s">
        <v>227</v>
      </c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</row>
    <row r="66" spans="1:9">
      <c r="A66" t="s">
        <v>130</v>
      </c>
      <c r="B66">
        <v>3</v>
      </c>
      <c r="C66">
        <v>3</v>
      </c>
      <c r="D66">
        <v>3</v>
      </c>
      <c r="E66">
        <v>3</v>
      </c>
      <c r="F66">
        <v>0</v>
      </c>
      <c r="G66">
        <v>2</v>
      </c>
      <c r="H66">
        <v>2</v>
      </c>
      <c r="I66">
        <v>3</v>
      </c>
    </row>
    <row r="67" spans="1:9">
      <c r="A67" t="s">
        <v>131</v>
      </c>
      <c r="B67" s="22">
        <f>+INDEX(Sheet1!$L$37:$L$44,COLUMN()-COLUMN($B$69)+1)</f>
        <v>2388.75</v>
      </c>
      <c r="C67" s="22">
        <f>+INDEX(Sheet1!$L$37:$L$44,COLUMN()-COLUMN($B$69)+1)</f>
        <v>3241.875</v>
      </c>
      <c r="D67" s="22">
        <f>+INDEX(Sheet1!$L$37:$L$44,COLUMN()-COLUMN($B$69)+1)</f>
        <v>-275.93269230769238</v>
      </c>
      <c r="E67" s="22">
        <f>+INDEX(Sheet1!$L$37:$L$44,COLUMN()-COLUMN($B$69)+1)</f>
        <v>1532</v>
      </c>
      <c r="F67" s="22">
        <f>+INDEX(Sheet1!$L$37:$L$44,COLUMN()-COLUMN($B$69)+1)</f>
        <v>1000</v>
      </c>
      <c r="G67" s="22">
        <f>+INDEX(Sheet1!$L$37:$L$44,COLUMN()-COLUMN($B$69)+1)</f>
        <v>750</v>
      </c>
      <c r="H67" s="22">
        <f>+INDEX(Sheet1!$L$37:$L$44,COLUMN()-COLUMN($B$69)+1)</f>
        <v>750</v>
      </c>
      <c r="I67" s="22">
        <f>+INDEX(Sheet1!$L$37:$L$44,COLUMN()-COLUMN($B$69)+1)</f>
        <v>1600</v>
      </c>
    </row>
    <row r="68" spans="1:9">
      <c r="A68" t="s">
        <v>132</v>
      </c>
      <c r="B68" s="22">
        <f>+INDEX(Sheet1!$M$37:$M$44,COLUMN()-COLUMN($B$69)+1)</f>
        <v>10</v>
      </c>
      <c r="C68" s="22">
        <f>+INDEX(Sheet1!$M$37:$M$44,COLUMN()-COLUMN($B$69)+1)</f>
        <v>10</v>
      </c>
      <c r="D68" s="22">
        <f>+INDEX(Sheet1!$M$37:$M$44,COLUMN()-COLUMN($B$69)+1)</f>
        <v>10</v>
      </c>
      <c r="E68" s="22">
        <f>+INDEX(Sheet1!$M$37:$M$44,COLUMN()-COLUMN($B$69)+1)</f>
        <v>10</v>
      </c>
      <c r="F68" s="22">
        <f>+INDEX(Sheet1!$M$37:$M$44,COLUMN()-COLUMN($B$69)+1)</f>
        <v>20</v>
      </c>
      <c r="G68" s="22">
        <f>+INDEX(Sheet1!$M$37:$M$44,COLUMN()-COLUMN($B$69)+1)</f>
        <v>-10</v>
      </c>
      <c r="H68" s="22">
        <f>+INDEX(Sheet1!$M$37:$M$44,COLUMN()-COLUMN($B$69)+1)</f>
        <v>-10</v>
      </c>
      <c r="I68" s="22">
        <f>+INDEX(Sheet1!$M$37:$M$44,COLUMN()-COLUMN($B$69)+1)</f>
        <v>100</v>
      </c>
    </row>
    <row r="69" spans="1:9">
      <c r="A69" t="s">
        <v>133</v>
      </c>
      <c r="B69" s="22">
        <f>+INDEX(Sheet1!$N$37:$N$44,COLUMN()-COLUMN($B$69)+1)</f>
        <v>2934.75</v>
      </c>
      <c r="C69" s="77">
        <f>+INDEX(Sheet1!$N$37:$N$44,COLUMN()-COLUMN($B$69)+1)</f>
        <v>1012.375</v>
      </c>
      <c r="D69" s="22">
        <f>+INDEX(Sheet1!$N$37:$N$44,COLUMN()-COLUMN($B$69)+1)</f>
        <v>2760.9968749999998</v>
      </c>
      <c r="E69" s="22">
        <f>+INDEX(Sheet1!$N$37:$N$44,COLUMN()-COLUMN($B$69)+1)</f>
        <v>2388.75</v>
      </c>
      <c r="F69" s="22">
        <f>+INDEX(Sheet1!$N$37:$N$44,COLUMN()-COLUMN($B$69)+1)</f>
        <v>0</v>
      </c>
      <c r="G69" s="22">
        <f>+INDEX(Sheet1!$N$37:$N$44,COLUMN()-COLUMN($B$69)+1)</f>
        <v>0</v>
      </c>
      <c r="H69" s="22">
        <f>+INDEX(Sheet1!$N$37:$N$44,COLUMN()-COLUMN($B$69)+1)</f>
        <v>0</v>
      </c>
      <c r="I69" s="22">
        <f>+INDEX(Sheet1!$N$37:$N$44,COLUMN()-COLUMN($B$69)+1)</f>
        <v>0</v>
      </c>
    </row>
    <row r="70" spans="1:9">
      <c r="A70" t="s">
        <v>134</v>
      </c>
      <c r="B70">
        <v>-30</v>
      </c>
      <c r="C70">
        <v>30</v>
      </c>
      <c r="D70">
        <v>0</v>
      </c>
      <c r="E70">
        <v>45</v>
      </c>
      <c r="F70">
        <v>0</v>
      </c>
      <c r="G70">
        <v>0</v>
      </c>
      <c r="H70">
        <v>0</v>
      </c>
      <c r="I70">
        <v>0</v>
      </c>
    </row>
    <row r="71" spans="1:9">
      <c r="A71" t="s">
        <v>135</v>
      </c>
      <c r="B71">
        <v>10</v>
      </c>
      <c r="C71">
        <v>10</v>
      </c>
      <c r="D71">
        <v>10</v>
      </c>
      <c r="E71">
        <v>10</v>
      </c>
      <c r="F71">
        <v>30</v>
      </c>
      <c r="G71">
        <v>30</v>
      </c>
      <c r="H71">
        <v>30</v>
      </c>
      <c r="I71">
        <v>100</v>
      </c>
    </row>
    <row r="73" spans="1:9">
      <c r="A73" t="s">
        <v>136</v>
      </c>
    </row>
    <row r="74" spans="1:9">
      <c r="A74" t="s">
        <v>227</v>
      </c>
      <c r="B74">
        <v>0</v>
      </c>
      <c r="C74">
        <v>1</v>
      </c>
      <c r="D74">
        <v>2</v>
      </c>
      <c r="E74">
        <v>3</v>
      </c>
      <c r="F74">
        <v>4</v>
      </c>
      <c r="G74">
        <v>5</v>
      </c>
      <c r="H74">
        <v>6</v>
      </c>
      <c r="I74">
        <v>7</v>
      </c>
    </row>
    <row r="75" spans="1:9">
      <c r="A75" t="s">
        <v>137</v>
      </c>
      <c r="B75">
        <v>-30</v>
      </c>
      <c r="C75">
        <v>30</v>
      </c>
      <c r="D75">
        <v>0</v>
      </c>
      <c r="E75">
        <v>45</v>
      </c>
      <c r="F75">
        <v>0</v>
      </c>
      <c r="G75">
        <v>0</v>
      </c>
      <c r="H75">
        <v>40</v>
      </c>
      <c r="I75">
        <v>0</v>
      </c>
    </row>
    <row r="76" spans="1:9">
      <c r="A76" t="s">
        <v>138</v>
      </c>
      <c r="B76">
        <v>10</v>
      </c>
      <c r="C76">
        <v>10</v>
      </c>
      <c r="D76">
        <v>10</v>
      </c>
      <c r="E76">
        <v>10</v>
      </c>
      <c r="F76">
        <v>10</v>
      </c>
      <c r="G76">
        <v>10</v>
      </c>
      <c r="H76">
        <v>10</v>
      </c>
      <c r="I76">
        <v>10</v>
      </c>
    </row>
    <row r="77" spans="1:9">
      <c r="A77" t="s">
        <v>105</v>
      </c>
    </row>
    <row r="78" spans="1:9">
      <c r="A78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79"/>
  <sheetViews>
    <sheetView topLeftCell="A38" zoomScale="85" zoomScaleNormal="85" workbookViewId="0">
      <selection activeCell="B48" sqref="B48:I49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251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239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3" spans="1:9">
      <c r="A33" t="s">
        <v>105</v>
      </c>
    </row>
    <row r="34" spans="1:9">
      <c r="A34" t="s">
        <v>228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217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238</v>
      </c>
      <c r="B37" s="39">
        <f>+INDEX(Sheet1!$K$48:$K$56,COLUMN()-COLUMN($B$71)+1)</f>
        <v>20.9</v>
      </c>
      <c r="C37" s="39">
        <f>+INDEX(Sheet1!$K$48:$K$56,COLUMN()-COLUMN($B$71)+1)</f>
        <v>-2.5</v>
      </c>
      <c r="D37" s="39">
        <f>+INDEX(Sheet1!$K$48:$K$56,COLUMN()-COLUMN($B$71)+1)</f>
        <v>-2.5555555555555554</v>
      </c>
      <c r="E37" s="39">
        <f>+INDEX(Sheet1!$K$48:$K$56,COLUMN()-COLUMN($B$71)+1)</f>
        <v>-2.6</v>
      </c>
      <c r="F37" s="39">
        <f>+INDEX(Sheet1!$K$48:$K$56,COLUMN()-COLUMN($B$71)+1)</f>
        <v>-2.5833333333333335</v>
      </c>
      <c r="G37" s="39">
        <f>+INDEX(Sheet1!$K$48:$K$56,COLUMN()-COLUMN($B$71)+1)</f>
        <v>-2.6666666666666665</v>
      </c>
      <c r="H37" s="39">
        <f>+INDEX(Sheet1!$K$48:$K$56,COLUMN()-COLUMN($B$71)+1)</f>
        <v>-2.3222222222222224</v>
      </c>
      <c r="I37" s="39">
        <f>+INDEX(Sheet1!$K$48:$K$56,COLUMN()-COLUMN($B$71)+1)</f>
        <v>-2.3888888888888888</v>
      </c>
    </row>
    <row r="38" spans="1:9">
      <c r="A38" t="s">
        <v>225</v>
      </c>
      <c r="B38" s="39">
        <f>+INDEX(Sheet1!$D$48:$D$56,COLUMN()-COLUMN($B$71)+1)</f>
        <v>43.971291866028707</v>
      </c>
      <c r="C38" s="39">
        <f>+INDEX(Sheet1!$D$48:$D$56,COLUMN()-COLUMN($B$71)+1)</f>
        <v>-98</v>
      </c>
      <c r="D38" s="39">
        <f>+INDEX(Sheet1!$D$48:$D$56,COLUMN()-COLUMN($B$71)+1)</f>
        <v>-183.91304347826087</v>
      </c>
      <c r="E38" s="39">
        <f>+INDEX(Sheet1!$D$48:$D$56,COLUMN()-COLUMN($B$71)+1)</f>
        <v>-93.84615384615384</v>
      </c>
      <c r="F38" s="39">
        <f>+INDEX(Sheet1!$D$48:$D$56,COLUMN()-COLUMN($B$71)+1)</f>
        <v>-187.74193548387095</v>
      </c>
      <c r="G38" s="39">
        <f>+INDEX(Sheet1!$D$48:$D$56,COLUMN()-COLUMN($B$71)+1)</f>
        <v>-93.75</v>
      </c>
      <c r="H38" s="39">
        <f>+INDEX(Sheet1!$D$48:$D$56,COLUMN()-COLUMN($B$71)+1)</f>
        <v>-202.39234449760764</v>
      </c>
      <c r="I38" s="39">
        <f>+INDEX(Sheet1!$D$48:$D$56,COLUMN()-COLUMN($B$71)+1)</f>
        <v>-286.74418604651163</v>
      </c>
    </row>
    <row r="40" spans="1:9">
      <c r="A40" t="s">
        <v>106</v>
      </c>
      <c r="B40">
        <v>0</v>
      </c>
    </row>
    <row r="43" spans="1:9">
      <c r="A43" t="s">
        <v>151</v>
      </c>
    </row>
    <row r="44" spans="1:9">
      <c r="A44" t="s">
        <v>241</v>
      </c>
      <c r="B44">
        <v>8</v>
      </c>
      <c r="C44">
        <v>8</v>
      </c>
      <c r="D44">
        <v>8</v>
      </c>
      <c r="E44">
        <v>8</v>
      </c>
      <c r="F44">
        <v>8</v>
      </c>
      <c r="G44">
        <v>8</v>
      </c>
      <c r="H44">
        <v>8</v>
      </c>
      <c r="I44">
        <v>8</v>
      </c>
    </row>
    <row r="46" spans="1:9">
      <c r="A46" t="s">
        <v>152</v>
      </c>
    </row>
    <row r="47" spans="1:9">
      <c r="A47" t="s">
        <v>242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234</v>
      </c>
      <c r="B48" s="22">
        <f>+INDEX(Sheet1!$H$48:$H$77,COLUMN()-COLUMN($B$71)+1)</f>
        <v>90</v>
      </c>
      <c r="C48" s="22">
        <f>+INDEX(Sheet1!$H$48:$H$77,COLUMN()-COLUMN($B$71)+1)</f>
        <v>90</v>
      </c>
      <c r="D48" s="22">
        <f>+INDEX(Sheet1!$H$48:$H$77,COLUMN()-COLUMN($B$71)+1)</f>
        <v>180</v>
      </c>
      <c r="E48" s="22">
        <f>+INDEX(Sheet1!$H$48:$H$77,COLUMN()-COLUMN($B$71)+1)</f>
        <v>90</v>
      </c>
      <c r="F48" s="22">
        <f>+INDEX(Sheet1!$H$48:$H$77,COLUMN()-COLUMN($B$71)+1)</f>
        <v>180</v>
      </c>
      <c r="G48" s="22">
        <f>+INDEX(Sheet1!$H$48:$H$77,COLUMN()-COLUMN($B$71)+1)</f>
        <v>90</v>
      </c>
      <c r="H48" s="22">
        <f>+INDEX(Sheet1!$H$48:$H$77,COLUMN()-COLUMN($B$71)+1)</f>
        <v>180</v>
      </c>
      <c r="I48" s="22">
        <f>+INDEX(Sheet1!$H$48:$H$77,COLUMN()-COLUMN($B$71)+1)</f>
        <v>270</v>
      </c>
    </row>
    <row r="49" spans="1:9">
      <c r="A49" t="s">
        <v>235</v>
      </c>
      <c r="B49" s="22">
        <f>+INDEX(Sheet1!$G$48:$G$77,COLUMN()-COLUMN($B$71)+1)</f>
        <v>-10</v>
      </c>
      <c r="C49" s="22">
        <f>+INDEX(Sheet1!$G$48:$G$77,COLUMN()-COLUMN($B$71)+1)</f>
        <v>0</v>
      </c>
      <c r="D49" s="22">
        <f>+INDEX(Sheet1!$G$48:$G$77,COLUMN()-COLUMN($B$71)+1)</f>
        <v>0</v>
      </c>
      <c r="E49" s="22">
        <f>+INDEX(Sheet1!$G$48:$G$77,COLUMN()-COLUMN($B$71)+1)</f>
        <v>0</v>
      </c>
      <c r="F49" s="22">
        <f>+INDEX(Sheet1!$G$48:$G$77,COLUMN()-COLUMN($B$71)+1)</f>
        <v>0</v>
      </c>
      <c r="G49" s="22">
        <f>+INDEX(Sheet1!$G$48:$G$77,COLUMN()-COLUMN($B$71)+1)</f>
        <v>0</v>
      </c>
      <c r="H49" s="22">
        <f>+INDEX(Sheet1!$G$48:$G$77,COLUMN()-COLUMN($B$71)+1)</f>
        <v>0</v>
      </c>
      <c r="I49" s="22">
        <f>+INDEX(Sheet1!$G$48:$G$77,COLUMN()-COLUMN($B$71)+1)</f>
        <v>0</v>
      </c>
    </row>
    <row r="51" spans="1:9">
      <c r="A51" t="s">
        <v>236</v>
      </c>
      <c r="B51">
        <v>485</v>
      </c>
      <c r="C51">
        <v>485</v>
      </c>
      <c r="D51">
        <v>485</v>
      </c>
      <c r="E51">
        <v>485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116</v>
      </c>
    </row>
    <row r="54" spans="1:9">
      <c r="A54" t="s">
        <v>108</v>
      </c>
      <c r="B54" t="s">
        <v>109</v>
      </c>
      <c r="C54" t="s">
        <v>110</v>
      </c>
      <c r="D54" t="s">
        <v>111</v>
      </c>
      <c r="E54" t="s">
        <v>112</v>
      </c>
      <c r="F54" t="s">
        <v>113</v>
      </c>
      <c r="G54" t="s">
        <v>114</v>
      </c>
      <c r="H54" t="s">
        <v>115</v>
      </c>
    </row>
    <row r="55" spans="1:9">
      <c r="A55" t="s">
        <v>116</v>
      </c>
    </row>
    <row r="56" spans="1:9">
      <c r="A56" t="s">
        <v>117</v>
      </c>
      <c r="B56">
        <v>250</v>
      </c>
      <c r="C56">
        <v>32000</v>
      </c>
      <c r="D56">
        <v>0</v>
      </c>
      <c r="E56" s="22">
        <f t="shared" ref="E56:F63" si="0">+$B$3</f>
        <v>1333</v>
      </c>
      <c r="F56" s="22">
        <f t="shared" si="0"/>
        <v>1333</v>
      </c>
      <c r="G56">
        <v>3</v>
      </c>
      <c r="H56">
        <v>0</v>
      </c>
    </row>
    <row r="57" spans="1:9">
      <c r="A57" t="s">
        <v>118</v>
      </c>
      <c r="B57">
        <v>-250</v>
      </c>
      <c r="C57">
        <v>-32000</v>
      </c>
      <c r="D57">
        <v>0</v>
      </c>
      <c r="E57" s="22">
        <f t="shared" si="0"/>
        <v>1333</v>
      </c>
      <c r="F57" s="22">
        <f t="shared" si="0"/>
        <v>1333</v>
      </c>
      <c r="G57">
        <v>3</v>
      </c>
      <c r="H57">
        <v>0</v>
      </c>
    </row>
    <row r="58" spans="1:9">
      <c r="A58" t="s">
        <v>119</v>
      </c>
      <c r="B58">
        <v>250</v>
      </c>
      <c r="C58">
        <v>32000</v>
      </c>
      <c r="D58">
        <v>0</v>
      </c>
      <c r="E58" s="22">
        <f t="shared" si="0"/>
        <v>1333</v>
      </c>
      <c r="F58" s="22">
        <f t="shared" si="0"/>
        <v>1333</v>
      </c>
      <c r="G58">
        <v>3</v>
      </c>
      <c r="H58">
        <v>0</v>
      </c>
    </row>
    <row r="59" spans="1:9">
      <c r="A59" t="s">
        <v>120</v>
      </c>
      <c r="B59">
        <v>-250</v>
      </c>
      <c r="C59">
        <v>-32000</v>
      </c>
      <c r="D59">
        <v>0</v>
      </c>
      <c r="E59" s="22">
        <f t="shared" si="0"/>
        <v>1333</v>
      </c>
      <c r="F59" s="22">
        <f>+$B$3</f>
        <v>1333</v>
      </c>
      <c r="G59">
        <v>3</v>
      </c>
      <c r="H59">
        <v>0</v>
      </c>
    </row>
    <row r="60" spans="1:9">
      <c r="A60" t="s">
        <v>121</v>
      </c>
      <c r="B60">
        <v>250</v>
      </c>
      <c r="C60">
        <v>32000</v>
      </c>
      <c r="D60">
        <v>0</v>
      </c>
      <c r="E60" s="22">
        <f t="shared" si="0"/>
        <v>1333</v>
      </c>
      <c r="F60" s="22">
        <f t="shared" si="0"/>
        <v>1333</v>
      </c>
      <c r="G60">
        <v>3</v>
      </c>
      <c r="H60">
        <v>0</v>
      </c>
    </row>
    <row r="61" spans="1:9">
      <c r="A61" t="s">
        <v>122</v>
      </c>
      <c r="B61">
        <v>-250</v>
      </c>
      <c r="C61">
        <v>-32000</v>
      </c>
      <c r="D61">
        <v>0</v>
      </c>
      <c r="E61" s="22">
        <f t="shared" si="0"/>
        <v>1333</v>
      </c>
      <c r="F61" s="22">
        <f t="shared" si="0"/>
        <v>1333</v>
      </c>
      <c r="G61">
        <v>3</v>
      </c>
      <c r="H61">
        <v>0</v>
      </c>
    </row>
    <row r="62" spans="1:9">
      <c r="A62" t="s">
        <v>123</v>
      </c>
      <c r="B62">
        <v>-250</v>
      </c>
      <c r="C62">
        <v>-32000</v>
      </c>
      <c r="D62">
        <v>0</v>
      </c>
      <c r="E62" s="22">
        <f t="shared" si="0"/>
        <v>1333</v>
      </c>
      <c r="F62" s="22">
        <f t="shared" si="0"/>
        <v>1333</v>
      </c>
      <c r="G62">
        <v>3</v>
      </c>
      <c r="H62">
        <v>0</v>
      </c>
    </row>
    <row r="63" spans="1:9">
      <c r="A63" t="s">
        <v>124</v>
      </c>
      <c r="B63">
        <v>-120</v>
      </c>
      <c r="C63">
        <v>-1250</v>
      </c>
      <c r="D63">
        <v>0</v>
      </c>
      <c r="E63" s="22">
        <f t="shared" si="0"/>
        <v>1333</v>
      </c>
      <c r="F63" s="22">
        <f t="shared" si="0"/>
        <v>1333</v>
      </c>
      <c r="G63">
        <v>3</v>
      </c>
      <c r="H63">
        <v>0</v>
      </c>
    </row>
    <row r="65" spans="1:9">
      <c r="A65" t="s">
        <v>129</v>
      </c>
    </row>
    <row r="66" spans="1:9">
      <c r="A66" t="s">
        <v>237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</row>
    <row r="67" spans="1:9">
      <c r="A67" t="s">
        <v>130</v>
      </c>
      <c r="B67">
        <v>3</v>
      </c>
      <c r="C67">
        <v>4</v>
      </c>
      <c r="D67">
        <v>4</v>
      </c>
      <c r="E67">
        <v>4</v>
      </c>
      <c r="F67">
        <v>4</v>
      </c>
      <c r="G67">
        <v>4</v>
      </c>
      <c r="H67">
        <v>4</v>
      </c>
      <c r="I67">
        <v>4</v>
      </c>
    </row>
    <row r="68" spans="1:9">
      <c r="A68" t="s">
        <v>131</v>
      </c>
      <c r="B68" s="22">
        <f>+INDEX(Sheet1!$L$48:$L$56,COLUMN()-COLUMN($B$69)+1)</f>
        <v>918.99999999999989</v>
      </c>
      <c r="C68" s="22">
        <f>+INDEX(Sheet1!$L$48:$L$56,COLUMN()-COLUMN($B$69)+1)</f>
        <v>245</v>
      </c>
      <c r="D68" s="22">
        <f>+INDEX(Sheet1!$L$48:$L$56,COLUMN()-COLUMN($B$69)+1)</f>
        <v>10</v>
      </c>
      <c r="E68" s="22">
        <f>+INDEX(Sheet1!$L$48:$L$56,COLUMN()-COLUMN($B$69)+1)</f>
        <v>244</v>
      </c>
      <c r="F68" s="22">
        <f>+INDEX(Sheet1!$L$48:$L$56,COLUMN()-COLUMN($B$69)+1)</f>
        <v>20</v>
      </c>
      <c r="G68" s="22">
        <f>+INDEX(Sheet1!$L$48:$L$56,COLUMN()-COLUMN($B$69)+1)</f>
        <v>250</v>
      </c>
      <c r="H68" s="22">
        <f>+INDEX(Sheet1!$L$48:$L$56,COLUMN()-COLUMN($B$69)+1)</f>
        <v>52</v>
      </c>
      <c r="I68" s="22">
        <f>+INDEX(Sheet1!$L$48:$L$56,COLUMN()-COLUMN($B$69)+1)</f>
        <v>685</v>
      </c>
    </row>
    <row r="69" spans="1:9">
      <c r="A69" t="s">
        <v>132</v>
      </c>
      <c r="B69" s="22">
        <f>+INDEX(Sheet1!$M$48:$M$56,COLUMN()-COLUMN($B$69)+1)</f>
        <v>10</v>
      </c>
      <c r="C69" s="22">
        <f>+INDEX(Sheet1!$M$48:$M$56,COLUMN()-COLUMN($B$69)+1)</f>
        <v>10</v>
      </c>
      <c r="D69" s="22">
        <f>+INDEX(Sheet1!$M$48:$M$56,COLUMN()-COLUMN($B$69)+1)</f>
        <v>10</v>
      </c>
      <c r="E69" s="22">
        <f>+INDEX(Sheet1!$M$48:$M$56,COLUMN()-COLUMN($B$69)+1)</f>
        <v>10</v>
      </c>
      <c r="F69" s="22">
        <f>+INDEX(Sheet1!$M$48:$M$56,COLUMN()-COLUMN($B$69)+1)</f>
        <v>10</v>
      </c>
      <c r="G69" s="22">
        <f>+INDEX(Sheet1!$M$48:$M$56,COLUMN()-COLUMN($B$69)+1)</f>
        <v>10</v>
      </c>
      <c r="H69" s="22">
        <f>+INDEX(Sheet1!$M$48:$M$56,COLUMN()-COLUMN($B$69)+1)</f>
        <v>10</v>
      </c>
      <c r="I69" s="22">
        <f>+INDEX(Sheet1!$M$48:$M$56,COLUMN()-COLUMN($B$69)+1)</f>
        <v>10</v>
      </c>
    </row>
    <row r="70" spans="1:9">
      <c r="A70" t="s">
        <v>133</v>
      </c>
      <c r="B70" s="22">
        <f>+INDEX(Sheet1!$N$48:$N$56,COLUMN()-COLUMN($B$69)+1)</f>
        <v>0</v>
      </c>
      <c r="C70" s="22">
        <f>+INDEX(Sheet1!$N$48:$N$56,COLUMN()-COLUMN($B$69)+1)</f>
        <v>6000</v>
      </c>
      <c r="D70" s="22">
        <f>+INDEX(Sheet1!$N$48:$N$56,COLUMN()-COLUMN($B$69)+1)</f>
        <v>6500</v>
      </c>
      <c r="E70" s="22">
        <f>+INDEX(Sheet1!$N$48:$N$56,COLUMN()-COLUMN($B$69)+1)</f>
        <v>6000</v>
      </c>
      <c r="F70" s="22">
        <f>+INDEX(Sheet1!$N$48:$N$56,COLUMN()-COLUMN($B$69)+1)</f>
        <v>6500</v>
      </c>
      <c r="G70" s="22">
        <f>+INDEX(Sheet1!$N$48:$N$56,COLUMN()-COLUMN($B$69)+1)</f>
        <v>6000</v>
      </c>
      <c r="H70" s="22">
        <f>+INDEX(Sheet1!$N$48:$N$56,COLUMN()-COLUMN($B$69)+1)</f>
        <v>-6500</v>
      </c>
      <c r="I70" s="22">
        <f>+INDEX(Sheet1!$N$48:$N$56,COLUMN()-COLUMN($B$69)+1)</f>
        <v>26000</v>
      </c>
    </row>
    <row r="71" spans="1:9">
      <c r="A71" t="s">
        <v>134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</row>
    <row r="72" spans="1:9">
      <c r="A72" t="s">
        <v>135</v>
      </c>
      <c r="B72">
        <v>100</v>
      </c>
      <c r="C72">
        <v>20</v>
      </c>
      <c r="D72">
        <v>100</v>
      </c>
      <c r="E72">
        <v>100</v>
      </c>
      <c r="F72">
        <v>100</v>
      </c>
      <c r="G72">
        <v>100</v>
      </c>
      <c r="H72">
        <v>100</v>
      </c>
      <c r="I72">
        <v>100</v>
      </c>
    </row>
    <row r="74" spans="1:9">
      <c r="A74" t="s">
        <v>136</v>
      </c>
    </row>
    <row r="75" spans="1:9">
      <c r="A75" t="s">
        <v>237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</row>
    <row r="76" spans="1:9">
      <c r="A76" t="s">
        <v>137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  <row r="77" spans="1:9">
      <c r="A77" t="s">
        <v>138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</row>
    <row r="78" spans="1:9">
      <c r="A78" t="s">
        <v>105</v>
      </c>
    </row>
    <row r="79" spans="1:9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77"/>
  <sheetViews>
    <sheetView topLeftCell="A38" zoomScale="75" zoomScaleNormal="75" workbookViewId="0">
      <selection activeCell="B45" sqref="B45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229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230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3" spans="1:9">
      <c r="A33" t="s">
        <v>105</v>
      </c>
    </row>
    <row r="34" spans="1:9">
      <c r="A34" t="s">
        <v>228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233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226</v>
      </c>
      <c r="B37" s="22">
        <f>+INDEX(Sheet1!$K$59:$K$67,COLUMN()-COLUMN($B$69)+1)</f>
        <v>11.375</v>
      </c>
      <c r="C37" s="22">
        <f>+INDEX(Sheet1!$K$59:$K$67,COLUMN()-COLUMN($B$69)+1)</f>
        <v>11.375</v>
      </c>
      <c r="D37" s="22">
        <f>+INDEX(Sheet1!$K$59:$K$67,COLUMN()-COLUMN($B$69)+1)</f>
        <v>11.375</v>
      </c>
      <c r="E37" s="22">
        <f>+INDEX(Sheet1!$K$59:$K$67,COLUMN()-COLUMN($B$69)+1)</f>
        <v>11.375</v>
      </c>
      <c r="F37" s="22">
        <f>+INDEX(Sheet1!$K$59:$K$67,COLUMN()-COLUMN($B$69)+1)</f>
        <v>706.67</v>
      </c>
      <c r="G37" s="22">
        <f>+INDEX(Sheet1!$K$59:$K$67,COLUMN()-COLUMN($B$69)+1)</f>
        <v>978.46</v>
      </c>
      <c r="H37" s="22">
        <f>+INDEX(Sheet1!$K$59:$K$67,COLUMN()-COLUMN($B$69)+1)</f>
        <v>978.46</v>
      </c>
      <c r="I37" s="22">
        <f>+INDEX(Sheet1!$K$59:$K$67,COLUMN()-COLUMN($B$69)+1)</f>
        <v>6.333333333333333</v>
      </c>
    </row>
    <row r="38" spans="1:9">
      <c r="A38" t="s">
        <v>225</v>
      </c>
      <c r="B38" s="22">
        <f>+INDEX(Sheet1!$D$59:$D$66,COLUMN()-COLUMN($B$69)+1)</f>
        <v>180</v>
      </c>
      <c r="C38" s="22">
        <f>+INDEX(Sheet1!$D$59:$D$66,COLUMN()-COLUMN($B$69)+1)</f>
        <v>45</v>
      </c>
      <c r="D38" s="22">
        <f>+INDEX(Sheet1!$D$59:$D$66,COLUMN()-COLUMN($B$69)+1)</f>
        <v>245.74218089602704</v>
      </c>
      <c r="E38" s="22">
        <f>+INDEX(Sheet1!$D$59:$D$66,COLUMN()-COLUMN($B$69)+1)</f>
        <v>180</v>
      </c>
      <c r="F38" s="22">
        <f>+INDEX(Sheet1!$D$59:$D$66,COLUMN()-COLUMN($B$69)+1)</f>
        <v>90</v>
      </c>
      <c r="G38" s="22">
        <f>+INDEX(Sheet1!$D$59:$D$66,COLUMN()-COLUMN($B$69)+1)</f>
        <v>-20</v>
      </c>
      <c r="H38" s="22">
        <f>+INDEX(Sheet1!$D$59:$D$66,COLUMN()-COLUMN($B$69)+1)</f>
        <v>-52</v>
      </c>
      <c r="I38" s="22">
        <f>+INDEX(Sheet1!$D$59:$D$66,COLUMN()-COLUMN($B$69)+1)</f>
        <v>353.68421052631578</v>
      </c>
    </row>
    <row r="40" spans="1:9">
      <c r="A40" t="s">
        <v>106</v>
      </c>
      <c r="B40">
        <v>0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107</v>
      </c>
    </row>
    <row r="45" spans="1:9">
      <c r="A45" t="s">
        <v>231</v>
      </c>
      <c r="B45" s="22">
        <f>+INDEX(Sheet1!$H$59:$H$67,COLUMN()-COLUMN($B$69)+1)</f>
        <v>10</v>
      </c>
      <c r="C45" s="22">
        <f>+INDEX(Sheet1!$H$59:$H$67,COLUMN()-COLUMN($B$69)+1)</f>
        <v>161</v>
      </c>
      <c r="D45" s="22">
        <f>+INDEX(Sheet1!$H$59:$H$67,COLUMN()-COLUMN($B$69)+1)</f>
        <v>80</v>
      </c>
      <c r="E45" s="22">
        <f>+INDEX(Sheet1!$H$59:$H$67,COLUMN()-COLUMN($B$69)+1)</f>
        <v>106</v>
      </c>
      <c r="F45" s="22">
        <f>+INDEX(Sheet1!$H$59:$H$67,COLUMN()-COLUMN($B$69)+1)</f>
        <v>90</v>
      </c>
      <c r="G45" s="22">
        <f>+INDEX(Sheet1!$H$59:$H$67,COLUMN()-COLUMN($B$69)+1)</f>
        <v>0</v>
      </c>
      <c r="H45" s="22">
        <f>+INDEX(Sheet1!$H$59:$H$67,COLUMN()-COLUMN($B$69)+1)</f>
        <v>40</v>
      </c>
      <c r="I45" s="22">
        <f>+INDEX(Sheet1!$H$59:$H$67,COLUMN()-COLUMN($B$69)+1)</f>
        <v>60</v>
      </c>
    </row>
    <row r="46" spans="1:9">
      <c r="A46" t="s">
        <v>232</v>
      </c>
      <c r="B46" s="22">
        <f>+INDEX(Sheet1!$G$59:$G$66,COLUMN()-COLUMN($B$69)+1)</f>
        <v>-95.5</v>
      </c>
      <c r="C46" s="22">
        <f>+INDEX(Sheet1!$G$59:$G$66,COLUMN()-COLUMN($B$69)+1)</f>
        <v>0</v>
      </c>
      <c r="D46" s="22">
        <f>+INDEX(Sheet1!$G$59:$G$66,COLUMN()-COLUMN($B$69)+1)</f>
        <v>-37</v>
      </c>
      <c r="E46" s="22">
        <f>+INDEX(Sheet1!$G$59:$G$66,COLUMN()-COLUMN($B$69)+1)</f>
        <v>15</v>
      </c>
      <c r="F46" s="22">
        <f>+INDEX(Sheet1!$G$59:$G$66,COLUMN()-COLUMN($B$69)+1)</f>
        <v>-90</v>
      </c>
      <c r="G46" s="22">
        <f>+INDEX(Sheet1!$G$59:$G$66,COLUMN()-COLUMN($B$69)+1)</f>
        <v>-90</v>
      </c>
      <c r="H46" s="22">
        <f>+INDEX(Sheet1!$G$59:$G$66,COLUMN()-COLUMN($B$69)+1)</f>
        <v>-20</v>
      </c>
      <c r="I46" s="22">
        <f>+INDEX(Sheet1!$G$59:$G$66,COLUMN()-COLUMN($B$69)+1)</f>
        <v>0</v>
      </c>
    </row>
    <row r="49" spans="1:9">
      <c r="A49" t="s">
        <v>227</v>
      </c>
    </row>
    <row r="50" spans="1:9">
      <c r="A50" t="s">
        <v>221</v>
      </c>
      <c r="B50" s="22">
        <f>$B$5</f>
        <v>7000</v>
      </c>
      <c r="C50" s="22">
        <f>$B$5</f>
        <v>7000</v>
      </c>
      <c r="D50" s="22">
        <f>$B$5</f>
        <v>7000</v>
      </c>
      <c r="E50" s="22">
        <f>$B$5</f>
        <v>7000</v>
      </c>
      <c r="F50">
        <v>485</v>
      </c>
      <c r="G50">
        <v>485</v>
      </c>
      <c r="H50">
        <v>485</v>
      </c>
      <c r="I50">
        <v>485</v>
      </c>
    </row>
    <row r="52" spans="1:9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9">
      <c r="A53" t="s">
        <v>116</v>
      </c>
    </row>
    <row r="54" spans="1:9">
      <c r="A54" t="s">
        <v>117</v>
      </c>
      <c r="B54">
        <v>32000</v>
      </c>
      <c r="C54">
        <v>50</v>
      </c>
      <c r="D54">
        <v>60</v>
      </c>
      <c r="E54" s="22">
        <f t="shared" ref="E54:F61" si="0">+$B$2</f>
        <v>1333</v>
      </c>
      <c r="F54" s="22">
        <f t="shared" si="0"/>
        <v>1333</v>
      </c>
      <c r="G54">
        <v>13</v>
      </c>
      <c r="H54">
        <v>0</v>
      </c>
    </row>
    <row r="55" spans="1:9">
      <c r="A55" t="s">
        <v>118</v>
      </c>
      <c r="B55">
        <v>32000</v>
      </c>
      <c r="C55">
        <v>50</v>
      </c>
      <c r="D55">
        <v>60</v>
      </c>
      <c r="E55" s="22">
        <f t="shared" si="0"/>
        <v>1333</v>
      </c>
      <c r="F55" s="22">
        <f t="shared" si="0"/>
        <v>1333</v>
      </c>
      <c r="G55">
        <v>13</v>
      </c>
      <c r="H55">
        <v>0</v>
      </c>
    </row>
    <row r="56" spans="1:9">
      <c r="A56" t="s">
        <v>119</v>
      </c>
      <c r="B56">
        <v>10000</v>
      </c>
      <c r="C56">
        <v>0</v>
      </c>
      <c r="D56">
        <v>10</v>
      </c>
      <c r="E56" s="22">
        <f t="shared" si="0"/>
        <v>1333</v>
      </c>
      <c r="F56" s="22">
        <f t="shared" si="0"/>
        <v>1333</v>
      </c>
      <c r="G56">
        <v>13</v>
      </c>
      <c r="H56">
        <v>0</v>
      </c>
    </row>
    <row r="57" spans="1:9">
      <c r="A57" t="s">
        <v>120</v>
      </c>
      <c r="B57">
        <v>32000</v>
      </c>
      <c r="C57">
        <v>20</v>
      </c>
      <c r="D57">
        <v>60</v>
      </c>
      <c r="E57" s="22">
        <f t="shared" si="0"/>
        <v>1333</v>
      </c>
      <c r="F57" s="22">
        <f t="shared" si="0"/>
        <v>1333</v>
      </c>
      <c r="G57">
        <v>13</v>
      </c>
      <c r="H57">
        <v>0</v>
      </c>
    </row>
    <row r="58" spans="1:9">
      <c r="A58" t="s">
        <v>121</v>
      </c>
      <c r="B58">
        <v>200</v>
      </c>
      <c r="C58">
        <v>1000</v>
      </c>
      <c r="D58">
        <v>1</v>
      </c>
      <c r="E58" s="22">
        <f t="shared" si="0"/>
        <v>1333</v>
      </c>
      <c r="F58" s="22">
        <f t="shared" si="0"/>
        <v>1333</v>
      </c>
      <c r="G58">
        <v>6</v>
      </c>
      <c r="H58">
        <v>0</v>
      </c>
    </row>
    <row r="59" spans="1:9">
      <c r="A59" t="s">
        <v>122</v>
      </c>
      <c r="B59">
        <v>100</v>
      </c>
      <c r="C59">
        <v>100</v>
      </c>
      <c r="D59">
        <v>2</v>
      </c>
      <c r="E59" s="22">
        <f t="shared" si="0"/>
        <v>1333</v>
      </c>
      <c r="F59" s="22">
        <f t="shared" si="0"/>
        <v>1333</v>
      </c>
      <c r="G59">
        <v>6</v>
      </c>
      <c r="H59">
        <v>0</v>
      </c>
    </row>
    <row r="60" spans="1:9">
      <c r="A60" t="s">
        <v>123</v>
      </c>
      <c r="B60">
        <v>100</v>
      </c>
      <c r="C60">
        <v>100</v>
      </c>
      <c r="D60">
        <v>2</v>
      </c>
      <c r="E60" s="22">
        <f t="shared" si="0"/>
        <v>1333</v>
      </c>
      <c r="F60" s="22">
        <f t="shared" si="0"/>
        <v>1333</v>
      </c>
      <c r="G60">
        <v>6</v>
      </c>
      <c r="H60">
        <v>0</v>
      </c>
    </row>
    <row r="61" spans="1:9">
      <c r="A61" t="s">
        <v>124</v>
      </c>
      <c r="B61">
        <v>200</v>
      </c>
      <c r="C61">
        <v>200</v>
      </c>
      <c r="D61">
        <v>1</v>
      </c>
      <c r="E61" s="22">
        <f t="shared" si="0"/>
        <v>1333</v>
      </c>
      <c r="F61" s="22">
        <f t="shared" si="0"/>
        <v>1333</v>
      </c>
      <c r="G61">
        <v>4</v>
      </c>
      <c r="H61">
        <v>0</v>
      </c>
    </row>
    <row r="63" spans="1:9">
      <c r="A63" t="s">
        <v>129</v>
      </c>
    </row>
    <row r="64" spans="1:9">
      <c r="A64" t="s">
        <v>227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130</v>
      </c>
      <c r="B65">
        <v>3</v>
      </c>
      <c r="C65">
        <v>3</v>
      </c>
      <c r="D65">
        <v>3</v>
      </c>
      <c r="E65">
        <v>3</v>
      </c>
      <c r="F65">
        <v>0</v>
      </c>
      <c r="G65">
        <v>2</v>
      </c>
      <c r="H65">
        <v>2</v>
      </c>
      <c r="I65">
        <v>3</v>
      </c>
    </row>
    <row r="66" spans="1:9">
      <c r="A66" t="s">
        <v>131</v>
      </c>
      <c r="B66" s="22">
        <f>+INDEX(Sheet1!$L$59:$L$66,COLUMN()-COLUMN($B$69)+1)</f>
        <v>1706.25</v>
      </c>
      <c r="C66" s="22">
        <f>+INDEX(Sheet1!$L$59:$L$66,COLUMN()-COLUMN($B$69)+1)</f>
        <v>853.125</v>
      </c>
      <c r="D66" s="22">
        <f>+INDEX(Sheet1!$L$59:$L$66,COLUMN()-COLUMN($B$69)+1)</f>
        <v>2795.3173076923076</v>
      </c>
      <c r="E66" s="22">
        <f>+INDEX(Sheet1!$L$59:$L$66,COLUMN()-COLUMN($B$69)+1)</f>
        <v>2558</v>
      </c>
      <c r="F66">
        <v>1000</v>
      </c>
      <c r="G66" s="22">
        <f>+INDEX(Sheet1!$L$59:$L$66,COLUMN()-COLUMN($B$69)+1)</f>
        <v>750</v>
      </c>
      <c r="H66" s="22">
        <f>+INDEX(Sheet1!$L$59:$L$66,COLUMN()-COLUMN($B$69)+1)</f>
        <v>750</v>
      </c>
      <c r="I66" s="22">
        <f>+INDEX(Sheet1!$L$59:$L$66,COLUMN()-COLUMN($B$69)+1)</f>
        <v>2240</v>
      </c>
    </row>
    <row r="67" spans="1:9">
      <c r="A67" t="s">
        <v>132</v>
      </c>
      <c r="B67" s="22">
        <f>+INDEX(Sheet1!$M$59:$M$66,COLUMN()-COLUMN($B$69)+1)</f>
        <v>10</v>
      </c>
      <c r="C67" s="22">
        <f>+INDEX(Sheet1!$M$59:$M$66,COLUMN()-COLUMN($B$69)+1)</f>
        <v>10</v>
      </c>
      <c r="D67" s="22">
        <f>+INDEX(Sheet1!$M$59:$M$66,COLUMN()-COLUMN($B$69)+1)</f>
        <v>10</v>
      </c>
      <c r="E67" s="22">
        <f>+INDEX(Sheet1!$M$59:$M$66,COLUMN()-COLUMN($B$69)+1)</f>
        <v>10</v>
      </c>
      <c r="F67" s="22">
        <f>+INDEX(Sheet1!$M$59:$M$66,COLUMN()-COLUMN($B$69)+1)</f>
        <v>-20</v>
      </c>
      <c r="G67" s="22">
        <f>+INDEX(Sheet1!$M$59:$M$66,COLUMN()-COLUMN($B$69)+1)</f>
        <v>10</v>
      </c>
      <c r="H67" s="22">
        <f>+INDEX(Sheet1!$M$59:$M$66,COLUMN()-COLUMN($B$69)+1)</f>
        <v>10</v>
      </c>
      <c r="I67" s="22">
        <f>+INDEX(Sheet1!$M$59:$M$66,COLUMN()-COLUMN($B$69)+1)</f>
        <v>100</v>
      </c>
    </row>
    <row r="68" spans="1:9">
      <c r="A68" t="s">
        <v>133</v>
      </c>
      <c r="B68" s="22">
        <f>+INDEX(Sheet1!$N$59:$N$66,COLUMN()-COLUMN($B$69)+1)</f>
        <v>513.01249999999993</v>
      </c>
      <c r="C68" s="22">
        <f>+INDEX(Sheet1!$N$59:$N$66,COLUMN()-COLUMN($B$69)+1)</f>
        <v>3644.5499999999997</v>
      </c>
      <c r="D68" s="22">
        <f>+INDEX(Sheet1!$N$59:$N$66,COLUMN()-COLUMN($B$69)+1)</f>
        <v>1470.0765625000001</v>
      </c>
      <c r="E68" s="22">
        <f>+INDEX(Sheet1!$N$59:$N$66,COLUMN()-COLUMN($B$69)+1)</f>
        <v>2596.9124999999999</v>
      </c>
      <c r="F68" s="22">
        <f>+INDEX(Sheet1!$N$59:$N$66,COLUMN()-COLUMN($B$69)+1)</f>
        <v>0</v>
      </c>
      <c r="G68" s="22">
        <f>+INDEX(Sheet1!$N$59:$N$66,COLUMN()-COLUMN($B$69)+1)</f>
        <v>0</v>
      </c>
      <c r="H68" s="22">
        <f>+INDEX(Sheet1!$N$59:$N$66,COLUMN()-COLUMN($B$69)+1)</f>
        <v>0</v>
      </c>
      <c r="I68" s="22">
        <f>+INDEX(Sheet1!$N$59:$N$66,COLUMN()-COLUMN($B$69)+1)</f>
        <v>0</v>
      </c>
    </row>
    <row r="69" spans="1:9">
      <c r="A69" t="s">
        <v>134</v>
      </c>
      <c r="B69">
        <v>-30</v>
      </c>
      <c r="C69">
        <v>30</v>
      </c>
      <c r="D69">
        <v>0</v>
      </c>
      <c r="E69">
        <v>45</v>
      </c>
      <c r="F69">
        <v>0</v>
      </c>
      <c r="G69">
        <v>0</v>
      </c>
      <c r="H69">
        <v>0</v>
      </c>
      <c r="I69">
        <v>0</v>
      </c>
    </row>
    <row r="70" spans="1:9">
      <c r="A70" t="s">
        <v>135</v>
      </c>
      <c r="B70">
        <v>10</v>
      </c>
      <c r="C70">
        <v>10</v>
      </c>
      <c r="D70">
        <v>10</v>
      </c>
      <c r="E70">
        <v>10</v>
      </c>
      <c r="F70">
        <v>30</v>
      </c>
      <c r="G70">
        <v>30</v>
      </c>
      <c r="H70">
        <v>30</v>
      </c>
      <c r="I70">
        <v>100</v>
      </c>
    </row>
    <row r="72" spans="1:9">
      <c r="A72" t="s">
        <v>136</v>
      </c>
    </row>
    <row r="73" spans="1:9">
      <c r="A73" t="s">
        <v>227</v>
      </c>
      <c r="B73">
        <v>0</v>
      </c>
      <c r="C73">
        <v>1</v>
      </c>
      <c r="D73">
        <v>2</v>
      </c>
      <c r="E73">
        <v>3</v>
      </c>
      <c r="F73">
        <v>4</v>
      </c>
      <c r="G73">
        <v>5</v>
      </c>
      <c r="H73">
        <v>6</v>
      </c>
      <c r="I73">
        <v>7</v>
      </c>
    </row>
    <row r="74" spans="1:9">
      <c r="A74" t="s">
        <v>137</v>
      </c>
      <c r="B74">
        <v>-30</v>
      </c>
      <c r="C74">
        <v>30</v>
      </c>
      <c r="D74">
        <v>0</v>
      </c>
      <c r="E74">
        <v>45</v>
      </c>
      <c r="F74">
        <v>0</v>
      </c>
      <c r="G74">
        <v>0</v>
      </c>
      <c r="H74">
        <v>40</v>
      </c>
      <c r="I74">
        <v>0</v>
      </c>
    </row>
    <row r="75" spans="1:9">
      <c r="A75" t="s">
        <v>138</v>
      </c>
      <c r="B75">
        <v>10</v>
      </c>
      <c r="C75">
        <v>10</v>
      </c>
      <c r="D75">
        <v>10</v>
      </c>
      <c r="E75">
        <v>10</v>
      </c>
      <c r="F75">
        <v>10</v>
      </c>
      <c r="G75">
        <v>10</v>
      </c>
      <c r="H75">
        <v>10</v>
      </c>
      <c r="I75">
        <v>10</v>
      </c>
    </row>
    <row r="76" spans="1:9">
      <c r="A76" t="s">
        <v>105</v>
      </c>
    </row>
    <row r="77" spans="1:9">
      <c r="A77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6:I82"/>
  <sheetViews>
    <sheetView topLeftCell="A31" zoomScale="75" zoomScaleNormal="75" workbookViewId="0">
      <selection activeCell="B51" sqref="B51:I52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6" spans="1:6">
      <c r="A6" s="16" t="s">
        <v>78</v>
      </c>
      <c r="B6" s="17">
        <v>1333</v>
      </c>
      <c r="D6" t="s">
        <v>79</v>
      </c>
      <c r="F6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102</v>
      </c>
    </row>
    <row r="33" spans="1:9">
      <c r="A33" t="s">
        <v>103</v>
      </c>
      <c r="B33">
        <v>8</v>
      </c>
      <c r="C33" t="s">
        <v>104</v>
      </c>
    </row>
    <row r="34" spans="1:9">
      <c r="A34" t="s">
        <v>240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239</v>
      </c>
      <c r="B35">
        <v>100</v>
      </c>
      <c r="C35">
        <v>100</v>
      </c>
      <c r="D35">
        <v>100</v>
      </c>
      <c r="E35">
        <v>100</v>
      </c>
      <c r="F35">
        <v>100</v>
      </c>
      <c r="G35">
        <v>100</v>
      </c>
      <c r="H35">
        <v>100</v>
      </c>
      <c r="I35">
        <v>100</v>
      </c>
    </row>
    <row r="36" spans="1:9">
      <c r="A36" t="s">
        <v>105</v>
      </c>
    </row>
    <row r="37" spans="1:9">
      <c r="A37" t="s">
        <v>228</v>
      </c>
      <c r="B37">
        <v>0</v>
      </c>
      <c r="C37">
        <v>1</v>
      </c>
      <c r="D37">
        <v>2</v>
      </c>
      <c r="E37">
        <v>3</v>
      </c>
      <c r="F37">
        <v>4</v>
      </c>
      <c r="G37">
        <v>5</v>
      </c>
      <c r="H37">
        <v>6</v>
      </c>
      <c r="I37">
        <v>7</v>
      </c>
    </row>
    <row r="38" spans="1:9">
      <c r="A38" t="s">
        <v>217</v>
      </c>
      <c r="B38">
        <v>0</v>
      </c>
      <c r="C38">
        <v>1</v>
      </c>
      <c r="D38">
        <v>2</v>
      </c>
      <c r="E38">
        <v>3</v>
      </c>
      <c r="F38">
        <v>4</v>
      </c>
      <c r="G38">
        <v>5</v>
      </c>
      <c r="H38">
        <v>6</v>
      </c>
      <c r="I38">
        <v>7</v>
      </c>
    </row>
    <row r="40" spans="1:9">
      <c r="A40" t="s">
        <v>238</v>
      </c>
      <c r="B40" s="39">
        <f>+INDEX(Sheet1!$K$70:$K$77,COLUMN()-COLUMN($B$71)+1)</f>
        <v>12.5</v>
      </c>
      <c r="C40" s="39">
        <f>+INDEX(Sheet1!$K$70:$K$77,COLUMN()-COLUMN($B$71)+1)</f>
        <v>-2.6666666666666665</v>
      </c>
      <c r="D40" s="39">
        <f>+INDEX(Sheet1!$K$70:$K$77,COLUMN()-COLUMN($B$71)+1)</f>
        <v>-2.2222222222222223</v>
      </c>
      <c r="E40" s="39">
        <f>+INDEX(Sheet1!$K$70:$K$77,COLUMN()-COLUMN($B$71)+1)</f>
        <v>-2.6666666666666665</v>
      </c>
      <c r="F40" s="39">
        <f>+INDEX(Sheet1!$K$70:$K$77,COLUMN()-COLUMN($B$71)+1)</f>
        <v>-2.6666666666666665</v>
      </c>
      <c r="G40" s="39">
        <f>+INDEX(Sheet1!$K$70:$K$77,COLUMN()-COLUMN($B$71)+1)</f>
        <v>-2.5</v>
      </c>
      <c r="H40" s="39">
        <f>+INDEX(Sheet1!$K$70:$K$77,COLUMN()-COLUMN($B$71)+1)</f>
        <v>-2.5833333333333335</v>
      </c>
      <c r="I40" s="39">
        <f>+INDEX(Sheet1!$K$70:$K$77,COLUMN()-COLUMN($B$71)+1)</f>
        <v>-2.2962962962962963</v>
      </c>
    </row>
    <row r="41" spans="1:9">
      <c r="A41" t="s">
        <v>225</v>
      </c>
      <c r="B41" s="39">
        <f>+INDEX(Sheet1!$D$70:$D$77,COLUMN()-COLUMN($B$71)+1)</f>
        <v>114</v>
      </c>
      <c r="C41" s="39">
        <f>+INDEX(Sheet1!$D$70:$D$77,COLUMN()-COLUMN($B$71)+1)</f>
        <v>-93.75</v>
      </c>
      <c r="D41" s="39">
        <f>+INDEX(Sheet1!$D$70:$D$77,COLUMN()-COLUMN($B$71)+1)</f>
        <v>-202.5</v>
      </c>
      <c r="E41" s="39">
        <f>+INDEX(Sheet1!$D$70:$D$77,COLUMN()-COLUMN($B$71)+1)</f>
        <v>-93.75</v>
      </c>
      <c r="F41" s="39">
        <f>+INDEX(Sheet1!$D$70:$D$77,COLUMN()-COLUMN($B$71)+1)</f>
        <v>-183.75</v>
      </c>
      <c r="G41" s="39">
        <f>+INDEX(Sheet1!$D$70:$D$77,COLUMN()-COLUMN($B$71)+1)</f>
        <v>-100</v>
      </c>
      <c r="H41" s="39">
        <f>+INDEX(Sheet1!$D$70:$D$77,COLUMN()-COLUMN($B$71)+1)</f>
        <v>-187.74193548387095</v>
      </c>
      <c r="I41" s="39">
        <f>+INDEX(Sheet1!$D$70:$D$77,COLUMN()-COLUMN($B$71)+1)</f>
        <v>-313.54838709677421</v>
      </c>
    </row>
    <row r="43" spans="1:9">
      <c r="A43" t="s">
        <v>106</v>
      </c>
      <c r="B43">
        <v>0</v>
      </c>
    </row>
    <row r="46" spans="1:9">
      <c r="A46" t="s">
        <v>151</v>
      </c>
    </row>
    <row r="47" spans="1:9">
      <c r="A47" t="s">
        <v>241</v>
      </c>
      <c r="B47">
        <v>8</v>
      </c>
      <c r="C47">
        <v>8</v>
      </c>
      <c r="D47">
        <v>8</v>
      </c>
      <c r="E47">
        <v>8</v>
      </c>
      <c r="F47">
        <v>8</v>
      </c>
      <c r="G47">
        <v>8</v>
      </c>
      <c r="H47">
        <v>8</v>
      </c>
      <c r="I47">
        <v>8</v>
      </c>
    </row>
    <row r="49" spans="1:9">
      <c r="A49" t="s">
        <v>152</v>
      </c>
    </row>
    <row r="50" spans="1:9">
      <c r="A50" t="s">
        <v>242</v>
      </c>
      <c r="B50">
        <v>0</v>
      </c>
      <c r="C50">
        <v>1</v>
      </c>
      <c r="D50">
        <v>2</v>
      </c>
      <c r="E50">
        <v>3</v>
      </c>
      <c r="F50">
        <v>4</v>
      </c>
      <c r="G50">
        <v>5</v>
      </c>
      <c r="H50">
        <v>6</v>
      </c>
      <c r="I50">
        <v>7</v>
      </c>
    </row>
    <row r="51" spans="1:9">
      <c r="A51" t="s">
        <v>234</v>
      </c>
      <c r="B51" s="22">
        <f>+INDEX(Sheet1!$H$70:$H$77,COLUMN()-COLUMN($B$71)+1)</f>
        <v>90</v>
      </c>
      <c r="C51" s="22">
        <f>+INDEX(Sheet1!$H$70:$H$77,COLUMN()-COLUMN($B$71)+1)</f>
        <v>90</v>
      </c>
      <c r="D51" s="22">
        <f>+INDEX(Sheet1!$H$70:$H$77,COLUMN()-COLUMN($B$71)+1)</f>
        <v>180</v>
      </c>
      <c r="E51" s="22">
        <f>+INDEX(Sheet1!$H$70:$H$77,COLUMN()-COLUMN($B$71)+1)</f>
        <v>90</v>
      </c>
      <c r="F51" s="22">
        <f>+INDEX(Sheet1!$H$70:$H$77,COLUMN()-COLUMN($B$71)+1)</f>
        <v>180</v>
      </c>
      <c r="G51" s="22">
        <f>+INDEX(Sheet1!$H$70:$H$77,COLUMN()-COLUMN($B$71)+1)</f>
        <v>90</v>
      </c>
      <c r="H51" s="22">
        <f>+INDEX(Sheet1!$H$70:$H$77,COLUMN()-COLUMN($B$71)+1)</f>
        <v>180</v>
      </c>
      <c r="I51" s="22">
        <f>+INDEX(Sheet1!$H$70:$H$77,COLUMN()-COLUMN($B$71)+1)</f>
        <v>270</v>
      </c>
    </row>
    <row r="52" spans="1:9">
      <c r="A52" t="s">
        <v>235</v>
      </c>
      <c r="B52" s="22">
        <f>+INDEX(Sheet1!$G$70:$G$77,COLUMN()-COLUMN($B$71)+1)</f>
        <v>-10</v>
      </c>
      <c r="C52" s="22">
        <f>+INDEX(Sheet1!$G$70:$G$77,COLUMN()-COLUMN($B$71)+1)</f>
        <v>0</v>
      </c>
      <c r="D52" s="22">
        <f>+INDEX(Sheet1!$G$70:$G$77,COLUMN()-COLUMN($B$71)+1)</f>
        <v>0</v>
      </c>
      <c r="E52" s="22">
        <f>+INDEX(Sheet1!$G$70:$G$77,COLUMN()-COLUMN($B$71)+1)</f>
        <v>0</v>
      </c>
      <c r="F52" s="22">
        <f>+INDEX(Sheet1!$G$70:$G$77,COLUMN()-COLUMN($B$71)+1)</f>
        <v>0</v>
      </c>
      <c r="G52" s="22">
        <f>+INDEX(Sheet1!$G$70:$G$77,COLUMN()-COLUMN($B$71)+1)</f>
        <v>0</v>
      </c>
      <c r="H52" s="22">
        <f>+INDEX(Sheet1!$G$70:$G$77,COLUMN()-COLUMN($B$71)+1)</f>
        <v>0</v>
      </c>
      <c r="I52" s="22">
        <f>+INDEX(Sheet1!$G$70:$G$77,COLUMN()-COLUMN($B$71)+1)</f>
        <v>0</v>
      </c>
    </row>
    <row r="54" spans="1:9">
      <c r="A54" t="s">
        <v>236</v>
      </c>
      <c r="B54">
        <v>485</v>
      </c>
      <c r="C54">
        <v>485</v>
      </c>
      <c r="D54">
        <v>485</v>
      </c>
      <c r="E54">
        <v>485</v>
      </c>
      <c r="F54">
        <v>485</v>
      </c>
      <c r="G54">
        <v>485</v>
      </c>
      <c r="H54">
        <v>485</v>
      </c>
      <c r="I54">
        <v>485</v>
      </c>
    </row>
    <row r="56" spans="1:9">
      <c r="A56" t="s">
        <v>116</v>
      </c>
    </row>
    <row r="57" spans="1:9">
      <c r="A57" t="s">
        <v>108</v>
      </c>
      <c r="B57" t="s">
        <v>109</v>
      </c>
      <c r="C57" t="s">
        <v>110</v>
      </c>
      <c r="D57" t="s">
        <v>111</v>
      </c>
      <c r="E57" t="s">
        <v>112</v>
      </c>
      <c r="F57" t="s">
        <v>113</v>
      </c>
      <c r="G57" t="s">
        <v>114</v>
      </c>
      <c r="H57" t="s">
        <v>115</v>
      </c>
    </row>
    <row r="58" spans="1:9">
      <c r="A58" t="s">
        <v>116</v>
      </c>
    </row>
    <row r="59" spans="1:9">
      <c r="A59" t="s">
        <v>117</v>
      </c>
      <c r="B59">
        <v>-250</v>
      </c>
      <c r="C59">
        <v>-32000</v>
      </c>
      <c r="D59">
        <v>0</v>
      </c>
      <c r="E59" s="22">
        <f t="shared" ref="E59:F66" si="0">+$B$6</f>
        <v>1333</v>
      </c>
      <c r="F59" s="22">
        <f t="shared" si="0"/>
        <v>1333</v>
      </c>
      <c r="G59">
        <v>3</v>
      </c>
      <c r="H59">
        <v>0</v>
      </c>
    </row>
    <row r="60" spans="1:9">
      <c r="A60" t="s">
        <v>118</v>
      </c>
      <c r="B60">
        <v>-250</v>
      </c>
      <c r="C60">
        <v>-32000</v>
      </c>
      <c r="D60">
        <v>0</v>
      </c>
      <c r="E60" s="22">
        <f t="shared" si="0"/>
        <v>1333</v>
      </c>
      <c r="F60" s="22">
        <f t="shared" si="0"/>
        <v>1333</v>
      </c>
      <c r="G60">
        <v>3</v>
      </c>
      <c r="H60">
        <v>0</v>
      </c>
    </row>
    <row r="61" spans="1:9">
      <c r="A61" t="s">
        <v>119</v>
      </c>
      <c r="B61">
        <v>250</v>
      </c>
      <c r="C61">
        <v>32000</v>
      </c>
      <c r="D61">
        <v>0</v>
      </c>
      <c r="E61" s="22">
        <f t="shared" si="0"/>
        <v>1333</v>
      </c>
      <c r="F61" s="22">
        <f t="shared" si="0"/>
        <v>1333</v>
      </c>
      <c r="G61">
        <v>3</v>
      </c>
      <c r="H61">
        <v>0</v>
      </c>
    </row>
    <row r="62" spans="1:9">
      <c r="A62" t="s">
        <v>120</v>
      </c>
      <c r="B62">
        <v>-250</v>
      </c>
      <c r="C62">
        <v>-32000</v>
      </c>
      <c r="D62">
        <v>0</v>
      </c>
      <c r="E62" s="22">
        <f t="shared" si="0"/>
        <v>1333</v>
      </c>
      <c r="F62" s="22">
        <f t="shared" si="0"/>
        <v>1333</v>
      </c>
      <c r="G62">
        <v>3</v>
      </c>
      <c r="H62">
        <v>0</v>
      </c>
    </row>
    <row r="63" spans="1:9">
      <c r="A63" t="s">
        <v>121</v>
      </c>
      <c r="B63">
        <v>-250</v>
      </c>
      <c r="C63">
        <v>-32000</v>
      </c>
      <c r="D63">
        <v>0</v>
      </c>
      <c r="E63" s="22">
        <f t="shared" si="0"/>
        <v>1333</v>
      </c>
      <c r="F63" s="22">
        <f t="shared" si="0"/>
        <v>1333</v>
      </c>
      <c r="G63">
        <v>3</v>
      </c>
      <c r="H63">
        <v>0</v>
      </c>
    </row>
    <row r="64" spans="1:9">
      <c r="A64" t="s">
        <v>122</v>
      </c>
      <c r="B64">
        <v>-250</v>
      </c>
      <c r="C64">
        <v>-32000</v>
      </c>
      <c r="D64">
        <v>0</v>
      </c>
      <c r="E64" s="22">
        <f t="shared" si="0"/>
        <v>1333</v>
      </c>
      <c r="F64" s="22">
        <f t="shared" si="0"/>
        <v>1333</v>
      </c>
      <c r="G64">
        <v>3</v>
      </c>
      <c r="H64">
        <v>0</v>
      </c>
    </row>
    <row r="65" spans="1:9">
      <c r="A65" t="s">
        <v>123</v>
      </c>
      <c r="B65">
        <v>250</v>
      </c>
      <c r="C65">
        <v>32000</v>
      </c>
      <c r="D65">
        <v>0</v>
      </c>
      <c r="E65" s="22">
        <f t="shared" si="0"/>
        <v>1333</v>
      </c>
      <c r="F65" s="22">
        <f t="shared" si="0"/>
        <v>1333</v>
      </c>
      <c r="G65">
        <v>3</v>
      </c>
      <c r="H65">
        <v>0</v>
      </c>
    </row>
    <row r="66" spans="1:9">
      <c r="A66" t="s">
        <v>124</v>
      </c>
      <c r="B66">
        <v>-120</v>
      </c>
      <c r="C66">
        <v>-1250</v>
      </c>
      <c r="D66">
        <v>0</v>
      </c>
      <c r="E66" s="22">
        <f t="shared" si="0"/>
        <v>1333</v>
      </c>
      <c r="F66" s="22">
        <f t="shared" si="0"/>
        <v>1333</v>
      </c>
      <c r="G66">
        <v>3</v>
      </c>
      <c r="H66">
        <v>0</v>
      </c>
    </row>
    <row r="68" spans="1:9">
      <c r="A68" t="s">
        <v>129</v>
      </c>
    </row>
    <row r="69" spans="1:9">
      <c r="A69" t="s">
        <v>237</v>
      </c>
      <c r="B69">
        <v>0</v>
      </c>
      <c r="C69">
        <v>1</v>
      </c>
      <c r="D69">
        <v>2</v>
      </c>
      <c r="E69">
        <v>3</v>
      </c>
      <c r="F69">
        <v>4</v>
      </c>
      <c r="G69">
        <v>5</v>
      </c>
      <c r="H69">
        <v>6</v>
      </c>
      <c r="I69">
        <v>7</v>
      </c>
    </row>
    <row r="70" spans="1:9">
      <c r="A70" t="s">
        <v>130</v>
      </c>
      <c r="B70">
        <v>3</v>
      </c>
      <c r="C70">
        <v>4</v>
      </c>
      <c r="D70">
        <v>4</v>
      </c>
      <c r="E70">
        <v>4</v>
      </c>
      <c r="F70">
        <v>4</v>
      </c>
      <c r="G70">
        <v>4</v>
      </c>
      <c r="H70">
        <v>4</v>
      </c>
      <c r="I70">
        <v>4</v>
      </c>
    </row>
    <row r="71" spans="1:9">
      <c r="A71" t="s">
        <v>131</v>
      </c>
      <c r="B71" s="22">
        <f>+INDEX(Sheet1!$L$70:$L$77,COLUMN()-COLUMN($B$69)+1)</f>
        <v>1425</v>
      </c>
      <c r="C71" s="22">
        <f>+INDEX(Sheet1!$L$70:$L$77,COLUMN()-COLUMN($B$69)+1)</f>
        <v>250</v>
      </c>
      <c r="D71" s="22">
        <f>+INDEX(Sheet1!$L$70:$L$77,COLUMN()-COLUMN($B$69)+1)</f>
        <v>50</v>
      </c>
      <c r="E71" s="22">
        <f>+INDEX(Sheet1!$L$70:$L$77,COLUMN()-COLUMN($B$69)+1)</f>
        <v>250</v>
      </c>
      <c r="F71" s="22">
        <f>+INDEX(Sheet1!$L$70:$L$77,COLUMN()-COLUMN($B$69)+1)</f>
        <v>10</v>
      </c>
      <c r="G71" s="22">
        <f>+INDEX(Sheet1!$L$70:$L$77,COLUMN()-COLUMN($B$69)+1)</f>
        <v>250</v>
      </c>
      <c r="H71" s="22">
        <f>+INDEX(Sheet1!$L$70:$L$77,COLUMN()-COLUMN($B$69)+1)</f>
        <v>20</v>
      </c>
      <c r="I71" s="22">
        <f>+INDEX(Sheet1!$L$70:$L$77,COLUMN()-COLUMN($B$69)+1)</f>
        <v>738</v>
      </c>
    </row>
    <row r="72" spans="1:9">
      <c r="A72" t="s">
        <v>132</v>
      </c>
      <c r="B72" s="22">
        <f>+INDEX(Sheet1!$M$70:$M$77,COLUMN()-COLUMN($B$69)+1)</f>
        <v>10</v>
      </c>
      <c r="C72" s="22">
        <f>+INDEX(Sheet1!$M$70:$M$77,COLUMN()-COLUMN($B$69)+1)</f>
        <v>10</v>
      </c>
      <c r="D72" s="22">
        <f>+INDEX(Sheet1!$M$70:$M$77,COLUMN()-COLUMN($B$69)+1)</f>
        <v>10</v>
      </c>
      <c r="E72" s="22">
        <f>+INDEX(Sheet1!$M$70:$M$77,COLUMN()-COLUMN($B$69)+1)</f>
        <v>10</v>
      </c>
      <c r="F72" s="22">
        <f>+INDEX(Sheet1!$M$70:$M$77,COLUMN()-COLUMN($B$69)+1)</f>
        <v>10</v>
      </c>
      <c r="G72" s="22">
        <f>+INDEX(Sheet1!$M$70:$M$77,COLUMN()-COLUMN($B$69)+1)</f>
        <v>10</v>
      </c>
      <c r="H72" s="22">
        <f>+INDEX(Sheet1!$M$70:$M$77,COLUMN()-COLUMN($B$69)+1)</f>
        <v>10</v>
      </c>
      <c r="I72" s="22">
        <f>+INDEX(Sheet1!$M$70:$M$77,COLUMN()-COLUMN($B$69)+1)</f>
        <v>10</v>
      </c>
    </row>
    <row r="73" spans="1:9">
      <c r="A73" t="s">
        <v>133</v>
      </c>
      <c r="B73" s="22">
        <f>+INDEX(Sheet1!$N$70:$N$77,COLUMN()-COLUMN($B$69)+1)</f>
        <v>0</v>
      </c>
      <c r="C73" s="22">
        <f>+INDEX(Sheet1!$N$70:$N$77,COLUMN()-COLUMN($B$69)+1)</f>
        <v>6000</v>
      </c>
      <c r="D73" s="22">
        <f>+INDEX(Sheet1!$N$70:$N$77,COLUMN()-COLUMN($B$69)+1)</f>
        <v>6600</v>
      </c>
      <c r="E73" s="22">
        <f>+INDEX(Sheet1!$N$70:$N$77,COLUMN()-COLUMN($B$69)+1)</f>
        <v>6000</v>
      </c>
      <c r="F73" s="22">
        <f>+INDEX(Sheet1!$N$70:$N$77,COLUMN()-COLUMN($B$69)+1)</f>
        <v>-6600</v>
      </c>
      <c r="G73" s="22">
        <f>+INDEX(Sheet1!$N$70:$N$77,COLUMN()-COLUMN($B$69)+1)</f>
        <v>6000</v>
      </c>
      <c r="H73" s="22">
        <f>+INDEX(Sheet1!$N$70:$N$77,COLUMN()-COLUMN($B$69)+1)</f>
        <v>6600</v>
      </c>
      <c r="I73" s="22">
        <f>+INDEX(Sheet1!$N$70:$N$77,COLUMN()-COLUMN($B$69)+1)</f>
        <v>26000</v>
      </c>
    </row>
    <row r="74" spans="1:9">
      <c r="A74" t="s">
        <v>134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</row>
    <row r="75" spans="1:9">
      <c r="A75" t="s">
        <v>135</v>
      </c>
      <c r="B75">
        <v>100</v>
      </c>
      <c r="C75">
        <v>20</v>
      </c>
      <c r="D75">
        <v>100</v>
      </c>
      <c r="E75">
        <v>100</v>
      </c>
      <c r="F75">
        <v>100</v>
      </c>
      <c r="G75">
        <v>100</v>
      </c>
      <c r="H75">
        <v>100</v>
      </c>
      <c r="I75">
        <v>100</v>
      </c>
    </row>
    <row r="77" spans="1:9">
      <c r="A77" t="s">
        <v>136</v>
      </c>
    </row>
    <row r="78" spans="1:9">
      <c r="A78" t="s">
        <v>237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137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</row>
    <row r="80" spans="1:9">
      <c r="A80" t="s">
        <v>138</v>
      </c>
      <c r="B80">
        <v>10</v>
      </c>
      <c r="C80">
        <v>10</v>
      </c>
      <c r="D80">
        <v>10</v>
      </c>
      <c r="E80">
        <v>10</v>
      </c>
      <c r="F80">
        <v>10</v>
      </c>
      <c r="G80">
        <v>10</v>
      </c>
      <c r="H80">
        <v>10</v>
      </c>
      <c r="I80">
        <v>10</v>
      </c>
    </row>
    <row r="81" spans="1:1">
      <c r="A81" t="s">
        <v>105</v>
      </c>
    </row>
    <row r="82" spans="1:1">
      <c r="A8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60" zoomScale="85" zoomScaleNormal="85" workbookViewId="0">
      <selection activeCell="E80" sqref="E80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239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243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244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250</v>
      </c>
      <c r="B38" s="22">
        <f>+INDEX(Sheet1!$D$24:$D$34,COLUMN()-COLUMN($B$59)+1)</f>
        <v>32</v>
      </c>
      <c r="C38" s="22">
        <f>+INDEX(Sheet1!$D$24:$D$34,COLUMN()-COLUMN($B$59)+1)</f>
        <v>54</v>
      </c>
      <c r="D38" s="22">
        <f>+INDEX(Sheet1!$D$24:$D$34,COLUMN()-COLUMN($B$59)+1)</f>
        <v>53.5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245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246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247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248</v>
      </c>
      <c r="B50">
        <v>485</v>
      </c>
      <c r="C50">
        <v>485</v>
      </c>
      <c r="D50">
        <v>485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249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602.875</v>
      </c>
      <c r="I70" s="22">
        <f>+INDEX(Sheet1!$N$24:$N34,COLUMN()-COLUMN($B$69)+1)</f>
        <v>2634.45</v>
      </c>
      <c r="J70" s="22">
        <f>+INDEX(Sheet1!$N$24:$N34,COLUMN()-COLUMN($B$69)+1)</f>
        <v>2932.4749999999999</v>
      </c>
      <c r="K70" s="22">
        <f>+INDEX(Sheet1!$N$24:$N34,COLUMN()-COLUMN($B$69)+1)</f>
        <v>0</v>
      </c>
    </row>
    <row r="71" spans="1:11">
      <c r="A71" t="s">
        <v>134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>
      <c r="A72" t="s">
        <v>135</v>
      </c>
      <c r="B72">
        <v>10</v>
      </c>
      <c r="C72">
        <v>10</v>
      </c>
      <c r="D72">
        <v>10</v>
      </c>
      <c r="E72">
        <v>10</v>
      </c>
      <c r="F72">
        <v>10</v>
      </c>
      <c r="G72">
        <v>10</v>
      </c>
      <c r="H72">
        <v>10</v>
      </c>
      <c r="I72">
        <v>10</v>
      </c>
      <c r="J72">
        <v>10</v>
      </c>
      <c r="K72">
        <v>10</v>
      </c>
    </row>
    <row r="74" spans="1:11">
      <c r="A74" t="s">
        <v>136</v>
      </c>
    </row>
    <row r="75" spans="1:11">
      <c r="A75" t="s">
        <v>249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>
        <v>-40</v>
      </c>
      <c r="C76">
        <v>0</v>
      </c>
      <c r="D76">
        <v>0</v>
      </c>
      <c r="E76">
        <v>0</v>
      </c>
      <c r="F76">
        <v>-10</v>
      </c>
      <c r="G76">
        <v>0</v>
      </c>
      <c r="H76">
        <v>0</v>
      </c>
      <c r="I76">
        <v>0</v>
      </c>
      <c r="J76">
        <v>-15</v>
      </c>
      <c r="K76">
        <v>0</v>
      </c>
    </row>
    <row r="77" spans="1:11">
      <c r="A77" t="s">
        <v>138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  <c r="J77">
        <v>10</v>
      </c>
      <c r="K77">
        <v>10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14" zoomScale="85" zoomScaleNormal="85" workbookViewId="0">
      <selection activeCell="A24" sqref="A24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223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602.875</v>
      </c>
      <c r="C25">
        <f>Head_Torso!I70</f>
        <v>2634.45</v>
      </c>
      <c r="D25">
        <f>Head_Torso!J70</f>
        <v>2932.4749999999999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-15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Left_arm!B66</f>
        <v>3</v>
      </c>
      <c r="C35">
        <f>Left_arm!C66</f>
        <v>3</v>
      </c>
      <c r="D35">
        <f>Left_arm!D66</f>
        <v>3</v>
      </c>
      <c r="E35">
        <f>Left_arm!E66</f>
        <v>3</v>
      </c>
      <c r="F35">
        <f>Left_arm!F66</f>
        <v>0</v>
      </c>
      <c r="G35">
        <f>Left_arm!G66</f>
        <v>2</v>
      </c>
      <c r="H35">
        <f>Left_arm!H66</f>
        <v>2</v>
      </c>
      <c r="I35">
        <f>Left_arm!I66</f>
        <v>3</v>
      </c>
      <c r="J35">
        <f>Left_hand!B67</f>
        <v>3</v>
      </c>
      <c r="K35">
        <f>Left_hand!C67</f>
        <v>4</v>
      </c>
      <c r="L35">
        <f>Left_hand!D67</f>
        <v>4</v>
      </c>
      <c r="M35">
        <f>Left_hand!E67</f>
        <v>4</v>
      </c>
      <c r="N35">
        <f>Left_hand!F67</f>
        <v>4</v>
      </c>
      <c r="O35">
        <f>Left_hand!G67</f>
        <v>4</v>
      </c>
      <c r="P35">
        <f>Left_hand!H67</f>
        <v>4</v>
      </c>
      <c r="Q35">
        <f>Left_hand!I67</f>
        <v>4</v>
      </c>
    </row>
    <row r="36" spans="1:17">
      <c r="A36" t="s">
        <v>196</v>
      </c>
      <c r="B36">
        <f>Left_arm!B67</f>
        <v>2388.75</v>
      </c>
      <c r="C36">
        <f>Left_arm!C67</f>
        <v>3241.875</v>
      </c>
      <c r="D36">
        <f>Left_arm!D67</f>
        <v>-275.93269230769238</v>
      </c>
      <c r="E36">
        <f>Left_arm!E67</f>
        <v>1532</v>
      </c>
      <c r="F36">
        <f>Left_arm!F67</f>
        <v>1000</v>
      </c>
      <c r="G36">
        <f>Left_arm!G67</f>
        <v>750</v>
      </c>
      <c r="H36">
        <f>Left_arm!H67</f>
        <v>750</v>
      </c>
      <c r="I36">
        <f>Left_arm!I67</f>
        <v>1600</v>
      </c>
      <c r="J36">
        <f>Left_hand!B68</f>
        <v>918.99999999999989</v>
      </c>
      <c r="K36">
        <f>Left_hand!C68</f>
        <v>245</v>
      </c>
      <c r="L36">
        <f>Left_hand!D68</f>
        <v>10</v>
      </c>
      <c r="M36">
        <f>Left_hand!E68</f>
        <v>244</v>
      </c>
      <c r="N36">
        <f>Left_hand!F68</f>
        <v>20</v>
      </c>
      <c r="O36">
        <f>Left_hand!G68</f>
        <v>250</v>
      </c>
      <c r="P36">
        <f>Left_hand!H68</f>
        <v>52</v>
      </c>
      <c r="Q36">
        <f>Left_hand!I68</f>
        <v>685</v>
      </c>
    </row>
    <row r="37" spans="1:17">
      <c r="A37" t="s">
        <v>197</v>
      </c>
      <c r="B37">
        <f>Left_arm!B68</f>
        <v>10</v>
      </c>
      <c r="C37">
        <f>Left_arm!C68</f>
        <v>10</v>
      </c>
      <c r="D37">
        <f>Left_arm!D68</f>
        <v>10</v>
      </c>
      <c r="E37">
        <f>Left_arm!E68</f>
        <v>10</v>
      </c>
      <c r="F37">
        <f>Left_arm!F68</f>
        <v>20</v>
      </c>
      <c r="G37">
        <f>Left_arm!G68</f>
        <v>-10</v>
      </c>
      <c r="H37">
        <f>Left_arm!H68</f>
        <v>-10</v>
      </c>
      <c r="I37">
        <f>Left_arm!I68</f>
        <v>100</v>
      </c>
      <c r="J37">
        <f>Left_hand!B69</f>
        <v>10</v>
      </c>
      <c r="K37">
        <f>Left_hand!C69</f>
        <v>10</v>
      </c>
      <c r="L37">
        <f>Left_hand!D69</f>
        <v>10</v>
      </c>
      <c r="M37">
        <f>Left_hand!E69</f>
        <v>10</v>
      </c>
      <c r="N37">
        <f>Left_hand!F69</f>
        <v>10</v>
      </c>
      <c r="O37">
        <f>Left_hand!G69</f>
        <v>10</v>
      </c>
      <c r="P37">
        <f>Left_hand!H69</f>
        <v>10</v>
      </c>
      <c r="Q37">
        <f>Left_hand!I69</f>
        <v>10</v>
      </c>
    </row>
    <row r="38" spans="1:17">
      <c r="A38" t="s">
        <v>194</v>
      </c>
      <c r="B38">
        <f>Left_arm!B69</f>
        <v>2934.75</v>
      </c>
      <c r="C38">
        <f>Left_arm!C69</f>
        <v>1012.375</v>
      </c>
      <c r="D38">
        <f>Left_arm!D69</f>
        <v>2760.9968749999998</v>
      </c>
      <c r="E38">
        <f>Left_arm!E69</f>
        <v>2388.75</v>
      </c>
      <c r="F38">
        <f>Left_arm!F69</f>
        <v>0</v>
      </c>
      <c r="G38">
        <f>Left_arm!G69</f>
        <v>0</v>
      </c>
      <c r="H38">
        <f>Left_arm!H69</f>
        <v>0</v>
      </c>
      <c r="I38">
        <f>Left_arm!I69</f>
        <v>0</v>
      </c>
      <c r="J38">
        <f>Left_hand!B70</f>
        <v>0</v>
      </c>
      <c r="K38">
        <f>Left_hand!C70</f>
        <v>6000</v>
      </c>
      <c r="L38">
        <f>Left_hand!D70</f>
        <v>6500</v>
      </c>
      <c r="M38">
        <f>Left_hand!E70</f>
        <v>6000</v>
      </c>
      <c r="N38">
        <f>Left_hand!F70</f>
        <v>6500</v>
      </c>
      <c r="O38">
        <f>Left_hand!G70</f>
        <v>6000</v>
      </c>
      <c r="P38">
        <f>Left_hand!H70</f>
        <v>-6500</v>
      </c>
      <c r="Q38">
        <f>Left_hand!I70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Left_arm!B70</f>
        <v>-30</v>
      </c>
      <c r="C42">
        <f>Left_arm!C70</f>
        <v>30</v>
      </c>
      <c r="D42">
        <f>Left_arm!D70</f>
        <v>0</v>
      </c>
      <c r="E42">
        <f>Left_arm!E70</f>
        <v>45</v>
      </c>
      <c r="F42">
        <f>Left_arm!F70</f>
        <v>0</v>
      </c>
      <c r="G42">
        <f>Left_arm!G70</f>
        <v>0</v>
      </c>
      <c r="H42">
        <f>Left_arm!H70</f>
        <v>0</v>
      </c>
      <c r="I42">
        <f>Left_arm!I70</f>
        <v>0</v>
      </c>
      <c r="J42">
        <f>Left_hand!B71</f>
        <v>0</v>
      </c>
      <c r="K42">
        <f>Left_hand!C71</f>
        <v>0</v>
      </c>
      <c r="L42">
        <f>Left_hand!D71</f>
        <v>0</v>
      </c>
      <c r="M42">
        <f>Left_hand!E71</f>
        <v>0</v>
      </c>
      <c r="N42">
        <f>Left_hand!F71</f>
        <v>0</v>
      </c>
      <c r="O42">
        <f>Left_hand!G71</f>
        <v>0</v>
      </c>
      <c r="P42">
        <f>Left_hand!H71</f>
        <v>0</v>
      </c>
      <c r="Q42">
        <f>Left_hand!I71</f>
        <v>0</v>
      </c>
    </row>
    <row r="43" spans="1:17">
      <c r="A43" t="s">
        <v>135</v>
      </c>
      <c r="B43">
        <f>Left_arm!B71</f>
        <v>10</v>
      </c>
      <c r="C43">
        <f>Left_arm!C71</f>
        <v>10</v>
      </c>
      <c r="D43">
        <f>Left_arm!D71</f>
        <v>10</v>
      </c>
      <c r="E43">
        <f>Left_arm!E71</f>
        <v>10</v>
      </c>
      <c r="F43">
        <f>Left_arm!F71</f>
        <v>30</v>
      </c>
      <c r="G43">
        <f>Left_arm!G71</f>
        <v>30</v>
      </c>
      <c r="H43">
        <f>Left_arm!H71</f>
        <v>30</v>
      </c>
      <c r="I43">
        <f>Left_arm!I71</f>
        <v>100</v>
      </c>
      <c r="J43">
        <f>Left_hand!B72</f>
        <v>100</v>
      </c>
      <c r="K43">
        <f>Left_hand!C72</f>
        <v>20</v>
      </c>
      <c r="L43">
        <f>Left_hand!D72</f>
        <v>100</v>
      </c>
      <c r="M43">
        <f>Left_hand!E72</f>
        <v>100</v>
      </c>
      <c r="N43">
        <f>Left_hand!F72</f>
        <v>100</v>
      </c>
      <c r="O43">
        <f>Left_hand!G72</f>
        <v>100</v>
      </c>
      <c r="P43">
        <f>Left_hand!H72</f>
        <v>100</v>
      </c>
      <c r="Q43">
        <f>Left_hand!I72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Right_arm!B65</f>
        <v>3</v>
      </c>
      <c r="C48">
        <f>Right_arm!C65</f>
        <v>3</v>
      </c>
      <c r="D48">
        <f>Right_arm!D65</f>
        <v>3</v>
      </c>
      <c r="E48">
        <f>Right_arm!E65</f>
        <v>3</v>
      </c>
      <c r="F48">
        <f>Right_arm!F65</f>
        <v>0</v>
      </c>
      <c r="G48">
        <f>Right_arm!G65</f>
        <v>2</v>
      </c>
      <c r="H48">
        <f>Right_arm!H65</f>
        <v>2</v>
      </c>
      <c r="I48">
        <f>Right_arm!I65</f>
        <v>3</v>
      </c>
      <c r="J48">
        <f>Right_hand!B70</f>
        <v>3</v>
      </c>
      <c r="K48">
        <f>Right_hand!C70</f>
        <v>4</v>
      </c>
      <c r="L48">
        <f>Right_hand!D70</f>
        <v>4</v>
      </c>
      <c r="M48">
        <f>Right_hand!E70</f>
        <v>4</v>
      </c>
      <c r="N48">
        <f>Right_hand!F70</f>
        <v>4</v>
      </c>
      <c r="O48">
        <f>Right_hand!G70</f>
        <v>4</v>
      </c>
      <c r="P48">
        <f>Right_hand!H70</f>
        <v>4</v>
      </c>
      <c r="Q48">
        <f>Right_hand!I70</f>
        <v>4</v>
      </c>
    </row>
    <row r="49" spans="1:17">
      <c r="A49" t="s">
        <v>187</v>
      </c>
      <c r="B49">
        <f>Right_arm!B66</f>
        <v>1706.25</v>
      </c>
      <c r="C49">
        <f>Right_arm!C66</f>
        <v>853.125</v>
      </c>
      <c r="D49">
        <f>Right_arm!D66</f>
        <v>2795.3173076923076</v>
      </c>
      <c r="E49">
        <f>Right_arm!E66</f>
        <v>2558</v>
      </c>
      <c r="F49">
        <f>Right_arm!F66</f>
        <v>1000</v>
      </c>
      <c r="G49">
        <f>Right_arm!G66</f>
        <v>750</v>
      </c>
      <c r="H49">
        <f>Right_arm!H66</f>
        <v>750</v>
      </c>
      <c r="I49">
        <f>Right_arm!I66</f>
        <v>2240</v>
      </c>
      <c r="J49">
        <f>Right_hand!B71</f>
        <v>1425</v>
      </c>
      <c r="K49">
        <f>Right_hand!C71</f>
        <v>250</v>
      </c>
      <c r="L49">
        <f>Right_hand!D71</f>
        <v>50</v>
      </c>
      <c r="M49">
        <f>Right_hand!E71</f>
        <v>250</v>
      </c>
      <c r="N49">
        <f>Right_hand!F71</f>
        <v>10</v>
      </c>
      <c r="O49">
        <f>Right_hand!G71</f>
        <v>250</v>
      </c>
      <c r="P49">
        <f>Right_hand!H71</f>
        <v>20</v>
      </c>
      <c r="Q49">
        <f>Right_hand!I71</f>
        <v>738</v>
      </c>
    </row>
    <row r="50" spans="1:17">
      <c r="A50" t="s">
        <v>190</v>
      </c>
      <c r="B50">
        <f>Right_arm!B67</f>
        <v>10</v>
      </c>
      <c r="C50">
        <f>Right_arm!C67</f>
        <v>10</v>
      </c>
      <c r="D50">
        <f>Right_arm!D67</f>
        <v>10</v>
      </c>
      <c r="E50">
        <f>Right_arm!E67</f>
        <v>10</v>
      </c>
      <c r="F50">
        <f>Right_arm!F67</f>
        <v>-20</v>
      </c>
      <c r="G50">
        <f>Right_arm!G67</f>
        <v>10</v>
      </c>
      <c r="H50">
        <f>Right_arm!H67</f>
        <v>10</v>
      </c>
      <c r="I50">
        <f>Right_arm!I67</f>
        <v>100</v>
      </c>
      <c r="J50">
        <f>Right_hand!B72</f>
        <v>10</v>
      </c>
      <c r="K50">
        <f>Right_hand!C72</f>
        <v>10</v>
      </c>
      <c r="L50">
        <f>Right_hand!D72</f>
        <v>10</v>
      </c>
      <c r="M50">
        <f>Right_hand!E72</f>
        <v>10</v>
      </c>
      <c r="N50">
        <f>Right_hand!F72</f>
        <v>10</v>
      </c>
      <c r="O50">
        <f>Right_hand!G72</f>
        <v>10</v>
      </c>
      <c r="P50">
        <f>Right_hand!H72</f>
        <v>10</v>
      </c>
      <c r="Q50">
        <f>Right_hand!I72</f>
        <v>10</v>
      </c>
    </row>
    <row r="51" spans="1:17">
      <c r="A51" t="s">
        <v>189</v>
      </c>
      <c r="B51">
        <f>Right_arm!B68</f>
        <v>513.01249999999993</v>
      </c>
      <c r="C51">
        <f>Right_arm!C68</f>
        <v>3644.5499999999997</v>
      </c>
      <c r="D51">
        <f>Right_arm!D68</f>
        <v>1470.0765625000001</v>
      </c>
      <c r="E51">
        <f>Right_arm!E68</f>
        <v>2596.9124999999999</v>
      </c>
      <c r="F51">
        <f>Right_arm!F68</f>
        <v>0</v>
      </c>
      <c r="G51">
        <f>Right_arm!G68</f>
        <v>0</v>
      </c>
      <c r="H51">
        <f>Right_arm!H68</f>
        <v>0</v>
      </c>
      <c r="I51">
        <f>Right_arm!I68</f>
        <v>0</v>
      </c>
      <c r="J51">
        <f>Right_hand!B73</f>
        <v>0</v>
      </c>
      <c r="K51">
        <f>Right_hand!C73</f>
        <v>6000</v>
      </c>
      <c r="L51">
        <f>Right_hand!D73</f>
        <v>6600</v>
      </c>
      <c r="M51">
        <f>Right_hand!E73</f>
        <v>6000</v>
      </c>
      <c r="N51">
        <f>Right_hand!F73</f>
        <v>-6600</v>
      </c>
      <c r="O51">
        <f>Right_hand!G73</f>
        <v>6000</v>
      </c>
      <c r="P51">
        <f>Right_hand!H73</f>
        <v>6600</v>
      </c>
      <c r="Q51">
        <f>Right_hand!I73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Right_arm!B69</f>
        <v>-30</v>
      </c>
      <c r="C55">
        <f>Right_arm!C69</f>
        <v>30</v>
      </c>
      <c r="D55">
        <f>Right_arm!D69</f>
        <v>0</v>
      </c>
      <c r="E55">
        <f>Right_arm!E69</f>
        <v>45</v>
      </c>
      <c r="F55">
        <f>Right_arm!F69</f>
        <v>0</v>
      </c>
      <c r="G55">
        <f>Right_arm!G69</f>
        <v>0</v>
      </c>
      <c r="H55">
        <f>Right_arm!H69</f>
        <v>0</v>
      </c>
      <c r="I55">
        <f>Right_arm!I69</f>
        <v>0</v>
      </c>
      <c r="J55">
        <f>Right_hand!B74</f>
        <v>0</v>
      </c>
      <c r="K55">
        <f>Right_hand!C74</f>
        <v>0</v>
      </c>
      <c r="L55">
        <f>Right_hand!D74</f>
        <v>0</v>
      </c>
      <c r="M55">
        <f>Right_hand!E74</f>
        <v>0</v>
      </c>
      <c r="N55">
        <f>Right_hand!F74</f>
        <v>0</v>
      </c>
      <c r="O55">
        <f>Right_hand!G74</f>
        <v>0</v>
      </c>
      <c r="P55">
        <f>Right_hand!H74</f>
        <v>0</v>
      </c>
      <c r="Q55">
        <f>Right_hand!I74</f>
        <v>0</v>
      </c>
    </row>
    <row r="56" spans="1:17">
      <c r="A56" t="s">
        <v>135</v>
      </c>
      <c r="B56">
        <f>Right_arm!B70</f>
        <v>10</v>
      </c>
      <c r="C56">
        <f>Right_arm!C70</f>
        <v>10</v>
      </c>
      <c r="D56">
        <f>Right_arm!D70</f>
        <v>10</v>
      </c>
      <c r="E56">
        <f>Right_arm!E70</f>
        <v>10</v>
      </c>
      <c r="F56">
        <f>Right_arm!F70</f>
        <v>30</v>
      </c>
      <c r="G56">
        <f>Right_arm!G70</f>
        <v>30</v>
      </c>
      <c r="H56">
        <f>Right_arm!H70</f>
        <v>30</v>
      </c>
      <c r="I56">
        <f>Right_arm!I70</f>
        <v>100</v>
      </c>
      <c r="J56">
        <f>Right_hand!B75</f>
        <v>100</v>
      </c>
      <c r="K56">
        <f>Right_hand!C75</f>
        <v>20</v>
      </c>
      <c r="L56">
        <f>Right_hand!D75</f>
        <v>100</v>
      </c>
      <c r="M56">
        <f>Right_hand!E75</f>
        <v>100</v>
      </c>
      <c r="N56">
        <f>Right_hand!F75</f>
        <v>100</v>
      </c>
      <c r="O56">
        <f>Right_hand!G75</f>
        <v>100</v>
      </c>
      <c r="P56">
        <f>Right_hand!H75</f>
        <v>100</v>
      </c>
      <c r="Q56">
        <f>Right_hand!I75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Legs!H70</f>
        <v>3</v>
      </c>
      <c r="C61">
        <f>Legs!I70</f>
        <v>3</v>
      </c>
      <c r="D61">
        <f>Legs!J70</f>
        <v>3</v>
      </c>
      <c r="E61">
        <f>Legs!K70</f>
        <v>3</v>
      </c>
      <c r="F61">
        <f>Legs!L70</f>
        <v>3</v>
      </c>
      <c r="G61">
        <f>Legs!M70</f>
        <v>3</v>
      </c>
    </row>
    <row r="62" spans="1:17">
      <c r="A62" t="s">
        <v>131</v>
      </c>
      <c r="B62">
        <f>Legs!H71</f>
        <v>2047.5</v>
      </c>
      <c r="C62">
        <f>Legs!I71</f>
        <v>2047.5</v>
      </c>
      <c r="D62">
        <f>Legs!J71</f>
        <v>2047.5</v>
      </c>
      <c r="E62">
        <f>Legs!K71</f>
        <v>2047.5</v>
      </c>
      <c r="F62">
        <f>Legs!L71</f>
        <v>2047.5</v>
      </c>
      <c r="G62">
        <f>Legs!M71</f>
        <v>2047.5</v>
      </c>
    </row>
    <row r="63" spans="1:17">
      <c r="A63" t="s">
        <v>132</v>
      </c>
      <c r="B63">
        <f>Legs!H72</f>
        <v>10</v>
      </c>
      <c r="C63">
        <f>Legs!I72</f>
        <v>10</v>
      </c>
      <c r="D63">
        <f>Legs!J72</f>
        <v>10</v>
      </c>
      <c r="E63">
        <f>Legs!K72</f>
        <v>10</v>
      </c>
      <c r="F63">
        <f>Legs!L72</f>
        <v>10</v>
      </c>
      <c r="G63">
        <f>Legs!M72</f>
        <v>10</v>
      </c>
    </row>
    <row r="64" spans="1:17">
      <c r="A64" t="s">
        <v>202</v>
      </c>
      <c r="B64">
        <f>Legs!H73</f>
        <v>3829.9625000000001</v>
      </c>
      <c r="C64">
        <f>Legs!I73</f>
        <v>3458</v>
      </c>
      <c r="D64">
        <f>Legs!J73</f>
        <v>122.85000000000014</v>
      </c>
      <c r="E64">
        <f>Legs!K73</f>
        <v>2600.3249999999998</v>
      </c>
      <c r="F64">
        <f>Legs!L73</f>
        <v>2789.15</v>
      </c>
      <c r="G64">
        <f>Legs!M73</f>
        <v>1605.0125000000003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Legs!H74</f>
        <v>0</v>
      </c>
      <c r="C68">
        <f>Legs!I74</f>
        <v>0</v>
      </c>
      <c r="D68">
        <f>Legs!J74</f>
        <v>0</v>
      </c>
      <c r="E68">
        <f>Legs!K74</f>
        <v>0</v>
      </c>
      <c r="F68">
        <f>Legs!L74</f>
        <v>0</v>
      </c>
      <c r="G68">
        <f>Legs!M74</f>
        <v>0</v>
      </c>
    </row>
    <row r="69" spans="1:7">
      <c r="A69" t="s">
        <v>203</v>
      </c>
      <c r="B69">
        <f>Legs!H75</f>
        <v>10</v>
      </c>
      <c r="C69">
        <f>Legs!I75</f>
        <v>10</v>
      </c>
      <c r="D69">
        <f>Legs!J75</f>
        <v>10</v>
      </c>
      <c r="E69">
        <f>Legs!K75</f>
        <v>10</v>
      </c>
      <c r="F69">
        <f>Legs!L75</f>
        <v>10</v>
      </c>
      <c r="G69">
        <f>Legs!M75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Legs!B70</f>
        <v>3</v>
      </c>
      <c r="C73">
        <f>Legs!C70</f>
        <v>3</v>
      </c>
      <c r="D73">
        <f>Legs!D70</f>
        <v>3</v>
      </c>
      <c r="E73">
        <f>Legs!E70</f>
        <v>3</v>
      </c>
      <c r="F73">
        <f>Legs!F70</f>
        <v>3</v>
      </c>
      <c r="G73">
        <f>Legs!G70</f>
        <v>3</v>
      </c>
    </row>
    <row r="74" spans="1:7">
      <c r="A74" t="s">
        <v>131</v>
      </c>
      <c r="B74">
        <f>Legs!B71</f>
        <v>2047.5</v>
      </c>
      <c r="C74">
        <f>Legs!C71</f>
        <v>2047.5</v>
      </c>
      <c r="D74">
        <f>Legs!D71</f>
        <v>2047.5</v>
      </c>
      <c r="E74">
        <f>Legs!E71</f>
        <v>2047.5</v>
      </c>
      <c r="F74">
        <f>Legs!F71</f>
        <v>2047.5</v>
      </c>
      <c r="G74">
        <f>Legs!G71</f>
        <v>2047.5</v>
      </c>
    </row>
    <row r="75" spans="1:7">
      <c r="A75" t="s">
        <v>205</v>
      </c>
      <c r="B75">
        <f>Legs!B72</f>
        <v>10</v>
      </c>
      <c r="C75">
        <f>Legs!C72</f>
        <v>10</v>
      </c>
      <c r="D75">
        <f>Legs!D72</f>
        <v>10</v>
      </c>
      <c r="E75">
        <f>Legs!E72</f>
        <v>10</v>
      </c>
      <c r="F75">
        <f>Legs!F72</f>
        <v>10</v>
      </c>
      <c r="G75">
        <f>Legs!G72</f>
        <v>10</v>
      </c>
    </row>
    <row r="76" spans="1:7">
      <c r="A76" t="s">
        <v>194</v>
      </c>
      <c r="B76">
        <f>Legs!B73</f>
        <v>605.14999999999986</v>
      </c>
      <c r="C76">
        <f>Legs!C73</f>
        <v>348.07499999999993</v>
      </c>
      <c r="D76">
        <f>Legs!D73</f>
        <v>3468.2374999999997</v>
      </c>
      <c r="E76">
        <f>Legs!E73</f>
        <v>3440.9375</v>
      </c>
      <c r="F76">
        <f>Legs!F73</f>
        <v>2029.2999999999997</v>
      </c>
      <c r="G76">
        <f>Legs!G73</f>
        <v>3462.5499999999997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Legs!B74</f>
        <v>0</v>
      </c>
      <c r="C80">
        <f>Legs!C74</f>
        <v>0</v>
      </c>
      <c r="D80">
        <f>Legs!D74</f>
        <v>0</v>
      </c>
      <c r="E80">
        <f>Legs!E74</f>
        <v>0</v>
      </c>
      <c r="F80">
        <f>Legs!F74</f>
        <v>0</v>
      </c>
      <c r="G80">
        <f>Legs!G74</f>
        <v>0</v>
      </c>
    </row>
    <row r="81" spans="1:7">
      <c r="A81" t="s">
        <v>193</v>
      </c>
      <c r="B81">
        <f>Legs!B75</f>
        <v>10</v>
      </c>
      <c r="C81">
        <f>Legs!C75</f>
        <v>10</v>
      </c>
      <c r="D81">
        <f>Legs!D75</f>
        <v>10</v>
      </c>
      <c r="E81">
        <f>Legs!E75</f>
        <v>10</v>
      </c>
      <c r="F81">
        <f>Legs!F75</f>
        <v>10</v>
      </c>
      <c r="G81">
        <f>Legs!G75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2010-02-19T16:09:59Z</dcterms:modified>
</cp:coreProperties>
</file>