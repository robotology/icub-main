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49" i="4"/>
  <c r="D49"/>
  <c r="E49"/>
  <c r="F49"/>
  <c r="G49"/>
  <c r="H49"/>
  <c r="I49"/>
  <c r="B49"/>
  <c r="C52" i="6" l="1"/>
  <c r="D52"/>
  <c r="E52"/>
  <c r="F52"/>
  <c r="G52"/>
  <c r="H52"/>
  <c r="I52"/>
  <c r="B52"/>
  <c r="C51"/>
  <c r="D51"/>
  <c r="E51"/>
  <c r="F51"/>
  <c r="G51"/>
  <c r="H51"/>
  <c r="I51"/>
  <c r="B51"/>
  <c r="B45" i="5"/>
  <c r="C45"/>
  <c r="D45"/>
  <c r="E45"/>
  <c r="F45"/>
  <c r="G45"/>
  <c r="H45"/>
  <c r="I45"/>
  <c r="B46"/>
  <c r="C46"/>
  <c r="D46"/>
  <c r="E46"/>
  <c r="F46"/>
  <c r="G46"/>
  <c r="H46"/>
  <c r="I46"/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B35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8" i="4"/>
  <c r="D48"/>
  <c r="E48"/>
  <c r="F48"/>
  <c r="G48"/>
  <c r="H48"/>
  <c r="I48"/>
  <c r="B48"/>
  <c r="L72" i="1"/>
  <c r="L74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B36" i="8" s="1"/>
  <c r="C67" i="3"/>
  <c r="C36" i="8" s="1"/>
  <c r="E67" i="3"/>
  <c r="E36" i="8" s="1"/>
  <c r="F67" i="3"/>
  <c r="F36" i="8" s="1"/>
  <c r="G67" i="3"/>
  <c r="G36" i="8" s="1"/>
  <c r="H67" i="3"/>
  <c r="H36" i="8" s="1"/>
  <c r="B68" i="3"/>
  <c r="B37" i="8" s="1"/>
  <c r="C68" i="3"/>
  <c r="C37" i="8" s="1"/>
  <c r="D68" i="3"/>
  <c r="D37" i="8" s="1"/>
  <c r="E68" i="3"/>
  <c r="E37" i="8" s="1"/>
  <c r="F68" i="3"/>
  <c r="F37" i="8" s="1"/>
  <c r="G68" i="3"/>
  <c r="G37" i="8" s="1"/>
  <c r="H68" i="3"/>
  <c r="H37" i="8" s="1"/>
  <c r="I68" i="3"/>
  <c r="I37" i="8" s="1"/>
  <c r="F69" i="3"/>
  <c r="F38" i="8" s="1"/>
  <c r="G69" i="3"/>
  <c r="G38" i="8" s="1"/>
  <c r="H69" i="3"/>
  <c r="H38" i="8" s="1"/>
  <c r="I69" i="3"/>
  <c r="I38" i="8" s="1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B38" i="8" s="1"/>
  <c r="E38" i="1"/>
  <c r="F38" s="1"/>
  <c r="N38" s="1"/>
  <c r="C69" i="3" s="1"/>
  <c r="C38" i="8" s="1"/>
  <c r="F39" i="1"/>
  <c r="N39" s="1"/>
  <c r="D69" i="3" s="1"/>
  <c r="D38" i="8" s="1"/>
  <c r="D67" i="3"/>
  <c r="D36" i="8" s="1"/>
  <c r="E40" i="1"/>
  <c r="F40" s="1"/>
  <c r="N40" s="1"/>
  <c r="E69" i="3" s="1"/>
  <c r="E38" i="8" s="1"/>
  <c r="K41" i="1"/>
  <c r="F38" i="3"/>
  <c r="K44" i="1"/>
  <c r="D44" s="1"/>
  <c r="K48"/>
  <c r="B37" i="4" s="1"/>
  <c r="K49" i="1"/>
  <c r="D49" s="1"/>
  <c r="C38" i="4" s="1"/>
  <c r="C37"/>
  <c r="L49" i="1"/>
  <c r="C68" i="4" s="1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 s="1"/>
  <c r="P36" i="8" s="1"/>
  <c r="K55" i="1"/>
  <c r="D55" s="1"/>
  <c r="I38" i="4" s="1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 s="1"/>
  <c r="H41" i="6" s="1"/>
  <c r="L76" i="1"/>
  <c r="H71" i="6" s="1"/>
  <c r="P49" i="8" s="1"/>
  <c r="K77" i="1"/>
  <c r="D77" s="1"/>
  <c r="I41" i="6" s="1"/>
  <c r="I71"/>
  <c r="Q49" i="8" s="1"/>
  <c r="H40" i="6"/>
  <c r="F40"/>
  <c r="D40"/>
  <c r="B40"/>
  <c r="D52" i="1"/>
  <c r="F38" i="4" s="1"/>
  <c r="D50" i="1"/>
  <c r="D38" i="4" s="1"/>
  <c r="I37" l="1"/>
  <c r="I40" i="6"/>
  <c r="I38" i="3"/>
  <c r="G40" i="6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  <c r="I36" i="8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<sst xmlns="http://schemas.openxmlformats.org/spreadsheetml/2006/main" count="675" uniqueCount="254">
  <si>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</si>
  <si>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</si>
  <si>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</si>
  <si>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</si>
  <si>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</si>
  <si>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</si>
  <si>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</si>
  <si>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</si>
  <si>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</si>
  <si>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</si>
  <si>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</si>
  <si>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</si>
  <si>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</si>
  <si>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</si>
  <si>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</si>
  <si>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</si>
  <si>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</si>
  <si>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</si>
  <si>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</si>
  <si>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</si>
  <si>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</si>
  <si>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</si>
  <si>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</si>
  <si>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</si>
  <si>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</si>
  <si>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</si>
  <si>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</si>
  <si>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</si>
  <si>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</si>
  <si>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</si>
  <si>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</si>
  <si>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</si>
  <si>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</si>
  <si>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</si>
  <si>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</si>
  <si>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</si>
  <si>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</si>
  <si>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</si>
  <si>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</si>
  <si>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</si>
  <si>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</si>
  <si>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</si>
  <si>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</si>
  <si>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</si>
  <si>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</si>
  <si>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</si>
  <si>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</si>
  <si>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</si>
  <si>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</si>
  <si>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</si>
  <si>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</si>
  <si>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</si>
  <si>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</si>
  <si>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</si>
  <si>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</si>
  <si>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</si>
  <si>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</si>
  <si>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</si>
  <si>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</si>
  <si>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</si>
  <si>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</si>
  <si>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</si>
  <si>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</si>
  <si>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</si>
  <si>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</si>
  <si>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</si>
  <si>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</si>
  <si>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</si>
  <si>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</si>
  <si>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</si>
  <si>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</si>
  <si>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</si>
  <si>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</si>
  <si>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</si>
  <si>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</si>
  <si>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</si>
  <si>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</si>
  <si>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</si>
  <si>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</si>
  <si>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</si>
  <si>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</si>
  <si>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</si>
  <si>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</si>
  <si>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</si>
  <si>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</si>
  <si>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</si>
  <si>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</si>
  <si>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</si>
  <si>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</si>
  <si>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</si>
  <si>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</si>
  <si>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</si>
  <si>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</si>
  <si>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</si>
  <si>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</si>
  <si>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</si>
  <si>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</si>
  <si>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</si>
  <si>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</si>
  <si>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</si>
  <si>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</si>
  <si>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</si>
  <si>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</si>
  <si>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</si>
  <si>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</si>
  <si>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</si>
  <si>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</si>
  <si>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</si>
  <si>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</si>
  <si>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</si>
  <si>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</si>
  <si>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</si>
  <si>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</si>
  <si>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</si>
  <si>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</si>
  <si>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</si>
  <si>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</si>
  <si>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</si>
  <si>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</si>
  <si>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</si>
  <si>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</si>
  <si>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</si>
  <si>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</si>
  <si>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</si>
  <si>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</si>
  <si>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</si>
  <si>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</si>
  <si>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</si>
  <si>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</si>
  <si>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</si>
  <si>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</si>
  <si>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</si>
  <si>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</si>
  <si>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</si>
  <si>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</si>
  <si>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</si>
  <si>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</si>
  <si>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</si>
  <si>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</si>
  <si>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</si>
  <si>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</si>
  <si>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</si>
  <si>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</si>
  <si>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</si>
  <si>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</si>
  <si>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</si>
  <si>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</si>
  <si>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</si>
  <si>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</si>
  <si>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</si>
  <si>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</si>
  <si>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</si>
  <si>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</si>
  <si>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</si>
  <si>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</si>
  <si>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</si>
  <si>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</si>
  <si>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</si>
  <si>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</si>
  <si>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</si>
  <si>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</si>
  <si>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</si>
  <si>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</si>
  <si>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</si>
  <si>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</si>
  <si>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</si>
  <si>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</si>
  <si>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</si>
  <si>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</si>
  <si>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</si>
  <si>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</si>
  <si>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</si>
  <si>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</si>
  <si>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</si>
  <si>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</si>
  <si>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</si>
  <si>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</si>
  <si>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</si>
  <si>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</si>
  <si>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</si>
  <si>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</si>
  <si>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</si>
  <si>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</si>
  <si>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</si>
  <si>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</si>
  <si>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</si>
  <si>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</si>
  <si>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</si>
  <si>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</si>
  <si>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</si>
  <si>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</si>
  <si>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</si>
  <si>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</si>
  <si>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</si>
  <si>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</si>
  <si>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</si>
  <si>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</si>
  <si>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</si>
  <si>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</si>
  <si>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</si>
  <si>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</si>
  <si>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</si>
  <si>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</si>
  <si>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</si>
  <si>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</si>
  <si>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</si>
  <si>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</si>
  <si>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</si>
  <si>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</si>
  <si>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</si>
  <si>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</si>
  <si>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</si>
  <si>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</si>
  <si>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</si>
  <si>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</si>
  <si>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</si>
  <si>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</si>
  <si>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</si>
  <si>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</si>
  <si>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</si>
  <si>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</si>
  <si>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</si>
  <si>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</si>
  <si>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</si>
  <si>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</si>
  <si>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</si>
  <si>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</si>
  <si>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</si>
  <si>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</si>
  <si>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</si>
  <si>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</si>
  <si>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</si>
  <si>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</si>
  <si>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</si>
  <si>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</si>
  <si>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</si>
  <si>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</si>
  <si>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</si>
  <si>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</si>
  <si>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</si>
  <si>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</si>
  <si>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</si>
  <si>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</si>
  <si>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</si>
  <si>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</si>
  <si>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</si>
  <si>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</si>
  <si>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</si>
  <si>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</si>
  <si>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</si>
  <si>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</si>
  <si>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</si>
  <si>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>D:\icub\app\iCubGenova02\conf</t>
  </si>
  <si>
    <t xml:space="preserve">Release: 0.4: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</si>
</sst>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164" fontId="23" fillId="25" borderId="30" xfId="0" applyNumberFormat="1" applyFont="1" applyFill="1" applyBorder="1"/>
    <xf numFmtId="1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abSelected="1" topLeftCell="A69" zoomScale="70" zoomScaleNormal="70" workbookViewId="0">
      <selection activeCell="L95" sqref="L95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7" t="s">
        <v>0</v>
      </c>
      <c r="C5" s="47"/>
      <c r="D5" s="47"/>
      <c r="E5" s="58"/>
      <c r="F5" s="58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47.25" customHeight="1" thickBot="1">
      <c r="A6" s="48" t="s">
        <v>1</v>
      </c>
      <c r="B6" s="72" t="s">
        <v>2</v>
      </c>
      <c r="C6" s="50" t="s">
        <v>3</v>
      </c>
      <c r="D6" s="50" t="s">
        <v>4</v>
      </c>
      <c r="E6" s="51" t="s">
        <v>5</v>
      </c>
      <c r="F6" s="52" t="s">
        <v>163</v>
      </c>
      <c r="G6" s="50" t="s">
        <v>6</v>
      </c>
      <c r="H6" s="50" t="s">
        <v>7</v>
      </c>
      <c r="I6" s="50" t="s">
        <v>8</v>
      </c>
      <c r="J6" s="50" t="s">
        <v>9</v>
      </c>
      <c r="K6" s="50" t="s">
        <v>10</v>
      </c>
      <c r="L6" s="50" t="s">
        <v>11</v>
      </c>
      <c r="M6" s="50" t="s">
        <v>12</v>
      </c>
      <c r="N6" s="50" t="s">
        <v>13</v>
      </c>
      <c r="O6" s="50" t="s">
        <v>209</v>
      </c>
      <c r="P6" s="50" t="s">
        <v>210</v>
      </c>
    </row>
    <row r="7" spans="1:16" ht="18.75">
      <c r="A7" s="28">
        <v>0</v>
      </c>
      <c r="B7" s="53" t="s">
        <v>14</v>
      </c>
      <c r="C7" s="4">
        <v>233.2</v>
      </c>
      <c r="D7" s="25">
        <v>180</v>
      </c>
      <c r="E7" s="26">
        <f>(ABS(C7)-ABS(D7))</f>
        <v>53.199999999999989</v>
      </c>
      <c r="F7" s="26">
        <f>IF(E7&gt;=0,(E7*11.375),(360+E7)*11.375)</f>
        <v>605.14999999999986</v>
      </c>
      <c r="G7" s="36">
        <v>-30</v>
      </c>
      <c r="H7" s="36">
        <v>90</v>
      </c>
      <c r="I7" s="35"/>
      <c r="J7" s="35"/>
      <c r="K7" s="29">
        <v>11.375</v>
      </c>
      <c r="L7" s="27">
        <f>D7*K7</f>
        <v>2047.5</v>
      </c>
      <c r="M7" s="27">
        <v>10</v>
      </c>
      <c r="N7" s="25">
        <f>+F7</f>
        <v>605.14999999999986</v>
      </c>
      <c r="O7" s="25"/>
      <c r="P7" s="25"/>
    </row>
    <row r="8" spans="1:16" ht="18.75">
      <c r="A8" s="23">
        <v>1</v>
      </c>
      <c r="B8" s="53" t="s">
        <v>15</v>
      </c>
      <c r="C8" s="4">
        <v>210.6</v>
      </c>
      <c r="D8" s="25">
        <v>180</v>
      </c>
      <c r="E8" s="26">
        <f t="shared" ref="E8:E18" si="0">(ABS(C8)-ABS(D8))</f>
        <v>30.599999999999994</v>
      </c>
      <c r="F8" s="26">
        <f t="shared" ref="F8:F18" si="1">IF(E8&gt;=0,(E8*11.375),(360+E8)*11.375)</f>
        <v>348.07499999999993</v>
      </c>
      <c r="G8" s="36">
        <v>0</v>
      </c>
      <c r="H8" s="36">
        <v>90</v>
      </c>
      <c r="I8" s="35"/>
      <c r="J8" s="35"/>
      <c r="K8" s="29">
        <v>11.375</v>
      </c>
      <c r="L8" s="27">
        <f t="shared" ref="L8:L18" si="2">D8*K8</f>
        <v>2047.5</v>
      </c>
      <c r="M8" s="27">
        <v>10</v>
      </c>
      <c r="N8" s="25">
        <f>F8</f>
        <v>348.07499999999993</v>
      </c>
      <c r="O8" s="25"/>
      <c r="P8" s="25"/>
    </row>
    <row r="9" spans="1:16" ht="18.75">
      <c r="A9" s="23">
        <v>2</v>
      </c>
      <c r="B9" s="53" t="s">
        <v>16</v>
      </c>
      <c r="C9" s="4">
        <v>124.9</v>
      </c>
      <c r="D9" s="25">
        <v>180</v>
      </c>
      <c r="E9" s="26">
        <f t="shared" si="0"/>
        <v>-55.099999999999994</v>
      </c>
      <c r="F9" s="26">
        <f t="shared" si="1"/>
        <v>3468.2374999999997</v>
      </c>
      <c r="G9" s="36">
        <v>-80</v>
      </c>
      <c r="H9" s="36">
        <v>78</v>
      </c>
      <c r="I9" s="35"/>
      <c r="J9" s="35"/>
      <c r="K9" s="29">
        <v>11.375</v>
      </c>
      <c r="L9" s="27">
        <f t="shared" si="2"/>
        <v>2047.5</v>
      </c>
      <c r="M9" s="27">
        <v>10</v>
      </c>
      <c r="N9" s="25">
        <f t="shared" ref="N9:N18" si="3">+F9</f>
        <v>3468.2374999999997</v>
      </c>
      <c r="O9" s="25"/>
      <c r="P9" s="25"/>
    </row>
    <row r="10" spans="1:16" ht="18.75">
      <c r="A10" s="23">
        <v>3</v>
      </c>
      <c r="B10" s="53" t="s">
        <v>17</v>
      </c>
      <c r="C10" s="4">
        <v>124</v>
      </c>
      <c r="D10" s="25">
        <v>180</v>
      </c>
      <c r="E10" s="26">
        <f t="shared" si="0"/>
        <v>-56</v>
      </c>
      <c r="F10" s="26">
        <f t="shared" si="1"/>
        <v>3458</v>
      </c>
      <c r="G10" s="36">
        <v>-125</v>
      </c>
      <c r="H10" s="36">
        <v>15</v>
      </c>
      <c r="I10" s="35"/>
      <c r="J10" s="35"/>
      <c r="K10" s="29">
        <v>11.375</v>
      </c>
      <c r="L10" s="27">
        <f t="shared" si="2"/>
        <v>2047.5</v>
      </c>
      <c r="M10" s="27">
        <v>10</v>
      </c>
      <c r="N10" s="25">
        <f t="shared" si="3"/>
        <v>3458</v>
      </c>
      <c r="O10" s="25"/>
      <c r="P10" s="25"/>
    </row>
    <row r="11" spans="1:16" ht="18.75">
      <c r="A11" s="23">
        <v>4</v>
      </c>
      <c r="B11" s="53" t="s">
        <v>18</v>
      </c>
      <c r="C11" s="4">
        <v>358.4</v>
      </c>
      <c r="D11" s="25">
        <v>180</v>
      </c>
      <c r="E11" s="26">
        <f t="shared" si="0"/>
        <v>178.39999999999998</v>
      </c>
      <c r="F11" s="26">
        <f t="shared" si="1"/>
        <v>2029.2999999999997</v>
      </c>
      <c r="G11" s="36">
        <v>-20</v>
      </c>
      <c r="H11" s="36">
        <v>39</v>
      </c>
      <c r="I11" s="35"/>
      <c r="J11" s="35"/>
      <c r="K11" s="29">
        <v>11.375</v>
      </c>
      <c r="L11" s="27">
        <f t="shared" si="2"/>
        <v>2047.5</v>
      </c>
      <c r="M11" s="27">
        <v>10</v>
      </c>
      <c r="N11" s="25">
        <f t="shared" si="3"/>
        <v>2029.2999999999997</v>
      </c>
      <c r="O11" s="25"/>
      <c r="P11" s="25"/>
    </row>
    <row r="12" spans="1:16" ht="18.75">
      <c r="A12" s="23">
        <v>5</v>
      </c>
      <c r="B12" s="53" t="s">
        <v>19</v>
      </c>
      <c r="C12" s="4">
        <v>124.4</v>
      </c>
      <c r="D12" s="25">
        <v>180</v>
      </c>
      <c r="E12" s="26">
        <f t="shared" si="0"/>
        <v>-55.599999999999994</v>
      </c>
      <c r="F12" s="26">
        <f t="shared" si="1"/>
        <v>3462.5499999999997</v>
      </c>
      <c r="G12" s="36">
        <v>-22</v>
      </c>
      <c r="H12" s="36">
        <v>22</v>
      </c>
      <c r="I12" s="35"/>
      <c r="J12" s="35"/>
      <c r="K12" s="29">
        <v>11.375</v>
      </c>
      <c r="L12" s="27">
        <f t="shared" si="2"/>
        <v>2047.5</v>
      </c>
      <c r="M12" s="27">
        <v>10</v>
      </c>
      <c r="N12" s="25">
        <f t="shared" si="3"/>
        <v>3462.5499999999997</v>
      </c>
      <c r="O12" s="25"/>
      <c r="P12" s="25"/>
    </row>
    <row r="13" spans="1:16" ht="18.75">
      <c r="A13" s="23">
        <v>6</v>
      </c>
      <c r="B13" s="53" t="s">
        <v>20</v>
      </c>
      <c r="C13" s="4">
        <v>-156.69999999999999</v>
      </c>
      <c r="D13" s="25">
        <v>-180</v>
      </c>
      <c r="E13" s="26">
        <f t="shared" si="0"/>
        <v>-23.300000000000011</v>
      </c>
      <c r="F13" s="26">
        <f t="shared" si="1"/>
        <v>3829.9625000000001</v>
      </c>
      <c r="G13" s="36">
        <v>-30</v>
      </c>
      <c r="H13" s="36">
        <v>90</v>
      </c>
      <c r="I13" s="35"/>
      <c r="J13" s="35"/>
      <c r="K13" s="29">
        <v>-11.375</v>
      </c>
      <c r="L13" s="27">
        <f t="shared" si="2"/>
        <v>2047.5</v>
      </c>
      <c r="M13" s="27">
        <v>10</v>
      </c>
      <c r="N13" s="25">
        <f t="shared" si="3"/>
        <v>3829.9625000000001</v>
      </c>
      <c r="O13" s="25"/>
      <c r="P13" s="25"/>
    </row>
    <row r="14" spans="1:16" ht="18.75">
      <c r="A14" s="23">
        <v>7</v>
      </c>
      <c r="B14" s="53" t="s">
        <v>21</v>
      </c>
      <c r="C14" s="4">
        <v>-124</v>
      </c>
      <c r="D14" s="25">
        <v>-180</v>
      </c>
      <c r="E14" s="26">
        <f t="shared" si="0"/>
        <v>-56</v>
      </c>
      <c r="F14" s="26">
        <f t="shared" si="1"/>
        <v>3458</v>
      </c>
      <c r="G14" s="36">
        <v>0</v>
      </c>
      <c r="H14" s="36">
        <v>90</v>
      </c>
      <c r="I14" s="35"/>
      <c r="J14" s="35"/>
      <c r="K14" s="29">
        <v>-11.375</v>
      </c>
      <c r="L14" s="27">
        <f t="shared" si="2"/>
        <v>2047.5</v>
      </c>
      <c r="M14" s="27">
        <v>10</v>
      </c>
      <c r="N14" s="25">
        <f t="shared" si="3"/>
        <v>3458</v>
      </c>
      <c r="O14" s="25"/>
      <c r="P14" s="25"/>
    </row>
    <row r="15" spans="1:16" ht="18.75">
      <c r="A15" s="23">
        <v>8</v>
      </c>
      <c r="B15" s="53" t="s">
        <v>22</v>
      </c>
      <c r="C15" s="4">
        <v>-190.8</v>
      </c>
      <c r="D15" s="25">
        <v>-180</v>
      </c>
      <c r="E15" s="26">
        <f t="shared" si="0"/>
        <v>10.800000000000011</v>
      </c>
      <c r="F15" s="26">
        <f t="shared" si="1"/>
        <v>122.85000000000014</v>
      </c>
      <c r="G15" s="36">
        <v>-80</v>
      </c>
      <c r="H15" s="36">
        <v>78</v>
      </c>
      <c r="I15" s="35"/>
      <c r="J15" s="35"/>
      <c r="K15" s="29">
        <v>-11.375</v>
      </c>
      <c r="L15" s="27">
        <f t="shared" si="2"/>
        <v>2047.5</v>
      </c>
      <c r="M15" s="27">
        <v>10</v>
      </c>
      <c r="N15" s="25">
        <f t="shared" si="3"/>
        <v>122.85000000000014</v>
      </c>
      <c r="O15" s="25"/>
      <c r="P15" s="25"/>
    </row>
    <row r="16" spans="1:16" ht="18.75">
      <c r="A16" s="23">
        <v>9</v>
      </c>
      <c r="B16" s="53" t="s">
        <v>23</v>
      </c>
      <c r="C16" s="4">
        <v>-47.7</v>
      </c>
      <c r="D16" s="25">
        <v>-180</v>
      </c>
      <c r="E16" s="26">
        <f t="shared" si="0"/>
        <v>-132.30000000000001</v>
      </c>
      <c r="F16" s="26">
        <f t="shared" si="1"/>
        <v>2590.0875000000001</v>
      </c>
      <c r="G16" s="36">
        <v>-125</v>
      </c>
      <c r="H16" s="36">
        <v>15</v>
      </c>
      <c r="I16" s="35"/>
      <c r="J16" s="35"/>
      <c r="K16" s="29">
        <v>-11.375</v>
      </c>
      <c r="L16" s="27">
        <f t="shared" si="2"/>
        <v>2047.5</v>
      </c>
      <c r="M16" s="27">
        <v>10</v>
      </c>
      <c r="N16" s="25">
        <f t="shared" si="3"/>
        <v>2590.0875000000001</v>
      </c>
      <c r="O16" s="25"/>
      <c r="P16" s="25"/>
    </row>
    <row r="17" spans="1:16" ht="18.75">
      <c r="A17" s="23">
        <v>10</v>
      </c>
      <c r="B17" s="53" t="s">
        <v>24</v>
      </c>
      <c r="C17" s="4">
        <v>-65.2</v>
      </c>
      <c r="D17" s="25">
        <v>-180</v>
      </c>
      <c r="E17" s="26">
        <f t="shared" si="0"/>
        <v>-114.8</v>
      </c>
      <c r="F17" s="26">
        <f t="shared" si="1"/>
        <v>2789.15</v>
      </c>
      <c r="G17" s="36">
        <v>-20</v>
      </c>
      <c r="H17" s="36">
        <v>39</v>
      </c>
      <c r="I17" s="35"/>
      <c r="J17" s="35"/>
      <c r="K17" s="29">
        <v>-11.375</v>
      </c>
      <c r="L17" s="27">
        <f t="shared" si="2"/>
        <v>2047.5</v>
      </c>
      <c r="M17" s="27">
        <v>10</v>
      </c>
      <c r="N17" s="25">
        <f t="shared" si="3"/>
        <v>2789.15</v>
      </c>
      <c r="O17" s="25"/>
      <c r="P17" s="25"/>
    </row>
    <row r="18" spans="1:16" ht="18.75">
      <c r="A18" s="23">
        <v>11</v>
      </c>
      <c r="B18" s="53" t="s">
        <v>25</v>
      </c>
      <c r="C18" s="4">
        <v>-321.10000000000002</v>
      </c>
      <c r="D18" s="25">
        <v>-180</v>
      </c>
      <c r="E18" s="26">
        <f t="shared" si="0"/>
        <v>141.10000000000002</v>
      </c>
      <c r="F18" s="26">
        <f t="shared" si="1"/>
        <v>1605.0125000000003</v>
      </c>
      <c r="G18" s="36">
        <v>-22</v>
      </c>
      <c r="H18" s="36">
        <v>22</v>
      </c>
      <c r="I18" s="35"/>
      <c r="J18" s="35"/>
      <c r="K18" s="29">
        <v>-11.375</v>
      </c>
      <c r="L18" s="27">
        <f t="shared" si="2"/>
        <v>2047.5</v>
      </c>
      <c r="M18" s="27">
        <v>10</v>
      </c>
      <c r="N18" s="25">
        <f t="shared" si="3"/>
        <v>1605.0125000000003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7" t="s">
        <v>26</v>
      </c>
      <c r="C22" s="47"/>
      <c r="D22" s="47"/>
      <c r="E22" s="58"/>
      <c r="F22" s="58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48" customHeight="1" thickBot="1">
      <c r="A23" s="48" t="s">
        <v>1</v>
      </c>
      <c r="B23" s="49" t="s">
        <v>2</v>
      </c>
      <c r="C23" s="50" t="s">
        <v>27</v>
      </c>
      <c r="D23" s="50" t="s">
        <v>4</v>
      </c>
      <c r="E23" s="51" t="s">
        <v>5</v>
      </c>
      <c r="F23" s="52" t="s">
        <v>163</v>
      </c>
      <c r="G23" s="50" t="s">
        <v>6</v>
      </c>
      <c r="H23" s="50" t="s">
        <v>7</v>
      </c>
      <c r="I23" s="50" t="s">
        <v>8</v>
      </c>
      <c r="J23" s="50" t="s">
        <v>9</v>
      </c>
      <c r="K23" s="50" t="s">
        <v>10</v>
      </c>
      <c r="L23" s="50" t="s">
        <v>11</v>
      </c>
      <c r="M23" s="50" t="s">
        <v>12</v>
      </c>
      <c r="N23" s="50" t="s">
        <v>13</v>
      </c>
      <c r="O23" s="50" t="s">
        <v>209</v>
      </c>
      <c r="P23" s="50" t="s">
        <v>210</v>
      </c>
    </row>
    <row r="24" spans="1:16" ht="18.75">
      <c r="A24" s="28">
        <v>0</v>
      </c>
      <c r="B24" s="53" t="s">
        <v>28</v>
      </c>
      <c r="C24" s="33"/>
      <c r="D24" s="25">
        <v>40</v>
      </c>
      <c r="E24" s="33"/>
      <c r="F24" s="33"/>
      <c r="G24" s="36">
        <v>-39</v>
      </c>
      <c r="H24" s="36">
        <v>24</v>
      </c>
      <c r="I24" s="34"/>
      <c r="J24" s="34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3" t="s">
        <v>29</v>
      </c>
      <c r="C25" s="33"/>
      <c r="D25" s="25">
        <v>47</v>
      </c>
      <c r="E25" s="33"/>
      <c r="F25" s="33"/>
      <c r="G25" s="37">
        <v>-47</v>
      </c>
      <c r="H25" s="36">
        <v>47</v>
      </c>
      <c r="I25" s="34"/>
      <c r="J25" s="34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3" t="s">
        <v>30</v>
      </c>
      <c r="C26" s="33"/>
      <c r="D26" s="25">
        <v>55.45</v>
      </c>
      <c r="E26" s="33"/>
      <c r="F26" s="33"/>
      <c r="G26" s="36">
        <v>-52</v>
      </c>
      <c r="H26" s="36">
        <v>52</v>
      </c>
      <c r="I26" s="34"/>
      <c r="J26" s="34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3" t="s">
        <v>31</v>
      </c>
      <c r="C27" s="33"/>
      <c r="D27" s="25">
        <v>-38.4</v>
      </c>
      <c r="E27" s="33"/>
      <c r="F27" s="33"/>
      <c r="G27" s="36">
        <v>-44</v>
      </c>
      <c r="H27" s="36">
        <v>19</v>
      </c>
      <c r="I27" s="34"/>
      <c r="J27" s="34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3" t="s">
        <v>32</v>
      </c>
      <c r="C28" s="33"/>
      <c r="D28" s="25">
        <v>47.35</v>
      </c>
      <c r="E28" s="33"/>
      <c r="F28" s="33"/>
      <c r="G28" s="36">
        <v>-63</v>
      </c>
      <c r="H28" s="36">
        <v>66</v>
      </c>
      <c r="I28" s="34"/>
      <c r="J28" s="34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3" t="s">
        <v>33</v>
      </c>
      <c r="C29" s="33"/>
      <c r="D29" s="25">
        <v>8.9600000000000009</v>
      </c>
      <c r="E29" s="33"/>
      <c r="F29" s="33"/>
      <c r="G29" s="36">
        <v>0</v>
      </c>
      <c r="H29" s="36">
        <v>50</v>
      </c>
      <c r="I29" s="34"/>
      <c r="J29" s="34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3" t="s">
        <v>34</v>
      </c>
      <c r="C30" s="4">
        <v>233</v>
      </c>
      <c r="D30" s="25">
        <v>180</v>
      </c>
      <c r="E30" s="26">
        <f>(C30-D30)</f>
        <v>53</v>
      </c>
      <c r="F30" s="26">
        <f>IF(E30&gt;=0,(E30*11.375),(360+E30)*11.375)</f>
        <v>602.875</v>
      </c>
      <c r="G30" s="36">
        <v>-50</v>
      </c>
      <c r="H30" s="36">
        <v>50</v>
      </c>
      <c r="I30" s="34"/>
      <c r="J30" s="34"/>
      <c r="K30" s="27">
        <v>11.375</v>
      </c>
      <c r="L30" s="27">
        <f>D30*K30</f>
        <v>2047.5</v>
      </c>
      <c r="M30" s="27">
        <v>10</v>
      </c>
      <c r="N30" s="25">
        <f t="shared" si="4"/>
        <v>602.875</v>
      </c>
      <c r="O30" s="25"/>
      <c r="P30" s="25"/>
    </row>
    <row r="31" spans="1:16" ht="18.75">
      <c r="A31" s="23">
        <v>7</v>
      </c>
      <c r="B31" s="53" t="s">
        <v>35</v>
      </c>
      <c r="C31" s="76">
        <v>51.6</v>
      </c>
      <c r="D31" s="25">
        <v>180</v>
      </c>
      <c r="E31" s="26">
        <f>(C31-D31)</f>
        <v>-128.4</v>
      </c>
      <c r="F31" s="26">
        <f>IF(E31&gt;=0,(E31*11.375),(360+E31)*11.375)</f>
        <v>2634.45</v>
      </c>
      <c r="G31" s="36">
        <v>-30</v>
      </c>
      <c r="H31" s="36">
        <v>30</v>
      </c>
      <c r="I31" s="34"/>
      <c r="J31" s="34"/>
      <c r="K31" s="27">
        <v>11.375</v>
      </c>
      <c r="L31" s="27">
        <f>D31*K31</f>
        <v>2047.5</v>
      </c>
      <c r="M31" s="27">
        <v>10</v>
      </c>
      <c r="N31" s="25">
        <f t="shared" si="4"/>
        <v>2634.45</v>
      </c>
      <c r="O31" s="25"/>
      <c r="P31" s="25"/>
    </row>
    <row r="32" spans="1:16" ht="19.5" thickBot="1">
      <c r="A32" s="30">
        <v>8</v>
      </c>
      <c r="B32" s="53" t="s">
        <v>36</v>
      </c>
      <c r="C32" s="73">
        <v>77.8</v>
      </c>
      <c r="D32" s="25">
        <v>180</v>
      </c>
      <c r="E32" s="26">
        <f>(C32-D32)</f>
        <v>-102.2</v>
      </c>
      <c r="F32" s="26">
        <f>IF(E32&gt;=0,(E32*11.375),(360+E32)*11.375)</f>
        <v>2932.4749999999999</v>
      </c>
      <c r="G32" s="36">
        <v>-22</v>
      </c>
      <c r="H32" s="36">
        <v>70</v>
      </c>
      <c r="I32" s="34"/>
      <c r="J32" s="34"/>
      <c r="K32" s="27">
        <v>11.375</v>
      </c>
      <c r="L32" s="27">
        <f>D32*K32</f>
        <v>2047.5</v>
      </c>
      <c r="M32" s="27">
        <v>10</v>
      </c>
      <c r="N32" s="25">
        <f t="shared" si="4"/>
        <v>2932.4749999999999</v>
      </c>
      <c r="O32" s="25"/>
      <c r="P32" s="25"/>
    </row>
    <row r="33" spans="1:21" ht="18.75">
      <c r="A33" s="31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1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1"/>
      <c r="B35" s="47" t="s">
        <v>37</v>
      </c>
      <c r="C35" s="47"/>
      <c r="D35" s="47"/>
      <c r="E35" s="58"/>
      <c r="F35" s="58"/>
      <c r="G35" s="47"/>
      <c r="H35" s="47"/>
      <c r="I35" s="47"/>
      <c r="J35" s="47"/>
      <c r="K35" s="47"/>
      <c r="L35" s="47"/>
      <c r="M35" s="47"/>
      <c r="N35" s="47"/>
      <c r="O35" s="47"/>
      <c r="P35" s="47"/>
    </row>
    <row r="36" spans="1:21" ht="39" customHeight="1" thickBot="1">
      <c r="A36" s="48" t="s">
        <v>1</v>
      </c>
      <c r="B36" s="49" t="s">
        <v>2</v>
      </c>
      <c r="C36" s="50" t="s">
        <v>38</v>
      </c>
      <c r="D36" s="50" t="s">
        <v>4</v>
      </c>
      <c r="E36" s="51" t="s">
        <v>5</v>
      </c>
      <c r="F36" s="52" t="s">
        <v>163</v>
      </c>
      <c r="G36" s="50" t="s">
        <v>6</v>
      </c>
      <c r="H36" s="50" t="s">
        <v>7</v>
      </c>
      <c r="I36" s="50" t="s">
        <v>8</v>
      </c>
      <c r="J36" s="50" t="s">
        <v>9</v>
      </c>
      <c r="K36" s="50" t="s">
        <v>10</v>
      </c>
      <c r="L36" s="50" t="s">
        <v>11</v>
      </c>
      <c r="M36" s="50" t="s">
        <v>12</v>
      </c>
      <c r="N36" s="50" t="s">
        <v>13</v>
      </c>
      <c r="O36" s="50" t="s">
        <v>209</v>
      </c>
      <c r="P36" s="50" t="s">
        <v>210</v>
      </c>
    </row>
    <row r="37" spans="1:21" ht="18.75">
      <c r="A37" s="28">
        <v>0</v>
      </c>
      <c r="B37" s="53" t="s">
        <v>39</v>
      </c>
      <c r="C37" s="24">
        <v>-78</v>
      </c>
      <c r="D37" s="25">
        <v>-180</v>
      </c>
      <c r="E37" s="26">
        <f>(ABS(C37)-ABS(D37))</f>
        <v>-102</v>
      </c>
      <c r="F37" s="26">
        <f>IF(E37&gt;=0,(E37*11.375),(360+E37)*11.375)</f>
        <v>2934.75</v>
      </c>
      <c r="G37" s="36">
        <v>-95.5</v>
      </c>
      <c r="H37" s="36">
        <v>10</v>
      </c>
      <c r="I37" s="34"/>
      <c r="J37" s="35"/>
      <c r="K37" s="27">
        <v>-11.375</v>
      </c>
      <c r="L37" s="27">
        <f>(D37-30)*K37</f>
        <v>2388.75</v>
      </c>
      <c r="M37" s="27">
        <v>10</v>
      </c>
      <c r="N37" s="25">
        <f>+F37</f>
        <v>2934.75</v>
      </c>
      <c r="O37" s="25"/>
      <c r="P37" s="25"/>
    </row>
    <row r="38" spans="1:21" ht="18.75">
      <c r="A38" s="23">
        <v>1</v>
      </c>
      <c r="B38" s="53" t="s">
        <v>40</v>
      </c>
      <c r="C38" s="24">
        <v>-44</v>
      </c>
      <c r="D38" s="25">
        <v>-315</v>
      </c>
      <c r="E38" s="26">
        <f>(ABS(C38)-ABS(D38))</f>
        <v>-271</v>
      </c>
      <c r="F38" s="26">
        <f>IF(E38&gt;=0,(E38*11.375),(360+E38)*11.375)</f>
        <v>1012.375</v>
      </c>
      <c r="G38" s="36">
        <v>0</v>
      </c>
      <c r="H38" s="36">
        <v>160.80000000000001</v>
      </c>
      <c r="I38" s="34"/>
      <c r="J38" s="34"/>
      <c r="K38" s="27">
        <v>-11.375</v>
      </c>
      <c r="L38" s="27">
        <f>K38*(D38+30)</f>
        <v>3241.875</v>
      </c>
      <c r="M38" s="27">
        <v>10</v>
      </c>
      <c r="N38" s="25">
        <f>+F38</f>
        <v>1012.375</v>
      </c>
      <c r="O38" s="25"/>
      <c r="P38" s="25"/>
    </row>
    <row r="39" spans="1:21" ht="18.75">
      <c r="A39" s="23">
        <v>2</v>
      </c>
      <c r="B39" s="53" t="s">
        <v>41</v>
      </c>
      <c r="C39" s="24">
        <v>-72.599999999999994</v>
      </c>
      <c r="D39" s="25">
        <f>-L39/-K39</f>
        <v>24.257819103972956</v>
      </c>
      <c r="E39" s="44">
        <f>ABS((+C39/(40/65)-(C37-C38)/(40/65)))-ABS(180)</f>
        <v>-117.27500000000002</v>
      </c>
      <c r="F39" s="44">
        <f>IF(E39&gt;=0,(E39*11.375),(360+E39)*11.375)</f>
        <v>2760.9968749999998</v>
      </c>
      <c r="G39" s="36">
        <v>-37</v>
      </c>
      <c r="H39" s="36">
        <v>80</v>
      </c>
      <c r="I39" s="34"/>
      <c r="J39" s="34"/>
      <c r="K39" s="27">
        <v>-11.375</v>
      </c>
      <c r="L39" s="64">
        <f>2047*40/65+((D37*K37)-(D38*K38))</f>
        <v>-275.93269230769238</v>
      </c>
      <c r="M39" s="27">
        <v>10</v>
      </c>
      <c r="N39" s="27">
        <f>F39</f>
        <v>2760.9968749999998</v>
      </c>
      <c r="O39" s="27"/>
      <c r="P39" s="27"/>
      <c r="R39" s="45" t="s">
        <v>208</v>
      </c>
      <c r="S39" s="45"/>
      <c r="T39" s="45"/>
      <c r="U39" s="45"/>
    </row>
    <row r="40" spans="1:21" ht="18.75">
      <c r="A40" s="23">
        <v>3</v>
      </c>
      <c r="B40" s="53" t="s">
        <v>42</v>
      </c>
      <c r="C40" s="24">
        <v>30</v>
      </c>
      <c r="D40" s="25">
        <v>-180</v>
      </c>
      <c r="E40" s="26">
        <f>(ABS(C40)-ABS(D40))</f>
        <v>-150</v>
      </c>
      <c r="F40" s="26">
        <f>IF(E40&gt;=0,(E40*11.375),(360+E40)*11.375)</f>
        <v>2388.75</v>
      </c>
      <c r="G40" s="36">
        <v>15</v>
      </c>
      <c r="H40" s="36">
        <v>106</v>
      </c>
      <c r="I40" s="34"/>
      <c r="J40" s="34"/>
      <c r="K40" s="27">
        <v>-11.375</v>
      </c>
      <c r="L40" s="27">
        <v>1532</v>
      </c>
      <c r="M40" s="27">
        <v>10</v>
      </c>
      <c r="N40" s="25">
        <f>+F40</f>
        <v>2388.75</v>
      </c>
      <c r="O40" s="25"/>
      <c r="P40" s="25"/>
    </row>
    <row r="41" spans="1:21" ht="18.75">
      <c r="A41" s="23">
        <v>4</v>
      </c>
      <c r="B41" s="53" t="s">
        <v>43</v>
      </c>
      <c r="C41" s="33"/>
      <c r="D41" s="25">
        <v>90</v>
      </c>
      <c r="E41" s="33"/>
      <c r="F41" s="33"/>
      <c r="G41" s="36">
        <v>-90</v>
      </c>
      <c r="H41" s="36">
        <v>90</v>
      </c>
      <c r="I41" s="34"/>
      <c r="J41" s="34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3" t="s">
        <v>44</v>
      </c>
      <c r="C42" s="33"/>
      <c r="D42" s="25">
        <v>-20</v>
      </c>
      <c r="E42" s="33"/>
      <c r="F42" s="33"/>
      <c r="G42" s="36">
        <v>-90</v>
      </c>
      <c r="H42" s="36">
        <v>0</v>
      </c>
      <c r="I42" s="34"/>
      <c r="J42" s="34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3" t="s">
        <v>45</v>
      </c>
      <c r="C43" s="33"/>
      <c r="D43" s="25">
        <v>-52</v>
      </c>
      <c r="E43" s="33"/>
      <c r="F43" s="33"/>
      <c r="G43" s="36">
        <v>-20</v>
      </c>
      <c r="H43" s="36">
        <v>40</v>
      </c>
      <c r="I43" s="34"/>
      <c r="J43" s="34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3" t="s">
        <v>46</v>
      </c>
      <c r="C44" s="33"/>
      <c r="D44" s="27">
        <f>IF(K44&gt;0,+I44/K44+G44,+I44/K44-G44)</f>
        <v>-480</v>
      </c>
      <c r="E44" s="33"/>
      <c r="F44" s="33"/>
      <c r="G44" s="27">
        <v>0</v>
      </c>
      <c r="H44" s="27">
        <v>60</v>
      </c>
      <c r="I44" s="46">
        <v>1600</v>
      </c>
      <c r="J44" s="46">
        <v>1400</v>
      </c>
      <c r="K44" s="29">
        <f>(J44-I44)/(H44-G44)</f>
        <v>-3.3333333333333335</v>
      </c>
      <c r="L44" s="27">
        <f>ABS(+D44*K44)</f>
        <v>1600</v>
      </c>
      <c r="M44" s="27">
        <v>100</v>
      </c>
      <c r="N44" s="27">
        <v>0</v>
      </c>
      <c r="O44" s="27"/>
      <c r="P44" s="27"/>
    </row>
    <row r="45" spans="1:21" ht="18.75">
      <c r="A45" s="32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7" t="s">
        <v>47</v>
      </c>
      <c r="C46" s="47"/>
      <c r="D46" s="47"/>
      <c r="E46" s="58"/>
      <c r="F46" s="58"/>
      <c r="G46" s="47"/>
      <c r="H46" s="47"/>
      <c r="I46" s="47"/>
      <c r="J46" s="47"/>
      <c r="K46" s="47"/>
      <c r="L46" s="47"/>
      <c r="M46" s="47"/>
      <c r="N46" s="47"/>
      <c r="O46" s="47"/>
      <c r="P46" s="47"/>
    </row>
    <row r="47" spans="1:21" ht="36.75" customHeight="1" thickBot="1">
      <c r="A47" s="48" t="s">
        <v>1</v>
      </c>
      <c r="B47" s="49" t="s">
        <v>2</v>
      </c>
      <c r="C47" s="50" t="s">
        <v>38</v>
      </c>
      <c r="D47" s="50" t="s">
        <v>4</v>
      </c>
      <c r="E47" s="51" t="s">
        <v>5</v>
      </c>
      <c r="F47" s="52" t="s">
        <v>163</v>
      </c>
      <c r="G47" s="50" t="s">
        <v>6</v>
      </c>
      <c r="H47" s="50" t="s">
        <v>7</v>
      </c>
      <c r="I47" s="50" t="s">
        <v>8</v>
      </c>
      <c r="J47" s="50" t="s">
        <v>9</v>
      </c>
      <c r="K47" s="50" t="s">
        <v>10</v>
      </c>
      <c r="L47" s="50" t="s">
        <v>11</v>
      </c>
      <c r="M47" s="50" t="s">
        <v>12</v>
      </c>
      <c r="N47" s="50" t="s">
        <v>13</v>
      </c>
      <c r="O47" s="50" t="s">
        <v>209</v>
      </c>
      <c r="P47" s="50" t="s">
        <v>210</v>
      </c>
    </row>
    <row r="48" spans="1:21" ht="18.75">
      <c r="A48" s="28">
        <v>0</v>
      </c>
      <c r="B48" s="53" t="s">
        <v>48</v>
      </c>
      <c r="C48" s="33"/>
      <c r="D48" s="27">
        <f>IF(K48&gt;0,+I48/K48-G48,+I48/K48+G48)</f>
        <v>43.971291866028707</v>
      </c>
      <c r="E48" s="33"/>
      <c r="F48" s="33"/>
      <c r="G48" s="27">
        <v>-10</v>
      </c>
      <c r="H48" s="27">
        <v>90</v>
      </c>
      <c r="I48" s="46">
        <v>710</v>
      </c>
      <c r="J48" s="46">
        <v>2800</v>
      </c>
      <c r="K48" s="29">
        <f t="shared" ref="K48:K55" si="5">(J48-I48)/(H48-G48)</f>
        <v>20.9</v>
      </c>
      <c r="L48" s="27">
        <f>ABS(D48*K48)</f>
        <v>918.99999999999989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3" t="s">
        <v>49</v>
      </c>
      <c r="C49" s="33"/>
      <c r="D49" s="27">
        <f>-G49+(+I49/K49)</f>
        <v>-98</v>
      </c>
      <c r="E49" s="33"/>
      <c r="F49" s="33"/>
      <c r="G49" s="27">
        <v>0</v>
      </c>
      <c r="H49" s="27">
        <v>90</v>
      </c>
      <c r="I49" s="74">
        <v>245</v>
      </c>
      <c r="J49" s="74">
        <v>20</v>
      </c>
      <c r="K49" s="29">
        <f t="shared" si="5"/>
        <v>-2.5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3" t="s">
        <v>50</v>
      </c>
      <c r="C50" s="33"/>
      <c r="D50" s="27">
        <f t="shared" ref="D50:D55" si="6">-G50+(+I50/K50)</f>
        <v>-183.91304347826087</v>
      </c>
      <c r="E50" s="33"/>
      <c r="F50" s="33"/>
      <c r="G50" s="27">
        <v>0</v>
      </c>
      <c r="H50" s="27">
        <v>180</v>
      </c>
      <c r="I50" s="74">
        <v>470</v>
      </c>
      <c r="J50" s="74">
        <v>10</v>
      </c>
      <c r="K50" s="29">
        <f t="shared" si="5"/>
        <v>-2.5555555555555554</v>
      </c>
      <c r="L50" s="27">
        <f>J50</f>
        <v>10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3" t="s">
        <v>51</v>
      </c>
      <c r="C51" s="33"/>
      <c r="D51" s="27">
        <f t="shared" si="6"/>
        <v>-93.84615384615384</v>
      </c>
      <c r="E51" s="33"/>
      <c r="F51" s="33"/>
      <c r="G51" s="27">
        <v>0</v>
      </c>
      <c r="H51" s="27">
        <v>90</v>
      </c>
      <c r="I51" s="74">
        <v>244</v>
      </c>
      <c r="J51" s="74">
        <v>10</v>
      </c>
      <c r="K51" s="29">
        <f t="shared" si="5"/>
        <v>-2.6</v>
      </c>
      <c r="L51" s="27">
        <f>I51</f>
        <v>244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3" t="s">
        <v>52</v>
      </c>
      <c r="C52" s="33"/>
      <c r="D52" s="27">
        <f t="shared" si="6"/>
        <v>-187.74193548387095</v>
      </c>
      <c r="E52" s="33"/>
      <c r="F52" s="33"/>
      <c r="G52" s="27">
        <v>0</v>
      </c>
      <c r="H52" s="27">
        <v>180</v>
      </c>
      <c r="I52" s="74">
        <v>485</v>
      </c>
      <c r="J52" s="74">
        <v>20</v>
      </c>
      <c r="K52" s="29">
        <f t="shared" si="5"/>
        <v>-2.5833333333333335</v>
      </c>
      <c r="L52" s="27">
        <f>J52</f>
        <v>20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3" t="s">
        <v>53</v>
      </c>
      <c r="C53" s="33"/>
      <c r="D53" s="27">
        <f t="shared" si="6"/>
        <v>-93.75</v>
      </c>
      <c r="E53" s="33"/>
      <c r="F53" s="33"/>
      <c r="G53" s="27">
        <v>0</v>
      </c>
      <c r="H53" s="27">
        <v>90</v>
      </c>
      <c r="I53" s="74">
        <v>250</v>
      </c>
      <c r="J53" s="74">
        <v>10</v>
      </c>
      <c r="K53" s="29">
        <f t="shared" si="5"/>
        <v>-2.6666666666666665</v>
      </c>
      <c r="L53" s="27">
        <f>I53</f>
        <v>250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3" t="s">
        <v>54</v>
      </c>
      <c r="C54" s="33"/>
      <c r="D54" s="27">
        <f t="shared" si="6"/>
        <v>-202.39234449760764</v>
      </c>
      <c r="E54" s="33"/>
      <c r="F54" s="33"/>
      <c r="G54" s="27">
        <v>0</v>
      </c>
      <c r="H54" s="27">
        <v>180</v>
      </c>
      <c r="I54" s="74">
        <v>470</v>
      </c>
      <c r="J54" s="74">
        <v>52</v>
      </c>
      <c r="K54" s="29">
        <f t="shared" si="5"/>
        <v>-2.3222222222222224</v>
      </c>
      <c r="L54" s="27">
        <f>J54</f>
        <v>52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3" t="s">
        <v>55</v>
      </c>
      <c r="C55" s="33"/>
      <c r="D55" s="27">
        <f t="shared" si="6"/>
        <v>-286.74418604651163</v>
      </c>
      <c r="E55" s="33"/>
      <c r="F55" s="33"/>
      <c r="G55" s="27">
        <v>0</v>
      </c>
      <c r="H55" s="27">
        <v>270</v>
      </c>
      <c r="I55" s="74">
        <v>685</v>
      </c>
      <c r="J55" s="74">
        <v>40</v>
      </c>
      <c r="K55" s="29">
        <f t="shared" si="5"/>
        <v>-2.3888888888888888</v>
      </c>
      <c r="L55" s="27">
        <f>I55</f>
        <v>685</v>
      </c>
      <c r="M55" s="27">
        <v>10</v>
      </c>
      <c r="N55" s="27">
        <v>26000</v>
      </c>
      <c r="O55" s="27"/>
      <c r="P55" s="27"/>
    </row>
    <row r="56" spans="1:16" ht="18.75">
      <c r="B56" s="70"/>
      <c r="C56" s="33"/>
      <c r="D56" s="33"/>
      <c r="E56" s="71"/>
      <c r="F56" s="71"/>
      <c r="G56" s="70"/>
      <c r="H56" s="70"/>
      <c r="I56" s="70"/>
      <c r="J56" s="70"/>
      <c r="K56" s="70"/>
      <c r="L56" s="70"/>
      <c r="M56" s="70"/>
      <c r="N56" s="70"/>
      <c r="O56" s="70"/>
      <c r="P56" s="70"/>
    </row>
    <row r="57" spans="1:16" ht="21.75" thickBot="1">
      <c r="B57" s="66" t="s">
        <v>56</v>
      </c>
      <c r="C57" s="67"/>
      <c r="D57" s="67"/>
      <c r="E57" s="68"/>
      <c r="F57" s="68"/>
      <c r="G57" s="67"/>
      <c r="H57" s="67"/>
      <c r="I57" s="67"/>
      <c r="J57" s="67"/>
      <c r="K57" s="67"/>
      <c r="L57" s="67"/>
      <c r="M57" s="67"/>
      <c r="N57" s="67"/>
      <c r="O57" s="67"/>
      <c r="P57" s="69"/>
    </row>
    <row r="58" spans="1:16" ht="33" customHeight="1" thickBot="1">
      <c r="A58" s="48" t="s">
        <v>1</v>
      </c>
      <c r="B58" s="54" t="s">
        <v>2</v>
      </c>
      <c r="C58" s="55" t="s">
        <v>38</v>
      </c>
      <c r="D58" s="55" t="s">
        <v>4</v>
      </c>
      <c r="E58" s="56" t="s">
        <v>5</v>
      </c>
      <c r="F58" s="57" t="s">
        <v>163</v>
      </c>
      <c r="G58" s="55" t="s">
        <v>6</v>
      </c>
      <c r="H58" s="55" t="s">
        <v>7</v>
      </c>
      <c r="I58" s="55" t="s">
        <v>8</v>
      </c>
      <c r="J58" s="55" t="s">
        <v>9</v>
      </c>
      <c r="K58" s="55" t="s">
        <v>10</v>
      </c>
      <c r="L58" s="55" t="s">
        <v>11</v>
      </c>
      <c r="M58" s="55" t="s">
        <v>12</v>
      </c>
      <c r="N58" s="55" t="s">
        <v>13</v>
      </c>
      <c r="O58" s="55" t="s">
        <v>209</v>
      </c>
      <c r="P58" s="55" t="s">
        <v>210</v>
      </c>
    </row>
    <row r="59" spans="1:16" ht="18.75">
      <c r="A59" s="28">
        <v>0</v>
      </c>
      <c r="B59" s="53" t="s">
        <v>57</v>
      </c>
      <c r="C59" s="24">
        <v>225.1</v>
      </c>
      <c r="D59" s="25">
        <v>180</v>
      </c>
      <c r="E59" s="26">
        <f>(ABS(C59)-ABS(D59))</f>
        <v>45.099999999999994</v>
      </c>
      <c r="F59" s="26">
        <f>IF(E59&gt;=0,(E59*11.375),(360+E59)*11.375)</f>
        <v>513.01249999999993</v>
      </c>
      <c r="G59" s="36">
        <v>-95.5</v>
      </c>
      <c r="H59" s="36">
        <v>10</v>
      </c>
      <c r="I59" s="63"/>
      <c r="J59" s="63"/>
      <c r="K59" s="64">
        <v>11.375</v>
      </c>
      <c r="L59" s="25">
        <f>(D59-30)*K59</f>
        <v>1706.25</v>
      </c>
      <c r="M59" s="25">
        <v>10</v>
      </c>
      <c r="N59" s="25">
        <f>+F59</f>
        <v>513.01249999999993</v>
      </c>
      <c r="O59" s="25"/>
      <c r="P59" s="25"/>
    </row>
    <row r="60" spans="1:16" ht="18.75">
      <c r="A60" s="23">
        <v>1</v>
      </c>
      <c r="B60" s="53" t="s">
        <v>58</v>
      </c>
      <c r="C60" s="24">
        <v>5.4</v>
      </c>
      <c r="D60" s="25">
        <f>45</f>
        <v>45</v>
      </c>
      <c r="E60" s="26">
        <f>(ABS(C60)-ABS(D60))</f>
        <v>-39.6</v>
      </c>
      <c r="F60" s="26">
        <f>IF(E60&gt;=0,(E60*11.375),(360+E60)*11.375)</f>
        <v>3644.5499999999997</v>
      </c>
      <c r="G60" s="36">
        <v>0</v>
      </c>
      <c r="H60" s="36">
        <v>161</v>
      </c>
      <c r="I60" s="63"/>
      <c r="J60" s="63"/>
      <c r="K60" s="64">
        <v>11.375</v>
      </c>
      <c r="L60" s="25">
        <f>(D60+30)*K60</f>
        <v>853.125</v>
      </c>
      <c r="M60" s="25">
        <v>10</v>
      </c>
      <c r="N60" s="25">
        <f>+F60</f>
        <v>3644.5499999999997</v>
      </c>
      <c r="O60" s="25"/>
      <c r="P60" s="25"/>
    </row>
    <row r="61" spans="1:16" ht="18.75">
      <c r="A61" s="23">
        <v>2</v>
      </c>
      <c r="B61" s="53" t="s">
        <v>59</v>
      </c>
      <c r="C61" s="65">
        <v>410</v>
      </c>
      <c r="D61" s="25">
        <f>L61/K61</f>
        <v>245.74218089602704</v>
      </c>
      <c r="E61" s="44">
        <f>ABS((+C61/(40/65)-(C59-C60)/(40/65)))-ABS(180)</f>
        <v>129.23750000000001</v>
      </c>
      <c r="F61" s="44">
        <f>IF(E61&gt;=0,(E61*11.375),(360+E61)*11.375)</f>
        <v>1470.0765625000001</v>
      </c>
      <c r="G61" s="36">
        <v>-37</v>
      </c>
      <c r="H61" s="36">
        <v>80</v>
      </c>
      <c r="I61" s="63"/>
      <c r="J61" s="63"/>
      <c r="K61" s="64">
        <v>11.375</v>
      </c>
      <c r="L61" s="64">
        <f>2047*40/65+((D59*K59)-(D60*K60))</f>
        <v>2795.3173076923076</v>
      </c>
      <c r="M61" s="25">
        <v>10</v>
      </c>
      <c r="N61" s="25">
        <f>F61</f>
        <v>1470.0765625000001</v>
      </c>
      <c r="O61" s="25"/>
      <c r="P61" s="25"/>
    </row>
    <row r="62" spans="1:16" ht="18.75">
      <c r="A62" s="23">
        <v>3</v>
      </c>
      <c r="B62" s="53" t="s">
        <v>60</v>
      </c>
      <c r="C62" s="24">
        <v>48.3</v>
      </c>
      <c r="D62" s="25">
        <v>180</v>
      </c>
      <c r="E62" s="26">
        <f>(ABS(C62)-ABS(D62))</f>
        <v>-131.69999999999999</v>
      </c>
      <c r="F62" s="26">
        <f>IF(E62&gt;=0,(E62*11.375),(360+E62)*11.375)</f>
        <v>2596.9124999999999</v>
      </c>
      <c r="G62" s="36">
        <v>15</v>
      </c>
      <c r="H62" s="36">
        <v>106</v>
      </c>
      <c r="I62" s="63"/>
      <c r="J62" s="63"/>
      <c r="K62" s="64">
        <v>11.375</v>
      </c>
      <c r="L62" s="27">
        <v>2558</v>
      </c>
      <c r="M62" s="25">
        <v>10</v>
      </c>
      <c r="N62" s="25">
        <f>+F62</f>
        <v>2596.9124999999999</v>
      </c>
      <c r="O62" s="25"/>
      <c r="P62" s="25"/>
    </row>
    <row r="63" spans="1:16" ht="18.75">
      <c r="A63" s="23">
        <v>4</v>
      </c>
      <c r="B63" s="53" t="s">
        <v>61</v>
      </c>
      <c r="C63" s="34"/>
      <c r="D63" s="27">
        <v>90</v>
      </c>
      <c r="E63" s="33"/>
      <c r="F63" s="33"/>
      <c r="G63" s="38">
        <v>-90</v>
      </c>
      <c r="H63" s="38">
        <v>90</v>
      </c>
      <c r="I63" s="33"/>
      <c r="J63" s="33"/>
      <c r="K63" s="64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3" t="s">
        <v>62</v>
      </c>
      <c r="C64" s="33"/>
      <c r="D64" s="27">
        <v>-20</v>
      </c>
      <c r="E64" s="33"/>
      <c r="F64" s="33"/>
      <c r="G64" s="38">
        <v>-90</v>
      </c>
      <c r="H64" s="38">
        <v>0</v>
      </c>
      <c r="I64" s="33"/>
      <c r="J64" s="33"/>
      <c r="K64" s="64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3" t="s">
        <v>63</v>
      </c>
      <c r="C65" s="33"/>
      <c r="D65" s="27">
        <v>-52</v>
      </c>
      <c r="E65" s="33"/>
      <c r="F65" s="33"/>
      <c r="G65" s="38">
        <v>-20</v>
      </c>
      <c r="H65" s="38">
        <v>40</v>
      </c>
      <c r="I65" s="33"/>
      <c r="J65" s="33"/>
      <c r="K65" s="64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3" t="s">
        <v>64</v>
      </c>
      <c r="C66" s="33"/>
      <c r="D66" s="27">
        <f>IF(K66&gt;0,+I66/K66+G66,+I66/K66-G66)</f>
        <v>353.68421052631578</v>
      </c>
      <c r="E66" s="33"/>
      <c r="F66" s="33"/>
      <c r="G66" s="25">
        <v>0</v>
      </c>
      <c r="H66" s="25">
        <v>60</v>
      </c>
      <c r="I66" s="46">
        <v>2240</v>
      </c>
      <c r="J66" s="46">
        <v>2620</v>
      </c>
      <c r="K66" s="64">
        <f>(J66-I66)/(H66-G66)</f>
        <v>6.333333333333333</v>
      </c>
      <c r="L66" s="25">
        <f>ABS(+D66*K66)</f>
        <v>2240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59" t="s">
        <v>65</v>
      </c>
      <c r="C68" s="60"/>
      <c r="D68" s="60"/>
      <c r="E68" s="61"/>
      <c r="F68" s="61"/>
      <c r="G68" s="60"/>
      <c r="H68" s="60"/>
      <c r="I68" s="60"/>
      <c r="J68" s="60"/>
      <c r="K68" s="60"/>
      <c r="L68" s="60"/>
      <c r="M68" s="60"/>
      <c r="N68" s="60"/>
      <c r="O68" s="60"/>
      <c r="P68" s="62"/>
    </row>
    <row r="69" spans="1:16" ht="36.75" customHeight="1" thickBot="1">
      <c r="A69" s="48" t="s">
        <v>1</v>
      </c>
      <c r="B69" s="54" t="s">
        <v>2</v>
      </c>
      <c r="C69" s="55" t="s">
        <v>38</v>
      </c>
      <c r="D69" s="55" t="s">
        <v>4</v>
      </c>
      <c r="E69" s="56" t="s">
        <v>5</v>
      </c>
      <c r="F69" s="57" t="s">
        <v>163</v>
      </c>
      <c r="G69" s="55" t="s">
        <v>6</v>
      </c>
      <c r="H69" s="55" t="s">
        <v>7</v>
      </c>
      <c r="I69" s="55" t="s">
        <v>8</v>
      </c>
      <c r="J69" s="55" t="s">
        <v>9</v>
      </c>
      <c r="K69" s="55" t="s">
        <v>10</v>
      </c>
      <c r="L69" s="55" t="s">
        <v>11</v>
      </c>
      <c r="M69" s="55" t="s">
        <v>12</v>
      </c>
      <c r="N69" s="55" t="s">
        <v>13</v>
      </c>
      <c r="O69" s="55" t="s">
        <v>209</v>
      </c>
      <c r="P69" s="55" t="s">
        <v>210</v>
      </c>
    </row>
    <row r="70" spans="1:16" ht="18.75">
      <c r="A70" s="28">
        <v>0</v>
      </c>
      <c r="B70" s="53" t="s">
        <v>66</v>
      </c>
      <c r="C70" s="33"/>
      <c r="D70" s="27">
        <f>IF(K70&gt;0,+I70/K70-G70,+I70/K70+G70)</f>
        <v>114</v>
      </c>
      <c r="E70" s="33"/>
      <c r="F70" s="33"/>
      <c r="G70" s="27">
        <v>-10</v>
      </c>
      <c r="H70" s="27">
        <v>90</v>
      </c>
      <c r="I70" s="46">
        <v>1300</v>
      </c>
      <c r="J70" s="46">
        <v>2550</v>
      </c>
      <c r="K70" s="29">
        <f t="shared" ref="K70:K77" si="7">(J70-I70)/(H70-G70)</f>
        <v>12.5</v>
      </c>
      <c r="L70" s="25">
        <f>ABS(D70*K70)</f>
        <v>1425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3" t="s">
        <v>67</v>
      </c>
      <c r="C71" s="33"/>
      <c r="D71" s="27">
        <f t="shared" ref="D71:D77" si="8">-G71+(+I71/K71)</f>
        <v>-93.75</v>
      </c>
      <c r="E71" s="33"/>
      <c r="F71" s="33"/>
      <c r="G71" s="27">
        <v>0</v>
      </c>
      <c r="H71" s="27">
        <v>90</v>
      </c>
      <c r="I71" s="74">
        <v>250</v>
      </c>
      <c r="J71" s="74">
        <v>10</v>
      </c>
      <c r="K71" s="29">
        <f t="shared" si="7"/>
        <v>-2.6666666666666665</v>
      </c>
      <c r="L71" s="27">
        <f>I71</f>
        <v>250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3" t="s">
        <v>68</v>
      </c>
      <c r="C72" s="33"/>
      <c r="D72" s="27">
        <f t="shared" si="8"/>
        <v>-202.5</v>
      </c>
      <c r="E72" s="33"/>
      <c r="F72" s="33"/>
      <c r="G72" s="27">
        <v>0</v>
      </c>
      <c r="H72" s="27">
        <v>180</v>
      </c>
      <c r="I72" s="74">
        <v>450</v>
      </c>
      <c r="J72" s="74">
        <v>50</v>
      </c>
      <c r="K72" s="29">
        <f t="shared" si="7"/>
        <v>-2.2222222222222223</v>
      </c>
      <c r="L72" s="27">
        <f>+J72</f>
        <v>50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3" t="s">
        <v>69</v>
      </c>
      <c r="C73" s="33"/>
      <c r="D73" s="27">
        <f t="shared" si="8"/>
        <v>-93.75</v>
      </c>
      <c r="E73" s="33"/>
      <c r="F73" s="33"/>
      <c r="G73" s="27">
        <v>0</v>
      </c>
      <c r="H73" s="27">
        <v>90</v>
      </c>
      <c r="I73" s="74">
        <v>250</v>
      </c>
      <c r="J73" s="74">
        <v>10</v>
      </c>
      <c r="K73" s="29">
        <f t="shared" si="7"/>
        <v>-2.6666666666666665</v>
      </c>
      <c r="L73" s="27">
        <f>I73</f>
        <v>250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3" t="s">
        <v>70</v>
      </c>
      <c r="C74" s="33"/>
      <c r="D74" s="27">
        <f t="shared" si="8"/>
        <v>-183.75</v>
      </c>
      <c r="E74" s="33"/>
      <c r="F74" s="33"/>
      <c r="G74" s="27">
        <v>0</v>
      </c>
      <c r="H74" s="27">
        <v>180</v>
      </c>
      <c r="I74" s="74">
        <v>490</v>
      </c>
      <c r="J74" s="74">
        <v>10</v>
      </c>
      <c r="K74" s="29">
        <f t="shared" si="7"/>
        <v>-2.6666666666666665</v>
      </c>
      <c r="L74" s="27">
        <f>+J74</f>
        <v>10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3" t="s">
        <v>71</v>
      </c>
      <c r="C75" s="33"/>
      <c r="D75" s="27">
        <f t="shared" si="8"/>
        <v>-100</v>
      </c>
      <c r="E75" s="33"/>
      <c r="F75" s="33"/>
      <c r="G75" s="27">
        <v>0</v>
      </c>
      <c r="H75" s="27">
        <v>90</v>
      </c>
      <c r="I75" s="74">
        <v>250</v>
      </c>
      <c r="J75" s="74">
        <v>25</v>
      </c>
      <c r="K75" s="29">
        <f t="shared" si="7"/>
        <v>-2.5</v>
      </c>
      <c r="L75" s="27">
        <f>I75</f>
        <v>250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3" t="s">
        <v>72</v>
      </c>
      <c r="C76" s="33"/>
      <c r="D76" s="27">
        <f t="shared" si="8"/>
        <v>-187.74193548387095</v>
      </c>
      <c r="E76" s="33"/>
      <c r="F76" s="33"/>
      <c r="G76" s="27">
        <v>0</v>
      </c>
      <c r="H76" s="27">
        <v>180</v>
      </c>
      <c r="I76" s="74">
        <v>485</v>
      </c>
      <c r="J76" s="74">
        <v>20</v>
      </c>
      <c r="K76" s="29">
        <f t="shared" si="7"/>
        <v>-2.5833333333333335</v>
      </c>
      <c r="L76" s="27">
        <f>J76</f>
        <v>20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3" t="s">
        <v>73</v>
      </c>
      <c r="C77" s="33"/>
      <c r="D77" s="27">
        <f t="shared" si="8"/>
        <v>-313.54838709677421</v>
      </c>
      <c r="E77" s="33"/>
      <c r="F77" s="33"/>
      <c r="G77" s="27">
        <v>0</v>
      </c>
      <c r="H77" s="27">
        <v>270</v>
      </c>
      <c r="I77" s="74">
        <v>720</v>
      </c>
      <c r="J77" s="74">
        <v>100</v>
      </c>
      <c r="K77" s="29">
        <f t="shared" si="7"/>
        <v>-2.2962962962962963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253</v>
      </c>
      <c r="C93" s="3"/>
      <c r="D93" s="3"/>
    </row>
    <row r="94" spans="1:5">
      <c r="A94" t="s">
        <v>207</v>
      </c>
      <c r="C94" s="3"/>
      <c r="D94" s="3"/>
    </row>
    <row r="95" spans="1:5" ht="15.75" thickBot="1">
      <c r="C95" s="3"/>
      <c r="D95" s="3"/>
    </row>
    <row r="96" spans="1:5" ht="21.75" thickBot="1">
      <c r="A96" s="43" t="s">
        <v>166</v>
      </c>
      <c r="B96" s="42" t="s">
        <v>252</v>
      </c>
      <c r="C96" s="40"/>
      <c r="D96" s="40"/>
      <c r="E96" s="41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25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5" t="s">
        <v>83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1:13">
      <c r="A11" s="75" t="s">
        <v>84</v>
      </c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</row>
    <row r="12" spans="1:13">
      <c r="A12" s="75" t="s">
        <v>85</v>
      </c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</row>
    <row r="13" spans="1:13">
      <c r="A13" s="75" t="s">
        <v>86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</row>
    <row r="14" spans="1:13">
      <c r="A14" s="75" t="s">
        <v>87</v>
      </c>
      <c r="B14" s="75" t="s">
        <v>88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</row>
    <row r="15" spans="1:13">
      <c r="A15" s="75" t="s">
        <v>89</v>
      </c>
      <c r="B15" s="75">
        <v>3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</row>
    <row r="16" spans="1:13">
      <c r="A16" s="75" t="s">
        <v>90</v>
      </c>
      <c r="B16" s="75">
        <v>0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</row>
    <row r="17" spans="1:13">
      <c r="A17" s="75" t="s">
        <v>91</v>
      </c>
      <c r="B17" s="75">
        <v>10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</row>
    <row r="18" spans="1:13">
      <c r="A18" s="75" t="s">
        <v>92</v>
      </c>
      <c r="B18" s="75">
        <v>300</v>
      </c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1:13">
      <c r="A19" s="75" t="s">
        <v>93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1:13">
      <c r="A20" s="75" t="s">
        <v>94</v>
      </c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1:13">
      <c r="A21" s="75" t="s">
        <v>95</v>
      </c>
      <c r="B21" s="75">
        <v>1</v>
      </c>
      <c r="C21" s="75">
        <v>1</v>
      </c>
      <c r="D21" s="75">
        <v>1</v>
      </c>
      <c r="E21" s="75">
        <v>1</v>
      </c>
      <c r="F21" s="75">
        <v>1</v>
      </c>
      <c r="G21" s="75">
        <v>1</v>
      </c>
      <c r="H21" s="75">
        <v>1</v>
      </c>
      <c r="I21" s="75">
        <v>1</v>
      </c>
      <c r="J21" s="75">
        <v>1</v>
      </c>
      <c r="K21" s="75">
        <v>1</v>
      </c>
      <c r="L21" s="75">
        <v>1</v>
      </c>
      <c r="M21" s="75">
        <v>1</v>
      </c>
    </row>
    <row r="22" spans="1:13">
      <c r="A22" s="75" t="s">
        <v>96</v>
      </c>
      <c r="B22" s="75">
        <v>0</v>
      </c>
      <c r="C22" s="75">
        <v>0</v>
      </c>
      <c r="D22" s="75">
        <v>0</v>
      </c>
      <c r="E22" s="75">
        <v>0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</row>
    <row r="23" spans="1:13">
      <c r="A23" s="75" t="s">
        <v>97</v>
      </c>
      <c r="B23" s="75">
        <v>1</v>
      </c>
      <c r="C23" s="75">
        <v>1</v>
      </c>
      <c r="D23" s="75">
        <v>1</v>
      </c>
      <c r="E23" s="75">
        <v>1</v>
      </c>
      <c r="F23" s="75">
        <v>1</v>
      </c>
      <c r="G23" s="75">
        <v>1</v>
      </c>
      <c r="H23" s="75">
        <v>1</v>
      </c>
      <c r="I23" s="75">
        <v>1</v>
      </c>
      <c r="J23" s="75">
        <v>1</v>
      </c>
      <c r="K23" s="75">
        <v>1</v>
      </c>
      <c r="L23" s="75">
        <v>1</v>
      </c>
      <c r="M23" s="75">
        <v>1</v>
      </c>
    </row>
    <row r="24" spans="1:13">
      <c r="A24" s="75" t="s">
        <v>98</v>
      </c>
      <c r="B24" s="75">
        <v>0</v>
      </c>
      <c r="C24" s="75">
        <v>0</v>
      </c>
      <c r="D24" s="75">
        <v>0</v>
      </c>
      <c r="E24" s="75">
        <v>0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</row>
    <row r="25" spans="1:13">
      <c r="A25" s="75" t="s">
        <v>99</v>
      </c>
      <c r="B25" s="75">
        <v>1</v>
      </c>
      <c r="C25" s="75">
        <v>1</v>
      </c>
      <c r="D25" s="75">
        <v>1</v>
      </c>
      <c r="E25" s="75">
        <v>1</v>
      </c>
      <c r="F25" s="75">
        <v>1</v>
      </c>
      <c r="G25" s="75">
        <v>1</v>
      </c>
      <c r="H25" s="75">
        <v>1</v>
      </c>
      <c r="I25" s="75">
        <v>1</v>
      </c>
      <c r="J25" s="75">
        <v>1</v>
      </c>
      <c r="K25" s="75">
        <v>1</v>
      </c>
      <c r="L25" s="75">
        <v>1</v>
      </c>
      <c r="M25" s="75">
        <v>1</v>
      </c>
    </row>
    <row r="26" spans="1:13">
      <c r="A26" s="75" t="s">
        <v>100</v>
      </c>
      <c r="B26" s="75">
        <v>1</v>
      </c>
      <c r="C26" s="75">
        <v>1</v>
      </c>
      <c r="D26" s="75">
        <v>1</v>
      </c>
      <c r="E26" s="75">
        <v>1</v>
      </c>
      <c r="F26" s="75">
        <v>1</v>
      </c>
      <c r="G26" s="75">
        <v>1</v>
      </c>
      <c r="H26" s="75">
        <v>1</v>
      </c>
      <c r="I26" s="75">
        <v>1</v>
      </c>
      <c r="J26" s="75">
        <v>1</v>
      </c>
      <c r="K26" s="75">
        <v>1</v>
      </c>
      <c r="L26" s="75">
        <v>1</v>
      </c>
      <c r="M26" s="75">
        <v>1</v>
      </c>
    </row>
    <row r="27" spans="1:13">
      <c r="A27" s="75" t="s">
        <v>101</v>
      </c>
      <c r="B27" s="75">
        <v>0</v>
      </c>
      <c r="C27" s="75">
        <v>0</v>
      </c>
      <c r="D27" s="75">
        <v>0</v>
      </c>
      <c r="E27" s="75"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</row>
    <row r="28" spans="1:1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1:1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1:13">
      <c r="A30" s="75" t="s">
        <v>102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1:13">
      <c r="A31" s="75" t="s">
        <v>103</v>
      </c>
      <c r="B31" s="75">
        <v>12</v>
      </c>
      <c r="C31" s="75" t="s">
        <v>104</v>
      </c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1:13">
      <c r="A32" s="75" t="s">
        <v>220</v>
      </c>
      <c r="B32" s="75">
        <v>0</v>
      </c>
      <c r="C32" s="75">
        <v>1</v>
      </c>
      <c r="D32" s="75">
        <v>2</v>
      </c>
      <c r="E32" s="75">
        <v>3</v>
      </c>
      <c r="F32" s="75">
        <v>4</v>
      </c>
      <c r="G32" s="75">
        <v>5</v>
      </c>
      <c r="H32" s="75">
        <v>6</v>
      </c>
      <c r="I32" s="75">
        <v>7</v>
      </c>
      <c r="J32" s="75">
        <v>8</v>
      </c>
      <c r="K32" s="75">
        <v>9</v>
      </c>
      <c r="L32" s="75">
        <v>10</v>
      </c>
      <c r="M32" s="75">
        <v>11</v>
      </c>
    </row>
    <row r="33" spans="1:13">
      <c r="A33" s="75" t="s">
        <v>219</v>
      </c>
      <c r="B33" s="75">
        <v>100</v>
      </c>
      <c r="C33" s="75">
        <v>100</v>
      </c>
      <c r="D33" s="75">
        <v>100</v>
      </c>
      <c r="E33" s="75">
        <v>100</v>
      </c>
      <c r="F33" s="75">
        <v>100</v>
      </c>
      <c r="G33" s="75">
        <v>100</v>
      </c>
      <c r="H33" s="75">
        <v>100</v>
      </c>
      <c r="I33" s="75">
        <v>100</v>
      </c>
      <c r="J33" s="75">
        <v>100</v>
      </c>
      <c r="K33" s="75">
        <v>100</v>
      </c>
      <c r="L33" s="75">
        <v>100</v>
      </c>
      <c r="M33" s="75">
        <v>100</v>
      </c>
    </row>
    <row r="34" spans="1:13">
      <c r="A34" s="75" t="s">
        <v>105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</row>
    <row r="35" spans="1:13">
      <c r="A35" s="75" t="s">
        <v>218</v>
      </c>
      <c r="B35" s="75">
        <v>0</v>
      </c>
      <c r="C35" s="75">
        <v>1</v>
      </c>
      <c r="D35" s="75">
        <v>2</v>
      </c>
      <c r="E35" s="75">
        <v>3</v>
      </c>
      <c r="F35" s="75">
        <v>4</v>
      </c>
      <c r="G35" s="75">
        <v>5</v>
      </c>
      <c r="H35" s="75">
        <v>6</v>
      </c>
      <c r="I35" s="75">
        <v>7</v>
      </c>
      <c r="J35" s="75">
        <v>8</v>
      </c>
      <c r="K35" s="75">
        <v>9</v>
      </c>
      <c r="L35" s="75">
        <v>10</v>
      </c>
      <c r="M35" s="75">
        <v>11</v>
      </c>
    </row>
    <row r="36" spans="1:13">
      <c r="A36" s="75" t="s">
        <v>217</v>
      </c>
      <c r="B36" s="75">
        <v>2</v>
      </c>
      <c r="C36" s="75">
        <v>3</v>
      </c>
      <c r="D36" s="75">
        <v>0</v>
      </c>
      <c r="E36" s="75">
        <v>1</v>
      </c>
      <c r="F36" s="75">
        <v>4</v>
      </c>
      <c r="G36" s="75">
        <v>5</v>
      </c>
      <c r="H36" s="75">
        <v>8</v>
      </c>
      <c r="I36" s="75">
        <v>9</v>
      </c>
      <c r="J36" s="75">
        <v>6</v>
      </c>
      <c r="K36" s="75">
        <v>7</v>
      </c>
      <c r="L36" s="75">
        <v>10</v>
      </c>
      <c r="M36" s="75">
        <v>11</v>
      </c>
    </row>
    <row r="37" spans="1:1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</row>
    <row r="38" spans="1:13">
      <c r="A38" s="75" t="s">
        <v>216</v>
      </c>
      <c r="B38" s="75">
        <f>+INDEX(Sheet1!$K$7:$K18,COLUMN()-COLUMN($B$69)+1)</f>
        <v>11.375</v>
      </c>
      <c r="C38" s="75">
        <f>+INDEX(Sheet1!$K$7:$K18,COLUMN()-COLUMN($B$69)+1)</f>
        <v>11.375</v>
      </c>
      <c r="D38" s="75">
        <f>+INDEX(Sheet1!$K$7:$K18,COLUMN()-COLUMN($B$69)+1)</f>
        <v>11.375</v>
      </c>
      <c r="E38" s="75">
        <f>+INDEX(Sheet1!$K$7:$K18,COLUMN()-COLUMN($B$69)+1)</f>
        <v>11.375</v>
      </c>
      <c r="F38" s="75">
        <f>+INDEX(Sheet1!$K$7:$K18,COLUMN()-COLUMN($B$69)+1)</f>
        <v>11.375</v>
      </c>
      <c r="G38" s="75">
        <f>+INDEX(Sheet1!$K$7:$K18,COLUMN()-COLUMN($B$69)+1)</f>
        <v>11.375</v>
      </c>
      <c r="H38" s="75">
        <f>+INDEX(Sheet1!$K$7:$K18,COLUMN()-COLUMN($B$69)+1)</f>
        <v>-11.375</v>
      </c>
      <c r="I38" s="75">
        <f>+INDEX(Sheet1!$K$7:$K18,COLUMN()-COLUMN($B$69)+1)</f>
        <v>-11.375</v>
      </c>
      <c r="J38" s="75">
        <f>+INDEX(Sheet1!$K$7:$K18,COLUMN()-COLUMN($B$69)+1)</f>
        <v>-11.375</v>
      </c>
      <c r="K38" s="75">
        <f>+INDEX(Sheet1!$K$7:$K18,COLUMN()-COLUMN($B$69)+1)</f>
        <v>-11.375</v>
      </c>
      <c r="L38" s="75">
        <f>+INDEX(Sheet1!$K$7:$K18,COLUMN()-COLUMN($B$69)+1)</f>
        <v>-11.375</v>
      </c>
      <c r="M38" s="75">
        <f>+INDEX(Sheet1!$K$7:$K18,COLUMN()-COLUMN($B$69)+1)</f>
        <v>-11.375</v>
      </c>
    </row>
    <row r="39" spans="1:13">
      <c r="A39" s="75" t="s">
        <v>215</v>
      </c>
      <c r="B39" s="75">
        <f>+INDEX(Sheet1!$D$7:$D19,COLUMN()-COLUMN($B$69)+1)</f>
        <v>180</v>
      </c>
      <c r="C39" s="75">
        <f>+INDEX(Sheet1!$D$7:$D19,COLUMN()-COLUMN($B$69)+1)</f>
        <v>180</v>
      </c>
      <c r="D39" s="75">
        <f>+INDEX(Sheet1!$D$7:$D19,COLUMN()-COLUMN($B$69)+1)</f>
        <v>180</v>
      </c>
      <c r="E39" s="75">
        <f>+INDEX(Sheet1!$D$7:$D19,COLUMN()-COLUMN($B$69)+1)</f>
        <v>180</v>
      </c>
      <c r="F39" s="75">
        <f>+INDEX(Sheet1!$D$7:$D19,COLUMN()-COLUMN($B$69)+1)</f>
        <v>180</v>
      </c>
      <c r="G39" s="75">
        <f>+INDEX(Sheet1!$D$7:$D19,COLUMN()-COLUMN($B$69)+1)</f>
        <v>180</v>
      </c>
      <c r="H39" s="75">
        <f>+INDEX(Sheet1!$D$7:$D19,COLUMN()-COLUMN($B$69)+1)</f>
        <v>-180</v>
      </c>
      <c r="I39" s="75">
        <f>+INDEX(Sheet1!$D$7:$D19,COLUMN()-COLUMN($B$69)+1)</f>
        <v>-180</v>
      </c>
      <c r="J39" s="75">
        <f>+INDEX(Sheet1!$D$7:$D19,COLUMN()-COLUMN($B$69)+1)</f>
        <v>-180</v>
      </c>
      <c r="K39" s="75">
        <f>+INDEX(Sheet1!$D$7:$D19,COLUMN()-COLUMN($B$69)+1)</f>
        <v>-180</v>
      </c>
      <c r="L39" s="75">
        <f>+INDEX(Sheet1!$D$7:$D19,COLUMN()-COLUMN($B$69)+1)</f>
        <v>-180</v>
      </c>
      <c r="M39" s="75">
        <f>+INDEX(Sheet1!$D$7:$D19,COLUMN()-COLUMN($B$69)+1)</f>
        <v>-180</v>
      </c>
    </row>
    <row r="40" spans="1:1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</row>
    <row r="41" spans="1:13">
      <c r="A41" s="75" t="s">
        <v>106</v>
      </c>
      <c r="B41" s="75">
        <v>0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</row>
    <row r="42" spans="1:1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1:1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1:13">
      <c r="A44" s="75" t="s">
        <v>224</v>
      </c>
      <c r="B44" s="75">
        <v>0</v>
      </c>
      <c r="C44" s="75">
        <v>1</v>
      </c>
      <c r="D44" s="75">
        <v>2</v>
      </c>
      <c r="E44" s="75">
        <v>3</v>
      </c>
      <c r="F44" s="75">
        <v>4</v>
      </c>
      <c r="G44" s="75">
        <v>5</v>
      </c>
      <c r="H44" s="75">
        <v>6</v>
      </c>
      <c r="I44" s="75">
        <v>7</v>
      </c>
      <c r="J44" s="75">
        <v>8</v>
      </c>
      <c r="K44" s="75">
        <v>9</v>
      </c>
      <c r="L44" s="75">
        <v>10</v>
      </c>
      <c r="M44" s="75">
        <v>11</v>
      </c>
    </row>
    <row r="45" spans="1:13">
      <c r="A45" s="75" t="s">
        <v>107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1:13">
      <c r="A46" s="75" t="s">
        <v>213</v>
      </c>
      <c r="B46" s="75">
        <f>+INDEX(Sheet1!$H$7:$H26,COLUMN()-COLUMN($B$69)+1)</f>
        <v>90</v>
      </c>
      <c r="C46" s="75">
        <f>+INDEX(Sheet1!$H$7:$H26,COLUMN()-COLUMN($B$69)+1)</f>
        <v>90</v>
      </c>
      <c r="D46" s="75">
        <f>+INDEX(Sheet1!$H$7:$H26,COLUMN()-COLUMN($B$69)+1)</f>
        <v>78</v>
      </c>
      <c r="E46" s="75">
        <f>+INDEX(Sheet1!$H$7:$H26,COLUMN()-COLUMN($B$69)+1)</f>
        <v>15</v>
      </c>
      <c r="F46" s="75">
        <f>+INDEX(Sheet1!$H$7:$H26,COLUMN()-COLUMN($B$69)+1)</f>
        <v>39</v>
      </c>
      <c r="G46" s="75">
        <f>+INDEX(Sheet1!$H$7:$H26,COLUMN()-COLUMN($B$69)+1)</f>
        <v>22</v>
      </c>
      <c r="H46" s="75">
        <f>+INDEX(Sheet1!$H$7:$H26,COLUMN()-COLUMN($B$69)+1)</f>
        <v>90</v>
      </c>
      <c r="I46" s="75">
        <f>+INDEX(Sheet1!$H$7:$H26,COLUMN()-COLUMN($B$69)+1)</f>
        <v>90</v>
      </c>
      <c r="J46" s="75">
        <f>+INDEX(Sheet1!$H$7:$H26,COLUMN()-COLUMN($B$69)+1)</f>
        <v>78</v>
      </c>
      <c r="K46" s="75">
        <f>+INDEX(Sheet1!$H$7:$H26,COLUMN()-COLUMN($B$69)+1)</f>
        <v>15</v>
      </c>
      <c r="L46" s="75">
        <f>+INDEX(Sheet1!$H$7:$H26,COLUMN()-COLUMN($B$69)+1)</f>
        <v>39</v>
      </c>
      <c r="M46" s="75">
        <f>+INDEX(Sheet1!$H$7:$H26,COLUMN()-COLUMN($B$69)+1)</f>
        <v>22</v>
      </c>
    </row>
    <row r="47" spans="1:13">
      <c r="A47" s="75" t="s">
        <v>214</v>
      </c>
      <c r="B47" s="75">
        <f>+INDEX(Sheet1!$G$7:$G27,COLUMN()-COLUMN($B$69)+1)</f>
        <v>-30</v>
      </c>
      <c r="C47" s="75">
        <f>+INDEX(Sheet1!$G$7:$G27,COLUMN()-COLUMN($B$69)+1)</f>
        <v>0</v>
      </c>
      <c r="D47" s="75">
        <f>+INDEX(Sheet1!$G$7:$G27,COLUMN()-COLUMN($B$69)+1)</f>
        <v>-80</v>
      </c>
      <c r="E47" s="75">
        <f>+INDEX(Sheet1!$G$7:$G27,COLUMN()-COLUMN($B$69)+1)</f>
        <v>-125</v>
      </c>
      <c r="F47" s="75">
        <f>+INDEX(Sheet1!$G$7:$G27,COLUMN()-COLUMN($B$69)+1)</f>
        <v>-20</v>
      </c>
      <c r="G47" s="75">
        <f>+INDEX(Sheet1!$G$7:$G27,COLUMN()-COLUMN($B$69)+1)</f>
        <v>-22</v>
      </c>
      <c r="H47" s="75">
        <f>+INDEX(Sheet1!$G$7:$G27,COLUMN()-COLUMN($B$69)+1)</f>
        <v>-30</v>
      </c>
      <c r="I47" s="75">
        <f>+INDEX(Sheet1!$G$7:$G27,COLUMN()-COLUMN($B$69)+1)</f>
        <v>0</v>
      </c>
      <c r="J47" s="75">
        <f>+INDEX(Sheet1!$G$7:$G27,COLUMN()-COLUMN($B$69)+1)</f>
        <v>-80</v>
      </c>
      <c r="K47" s="75">
        <f>+INDEX(Sheet1!$G$7:$G27,COLUMN()-COLUMN($B$69)+1)</f>
        <v>-125</v>
      </c>
      <c r="L47" s="75">
        <f>+INDEX(Sheet1!$G$7:$G27,COLUMN()-COLUMN($B$69)+1)</f>
        <v>-20</v>
      </c>
      <c r="M47" s="75">
        <f>+INDEX(Sheet1!$G$7:$G27,COLUMN()-COLUMN($B$69)+1)</f>
        <v>-22</v>
      </c>
    </row>
    <row r="48" spans="1:1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1:1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1:13">
      <c r="A50" s="75" t="s">
        <v>222</v>
      </c>
      <c r="B50" s="75">
        <v>0</v>
      </c>
      <c r="C50" s="75">
        <v>1</v>
      </c>
      <c r="D50" s="75">
        <v>2</v>
      </c>
      <c r="E50" s="75">
        <v>3</v>
      </c>
      <c r="F50" s="75">
        <v>4</v>
      </c>
      <c r="G50" s="75">
        <v>5</v>
      </c>
      <c r="H50" s="75">
        <v>6</v>
      </c>
      <c r="I50" s="75">
        <v>7</v>
      </c>
      <c r="J50" s="75">
        <v>8</v>
      </c>
      <c r="K50" s="75">
        <v>9</v>
      </c>
      <c r="L50" s="75">
        <v>10</v>
      </c>
      <c r="M50" s="75">
        <v>11</v>
      </c>
    </row>
    <row r="51" spans="1:13">
      <c r="A51" s="75" t="s">
        <v>221</v>
      </c>
      <c r="B51" s="75">
        <f>+$B$5</f>
        <v>7000</v>
      </c>
      <c r="C51" s="75">
        <f t="shared" ref="C51:M51" si="0">+$B$5</f>
        <v>7000</v>
      </c>
      <c r="D51" s="75">
        <f t="shared" si="0"/>
        <v>7000</v>
      </c>
      <c r="E51" s="75">
        <f t="shared" si="0"/>
        <v>7000</v>
      </c>
      <c r="F51" s="75">
        <f t="shared" si="0"/>
        <v>7000</v>
      </c>
      <c r="G51" s="75">
        <f t="shared" si="0"/>
        <v>7000</v>
      </c>
      <c r="H51" s="75">
        <f t="shared" si="0"/>
        <v>7000</v>
      </c>
      <c r="I51" s="75">
        <f t="shared" si="0"/>
        <v>7000</v>
      </c>
      <c r="J51" s="75">
        <f t="shared" si="0"/>
        <v>7000</v>
      </c>
      <c r="K51" s="75">
        <f t="shared" si="0"/>
        <v>7000</v>
      </c>
      <c r="L51" s="75">
        <f t="shared" si="0"/>
        <v>7000</v>
      </c>
      <c r="M51" s="75">
        <f t="shared" si="0"/>
        <v>7000</v>
      </c>
    </row>
    <row r="52" spans="1:1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</row>
    <row r="53" spans="1:13">
      <c r="A53" s="75" t="s">
        <v>108</v>
      </c>
      <c r="B53" s="75" t="s">
        <v>109</v>
      </c>
      <c r="C53" s="75" t="s">
        <v>110</v>
      </c>
      <c r="D53" s="75" t="s">
        <v>111</v>
      </c>
      <c r="E53" s="75" t="s">
        <v>112</v>
      </c>
      <c r="F53" s="75" t="s">
        <v>113</v>
      </c>
      <c r="G53" s="75" t="s">
        <v>114</v>
      </c>
      <c r="H53" s="75" t="s">
        <v>115</v>
      </c>
      <c r="I53" s="75"/>
      <c r="J53" s="75"/>
      <c r="K53" s="75"/>
      <c r="L53" s="75"/>
      <c r="M53" s="75"/>
    </row>
    <row r="54" spans="1:13">
      <c r="A54" s="75" t="s">
        <v>116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</row>
    <row r="55" spans="1:13">
      <c r="A55" s="75" t="s">
        <v>117</v>
      </c>
      <c r="B55" s="75">
        <v>32000</v>
      </c>
      <c r="C55" s="75">
        <v>100</v>
      </c>
      <c r="D55" s="75">
        <v>60</v>
      </c>
      <c r="E55" s="75">
        <f>+$B$3</f>
        <v>1333</v>
      </c>
      <c r="F55" s="75">
        <f t="shared" ref="F55:F66" si="1">+$B$3</f>
        <v>1333</v>
      </c>
      <c r="G55" s="75">
        <v>13</v>
      </c>
      <c r="H55" s="75">
        <v>0</v>
      </c>
      <c r="I55" s="75"/>
      <c r="J55" s="75"/>
      <c r="K55" s="75"/>
      <c r="L55" s="75"/>
      <c r="M55" s="75"/>
    </row>
    <row r="56" spans="1:13">
      <c r="A56" s="75" t="s">
        <v>118</v>
      </c>
      <c r="B56" s="75">
        <v>-32000</v>
      </c>
      <c r="C56" s="75">
        <v>-100</v>
      </c>
      <c r="D56" s="75">
        <v>-60</v>
      </c>
      <c r="E56" s="75">
        <f t="shared" ref="E56:E66" si="2">+$B$3</f>
        <v>1333</v>
      </c>
      <c r="F56" s="75">
        <f t="shared" si="1"/>
        <v>1333</v>
      </c>
      <c r="G56" s="75">
        <v>13</v>
      </c>
      <c r="H56" s="75">
        <v>0</v>
      </c>
      <c r="I56" s="75"/>
      <c r="J56" s="75"/>
      <c r="K56" s="75"/>
      <c r="L56" s="75"/>
      <c r="M56" s="75"/>
    </row>
    <row r="57" spans="1:13">
      <c r="A57" s="75" t="s">
        <v>119</v>
      </c>
      <c r="B57" s="75">
        <v>32000</v>
      </c>
      <c r="C57" s="75">
        <v>100</v>
      </c>
      <c r="D57" s="75">
        <v>60</v>
      </c>
      <c r="E57" s="75">
        <f t="shared" si="2"/>
        <v>1333</v>
      </c>
      <c r="F57" s="75">
        <f t="shared" si="1"/>
        <v>1333</v>
      </c>
      <c r="G57" s="75">
        <v>13</v>
      </c>
      <c r="H57" s="75">
        <v>0</v>
      </c>
      <c r="I57" s="75"/>
      <c r="J57" s="75"/>
      <c r="K57" s="75"/>
      <c r="L57" s="75"/>
      <c r="M57" s="75"/>
    </row>
    <row r="58" spans="1:13">
      <c r="A58" s="75" t="s">
        <v>120</v>
      </c>
      <c r="B58" s="75">
        <v>-32000</v>
      </c>
      <c r="C58" s="75">
        <v>-100</v>
      </c>
      <c r="D58" s="75">
        <v>-60</v>
      </c>
      <c r="E58" s="75">
        <f t="shared" si="2"/>
        <v>1333</v>
      </c>
      <c r="F58" s="75">
        <f t="shared" si="1"/>
        <v>1333</v>
      </c>
      <c r="G58" s="75">
        <v>13</v>
      </c>
      <c r="H58" s="75">
        <v>0</v>
      </c>
      <c r="I58" s="75"/>
      <c r="J58" s="75"/>
      <c r="K58" s="75"/>
      <c r="L58" s="75"/>
      <c r="M58" s="75"/>
    </row>
    <row r="59" spans="1:13">
      <c r="A59" s="75" t="s">
        <v>121</v>
      </c>
      <c r="B59" s="75">
        <v>-32000</v>
      </c>
      <c r="C59" s="75">
        <v>-100</v>
      </c>
      <c r="D59" s="75">
        <v>-60</v>
      </c>
      <c r="E59" s="75">
        <f t="shared" si="2"/>
        <v>1333</v>
      </c>
      <c r="F59" s="75">
        <f t="shared" si="1"/>
        <v>1333</v>
      </c>
      <c r="G59" s="75">
        <v>13</v>
      </c>
      <c r="H59" s="75">
        <v>0</v>
      </c>
      <c r="I59" s="75"/>
      <c r="J59" s="75"/>
      <c r="K59" s="75"/>
      <c r="L59" s="75"/>
      <c r="M59" s="75"/>
    </row>
    <row r="60" spans="1:13">
      <c r="A60" s="75" t="s">
        <v>122</v>
      </c>
      <c r="B60" s="75">
        <v>-32000</v>
      </c>
      <c r="C60" s="75">
        <v>-100</v>
      </c>
      <c r="D60" s="75">
        <v>-60</v>
      </c>
      <c r="E60" s="75">
        <f t="shared" si="2"/>
        <v>1333</v>
      </c>
      <c r="F60" s="75">
        <f t="shared" si="1"/>
        <v>1333</v>
      </c>
      <c r="G60" s="75">
        <v>13</v>
      </c>
      <c r="H60" s="75">
        <v>0</v>
      </c>
      <c r="I60" s="75"/>
      <c r="J60" s="75"/>
      <c r="K60" s="75"/>
      <c r="L60" s="75"/>
      <c r="M60" s="75"/>
    </row>
    <row r="61" spans="1:13">
      <c r="A61" s="75" t="s">
        <v>123</v>
      </c>
      <c r="B61" s="75">
        <v>32000</v>
      </c>
      <c r="C61" s="75">
        <v>100</v>
      </c>
      <c r="D61" s="75">
        <v>60</v>
      </c>
      <c r="E61" s="75">
        <f t="shared" si="2"/>
        <v>1333</v>
      </c>
      <c r="F61" s="75">
        <f t="shared" si="1"/>
        <v>1333</v>
      </c>
      <c r="G61" s="75">
        <v>13</v>
      </c>
      <c r="H61" s="75">
        <v>0</v>
      </c>
      <c r="I61" s="75"/>
      <c r="J61" s="75"/>
      <c r="K61" s="75"/>
      <c r="L61" s="75"/>
      <c r="M61" s="75"/>
    </row>
    <row r="62" spans="1:13">
      <c r="A62" s="75" t="s">
        <v>124</v>
      </c>
      <c r="B62" s="75">
        <v>-32000</v>
      </c>
      <c r="C62" s="75">
        <v>-100</v>
      </c>
      <c r="D62" s="75">
        <v>-60</v>
      </c>
      <c r="E62" s="75">
        <f t="shared" si="2"/>
        <v>1333</v>
      </c>
      <c r="F62" s="75">
        <f t="shared" si="1"/>
        <v>1333</v>
      </c>
      <c r="G62" s="75">
        <v>13</v>
      </c>
      <c r="H62" s="75">
        <v>0</v>
      </c>
      <c r="I62" s="75"/>
      <c r="J62" s="75"/>
      <c r="K62" s="75"/>
      <c r="L62" s="75"/>
      <c r="M62" s="75"/>
    </row>
    <row r="63" spans="1:13">
      <c r="A63" s="75" t="s">
        <v>125</v>
      </c>
      <c r="B63" s="75">
        <v>32000</v>
      </c>
      <c r="C63" s="75">
        <v>100</v>
      </c>
      <c r="D63" s="75">
        <v>60</v>
      </c>
      <c r="E63" s="75">
        <f t="shared" si="2"/>
        <v>1333</v>
      </c>
      <c r="F63" s="75">
        <f t="shared" si="1"/>
        <v>1333</v>
      </c>
      <c r="G63" s="75">
        <v>13</v>
      </c>
      <c r="H63" s="75">
        <v>0</v>
      </c>
      <c r="I63" s="75"/>
      <c r="J63" s="75"/>
      <c r="K63" s="75"/>
      <c r="L63" s="75"/>
      <c r="M63" s="75"/>
    </row>
    <row r="64" spans="1:13">
      <c r="A64" s="75" t="s">
        <v>126</v>
      </c>
      <c r="B64" s="75">
        <v>-32000</v>
      </c>
      <c r="C64" s="75">
        <v>-100</v>
      </c>
      <c r="D64" s="75">
        <v>-60</v>
      </c>
      <c r="E64" s="75">
        <f t="shared" si="2"/>
        <v>1333</v>
      </c>
      <c r="F64" s="75">
        <f t="shared" si="1"/>
        <v>1333</v>
      </c>
      <c r="G64" s="75">
        <v>13</v>
      </c>
      <c r="H64" s="75">
        <v>0</v>
      </c>
      <c r="I64" s="75"/>
      <c r="J64" s="75"/>
      <c r="K64" s="75"/>
      <c r="L64" s="75"/>
      <c r="M64" s="75"/>
    </row>
    <row r="65" spans="1:13">
      <c r="A65" s="75" t="s">
        <v>127</v>
      </c>
      <c r="B65" s="75">
        <v>-32000</v>
      </c>
      <c r="C65" s="75">
        <v>-100</v>
      </c>
      <c r="D65" s="75">
        <v>-60</v>
      </c>
      <c r="E65" s="75">
        <f t="shared" si="2"/>
        <v>1333</v>
      </c>
      <c r="F65" s="75">
        <f t="shared" si="1"/>
        <v>1333</v>
      </c>
      <c r="G65" s="75">
        <v>13</v>
      </c>
      <c r="H65" s="75">
        <v>0</v>
      </c>
      <c r="I65" s="75"/>
      <c r="J65" s="75"/>
      <c r="K65" s="75"/>
      <c r="L65" s="75"/>
      <c r="M65" s="75"/>
    </row>
    <row r="66" spans="1:13">
      <c r="A66" s="75" t="s">
        <v>128</v>
      </c>
      <c r="B66" s="75">
        <v>-32000</v>
      </c>
      <c r="C66" s="75">
        <v>-100</v>
      </c>
      <c r="D66" s="75">
        <v>-60</v>
      </c>
      <c r="E66" s="75">
        <f t="shared" si="2"/>
        <v>1333</v>
      </c>
      <c r="F66" s="75">
        <f t="shared" si="1"/>
        <v>1333</v>
      </c>
      <c r="G66" s="75">
        <v>13</v>
      </c>
      <c r="H66" s="75">
        <v>0</v>
      </c>
      <c r="I66" s="75"/>
      <c r="J66" s="75"/>
      <c r="K66" s="75"/>
      <c r="L66" s="75"/>
      <c r="M66" s="75"/>
    </row>
    <row r="67" spans="1:1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</row>
    <row r="68" spans="1:13">
      <c r="A68" s="75" t="s">
        <v>129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</row>
    <row r="69" spans="1:13">
      <c r="A69" s="75" t="s">
        <v>211</v>
      </c>
      <c r="B69" s="75">
        <v>0</v>
      </c>
      <c r="C69" s="75">
        <v>1</v>
      </c>
      <c r="D69" s="75">
        <v>2</v>
      </c>
      <c r="E69" s="75">
        <v>3</v>
      </c>
      <c r="F69" s="75">
        <v>4</v>
      </c>
      <c r="G69" s="75">
        <v>5</v>
      </c>
      <c r="H69" s="75">
        <v>6</v>
      </c>
      <c r="I69" s="75">
        <v>7</v>
      </c>
      <c r="J69" s="75">
        <v>8</v>
      </c>
      <c r="K69" s="75">
        <v>9</v>
      </c>
      <c r="L69" s="75">
        <v>10</v>
      </c>
      <c r="M69" s="75">
        <v>11</v>
      </c>
    </row>
    <row r="70" spans="1:13">
      <c r="A70" s="75" t="s">
        <v>130</v>
      </c>
      <c r="B70" s="75">
        <v>3</v>
      </c>
      <c r="C70" s="75">
        <v>3</v>
      </c>
      <c r="D70" s="75">
        <v>3</v>
      </c>
      <c r="E70" s="75">
        <v>3</v>
      </c>
      <c r="F70" s="75">
        <v>3</v>
      </c>
      <c r="G70" s="75">
        <v>3</v>
      </c>
      <c r="H70" s="75">
        <v>3</v>
      </c>
      <c r="I70" s="75">
        <v>3</v>
      </c>
      <c r="J70" s="75">
        <v>3</v>
      </c>
      <c r="K70" s="75">
        <v>3</v>
      </c>
      <c r="L70" s="75">
        <v>3</v>
      </c>
      <c r="M70" s="75">
        <v>3</v>
      </c>
    </row>
    <row r="71" spans="1:13">
      <c r="A71" s="75" t="s">
        <v>131</v>
      </c>
      <c r="B71" s="75">
        <f>+INDEX(Sheet1!$L$7:$L18,COLUMN()-COLUMN($B$69)+1)</f>
        <v>2047.5</v>
      </c>
      <c r="C71" s="75">
        <f>+INDEX(Sheet1!$L$7:$L18,COLUMN()-COLUMN($B$69)+1)</f>
        <v>2047.5</v>
      </c>
      <c r="D71" s="75">
        <f>+INDEX(Sheet1!$L$7:$L18,COLUMN()-COLUMN($B$69)+1)</f>
        <v>2047.5</v>
      </c>
      <c r="E71" s="75">
        <f>+INDEX(Sheet1!$L$7:$L18,COLUMN()-COLUMN($B$69)+1)</f>
        <v>2047.5</v>
      </c>
      <c r="F71" s="75">
        <f>+INDEX(Sheet1!$L$7:$L18,COLUMN()-COLUMN($B$69)+1)</f>
        <v>2047.5</v>
      </c>
      <c r="G71" s="75">
        <f>+INDEX(Sheet1!$L$7:$L18,COLUMN()-COLUMN($B$69)+1)</f>
        <v>2047.5</v>
      </c>
      <c r="H71" s="75">
        <f>+INDEX(Sheet1!$L$7:$L18,COLUMN()-COLUMN($B$69)+1)</f>
        <v>2047.5</v>
      </c>
      <c r="I71" s="75">
        <f>+INDEX(Sheet1!$L$7:$L18,COLUMN()-COLUMN($B$69)+1)</f>
        <v>2047.5</v>
      </c>
      <c r="J71" s="75">
        <f>+INDEX(Sheet1!$L$7:$L18,COLUMN()-COLUMN($B$69)+1)</f>
        <v>2047.5</v>
      </c>
      <c r="K71" s="75">
        <f>+INDEX(Sheet1!$L$7:$L18,COLUMN()-COLUMN($B$69)+1)</f>
        <v>2047.5</v>
      </c>
      <c r="L71" s="75">
        <f>+INDEX(Sheet1!$L$7:$L18,COLUMN()-COLUMN($B$69)+1)</f>
        <v>2047.5</v>
      </c>
      <c r="M71" s="75">
        <f>+INDEX(Sheet1!$L$7:$L18,COLUMN()-COLUMN($B$69)+1)</f>
        <v>2047.5</v>
      </c>
    </row>
    <row r="72" spans="1:13">
      <c r="A72" s="75" t="s">
        <v>132</v>
      </c>
      <c r="B72" s="75">
        <f>+INDEX(Sheet1!$M$7:$M19,COLUMN()-COLUMN($B$69)+1)</f>
        <v>10</v>
      </c>
      <c r="C72" s="75">
        <f>+INDEX(Sheet1!$M$7:$M19,COLUMN()-COLUMN($B$69)+1)</f>
        <v>10</v>
      </c>
      <c r="D72" s="75">
        <f>+INDEX(Sheet1!$M$7:$M19,COLUMN()-COLUMN($B$69)+1)</f>
        <v>10</v>
      </c>
      <c r="E72" s="75">
        <f>+INDEX(Sheet1!$M$7:$M19,COLUMN()-COLUMN($B$69)+1)</f>
        <v>10</v>
      </c>
      <c r="F72" s="75">
        <f>+INDEX(Sheet1!$M$7:$M19,COLUMN()-COLUMN($B$69)+1)</f>
        <v>10</v>
      </c>
      <c r="G72" s="75">
        <f>+INDEX(Sheet1!$M$7:$M19,COLUMN()-COLUMN($B$69)+1)</f>
        <v>10</v>
      </c>
      <c r="H72" s="75">
        <f>+INDEX(Sheet1!$M$7:$M19,COLUMN()-COLUMN($B$69)+1)</f>
        <v>10</v>
      </c>
      <c r="I72" s="75">
        <f>+INDEX(Sheet1!$M$7:$M19,COLUMN()-COLUMN($B$69)+1)</f>
        <v>10</v>
      </c>
      <c r="J72" s="75">
        <f>+INDEX(Sheet1!$M$7:$M19,COLUMN()-COLUMN($B$69)+1)</f>
        <v>10</v>
      </c>
      <c r="K72" s="75">
        <f>+INDEX(Sheet1!$M$7:$M19,COLUMN()-COLUMN($B$69)+1)</f>
        <v>10</v>
      </c>
      <c r="L72" s="75">
        <f>+INDEX(Sheet1!$M$7:$M19,COLUMN()-COLUMN($B$69)+1)</f>
        <v>10</v>
      </c>
      <c r="M72" s="75">
        <f>+INDEX(Sheet1!$M$7:$M19,COLUMN()-COLUMN($B$69)+1)</f>
        <v>10</v>
      </c>
    </row>
    <row r="73" spans="1:13">
      <c r="A73" s="75" t="s">
        <v>133</v>
      </c>
      <c r="B73" s="75">
        <f>+INDEX(Sheet1!$N$7:$N20,COLUMN()-COLUMN($B$69)+1)</f>
        <v>605.14999999999986</v>
      </c>
      <c r="C73" s="75">
        <f>+INDEX(Sheet1!$N$7:$N20,COLUMN()-COLUMN($B$69)+1)</f>
        <v>348.07499999999993</v>
      </c>
      <c r="D73" s="75">
        <f>+INDEX(Sheet1!$N$7:$N20,COLUMN()-COLUMN($B$69)+1)</f>
        <v>3468.2374999999997</v>
      </c>
      <c r="E73" s="75">
        <f>+INDEX(Sheet1!$N$7:$N20,COLUMN()-COLUMN($B$69)+1)</f>
        <v>3458</v>
      </c>
      <c r="F73" s="75">
        <f>+INDEX(Sheet1!$N$7:$N20,COLUMN()-COLUMN($B$69)+1)</f>
        <v>2029.2999999999997</v>
      </c>
      <c r="G73" s="75">
        <f>+INDEX(Sheet1!$N$7:$N20,COLUMN()-COLUMN($B$69)+1)</f>
        <v>3462.5499999999997</v>
      </c>
      <c r="H73" s="75">
        <f>+INDEX(Sheet1!$N$7:$N20,COLUMN()-COLUMN($B$69)+1)</f>
        <v>3829.9625000000001</v>
      </c>
      <c r="I73" s="75">
        <f>+INDEX(Sheet1!$N$7:$N20,COLUMN()-COLUMN($B$69)+1)</f>
        <v>3458</v>
      </c>
      <c r="J73" s="75">
        <f>+INDEX(Sheet1!$N$7:$N20,COLUMN()-COLUMN($B$69)+1)</f>
        <v>122.85000000000014</v>
      </c>
      <c r="K73" s="75">
        <f>+INDEX(Sheet1!$N$7:$N20,COLUMN()-COLUMN($B$69)+1)</f>
        <v>2590.0875000000001</v>
      </c>
      <c r="L73" s="75">
        <f>+INDEX(Sheet1!$N$7:$N20,COLUMN()-COLUMN($B$69)+1)</f>
        <v>2789.15</v>
      </c>
      <c r="M73" s="75">
        <f>+INDEX(Sheet1!$N$7:$N20,COLUMN()-COLUMN($B$69)+1)</f>
        <v>1605.0125000000003</v>
      </c>
    </row>
    <row r="74" spans="1:13">
      <c r="A74" s="75" t="s">
        <v>134</v>
      </c>
      <c r="B74" s="75">
        <v>0</v>
      </c>
      <c r="C74" s="75">
        <v>0</v>
      </c>
      <c r="D74" s="75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</row>
    <row r="75" spans="1:13">
      <c r="A75" s="75" t="s">
        <v>135</v>
      </c>
      <c r="B75" s="75">
        <v>10</v>
      </c>
      <c r="C75" s="75">
        <v>10</v>
      </c>
      <c r="D75" s="75">
        <v>10</v>
      </c>
      <c r="E75" s="75">
        <v>10</v>
      </c>
      <c r="F75" s="75">
        <v>10</v>
      </c>
      <c r="G75" s="75">
        <v>10</v>
      </c>
      <c r="H75" s="75">
        <v>10</v>
      </c>
      <c r="I75" s="75">
        <v>10</v>
      </c>
      <c r="J75" s="75">
        <v>10</v>
      </c>
      <c r="K75" s="75">
        <v>10</v>
      </c>
      <c r="L75" s="75">
        <v>10</v>
      </c>
      <c r="M75" s="75">
        <v>10</v>
      </c>
    </row>
    <row r="76" spans="1:1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</row>
    <row r="77" spans="1:13">
      <c r="A77" s="75" t="s">
        <v>136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</row>
    <row r="78" spans="1:13">
      <c r="A78" s="75" t="s">
        <v>212</v>
      </c>
      <c r="B78" s="75">
        <v>0</v>
      </c>
      <c r="C78" s="75">
        <v>1</v>
      </c>
      <c r="D78" s="75">
        <v>2</v>
      </c>
      <c r="E78" s="75">
        <v>3</v>
      </c>
      <c r="F78" s="75">
        <v>4</v>
      </c>
      <c r="G78" s="75">
        <v>5</v>
      </c>
      <c r="H78" s="75">
        <v>6</v>
      </c>
      <c r="I78" s="75">
        <v>7</v>
      </c>
      <c r="J78" s="75">
        <v>8</v>
      </c>
      <c r="K78" s="75">
        <v>9</v>
      </c>
      <c r="L78" s="75">
        <v>10</v>
      </c>
      <c r="M78" s="75">
        <v>11</v>
      </c>
    </row>
    <row r="79" spans="1:13">
      <c r="A79" s="75" t="s">
        <v>137</v>
      </c>
      <c r="B79" s="75">
        <v>0</v>
      </c>
      <c r="C79" s="75">
        <v>0</v>
      </c>
      <c r="D79" s="75">
        <v>0</v>
      </c>
      <c r="E79" s="75">
        <v>0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</row>
    <row r="80" spans="1:13">
      <c r="A80" s="75" t="s">
        <v>138</v>
      </c>
      <c r="B80" s="75">
        <v>10</v>
      </c>
      <c r="C80" s="75">
        <v>10</v>
      </c>
      <c r="D80" s="75">
        <v>10</v>
      </c>
      <c r="E80" s="75">
        <v>10</v>
      </c>
      <c r="F80" s="75">
        <v>10</v>
      </c>
      <c r="G80" s="75">
        <v>10</v>
      </c>
      <c r="H80" s="75">
        <v>10</v>
      </c>
      <c r="I80" s="75">
        <v>10</v>
      </c>
      <c r="J80" s="75">
        <v>10</v>
      </c>
      <c r="K80" s="75">
        <v>10</v>
      </c>
      <c r="L80" s="75">
        <v>10</v>
      </c>
      <c r="M80" s="75">
        <v>10</v>
      </c>
    </row>
    <row r="81" spans="1:13">
      <c r="A81" s="75" t="s">
        <v>105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</row>
    <row r="82" spans="1:13">
      <c r="A82" s="75" t="s">
        <v>139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</row>
    <row r="83" spans="1:1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37" zoomScale="75" zoomScaleNormal="75" workbookViewId="0">
      <selection activeCell="B46" sqref="B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229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230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233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226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-3.3333333333333335</v>
      </c>
    </row>
    <row r="39" spans="1:9">
      <c r="A39" t="s">
        <v>225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-480</v>
      </c>
    </row>
    <row r="41" spans="1:9">
      <c r="A41" t="s">
        <v>106</v>
      </c>
      <c r="B41">
        <v>0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231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232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15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227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221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200</v>
      </c>
      <c r="C62">
        <v>200</v>
      </c>
      <c r="D62">
        <v>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227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1600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2934.75</v>
      </c>
      <c r="C69" s="77">
        <f>+INDEX(Sheet1!$N$37:$N$44,COLUMN()-COLUMN($B$69)+1)</f>
        <v>1012.375</v>
      </c>
      <c r="D69" s="22">
        <f>+INDEX(Sheet1!$N$37:$N$44,COLUMN()-COLUMN($B$69)+1)</f>
        <v>2760.9968749999998</v>
      </c>
      <c r="E69" s="22">
        <f>+INDEX(Sheet1!$N$37:$N$44,COLUMN()-COLUMN($B$69)+1)</f>
        <v>2388.75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227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38" zoomScale="85" zoomScaleNormal="85" workbookViewId="0">
      <selection activeCell="B48" sqref="B48:I4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251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217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238</v>
      </c>
      <c r="B37" s="39">
        <f>+INDEX(Sheet1!$K$48:$K$56,COLUMN()-COLUMN($B$71)+1)</f>
        <v>20.9</v>
      </c>
      <c r="C37" s="39">
        <f>+INDEX(Sheet1!$K$48:$K$56,COLUMN()-COLUMN($B$71)+1)</f>
        <v>-2.5</v>
      </c>
      <c r="D37" s="39">
        <f>+INDEX(Sheet1!$K$48:$K$56,COLUMN()-COLUMN($B$71)+1)</f>
        <v>-2.5555555555555554</v>
      </c>
      <c r="E37" s="39">
        <f>+INDEX(Sheet1!$K$48:$K$56,COLUMN()-COLUMN($B$71)+1)</f>
        <v>-2.6</v>
      </c>
      <c r="F37" s="39">
        <f>+INDEX(Sheet1!$K$48:$K$56,COLUMN()-COLUMN($B$71)+1)</f>
        <v>-2.5833333333333335</v>
      </c>
      <c r="G37" s="39">
        <f>+INDEX(Sheet1!$K$48:$K$56,COLUMN()-COLUMN($B$71)+1)</f>
        <v>-2.6666666666666665</v>
      </c>
      <c r="H37" s="39">
        <f>+INDEX(Sheet1!$K$48:$K$56,COLUMN()-COLUMN($B$71)+1)</f>
        <v>-2.3222222222222224</v>
      </c>
      <c r="I37" s="39">
        <f>+INDEX(Sheet1!$K$48:$K$56,COLUMN()-COLUMN($B$71)+1)</f>
        <v>-2.3888888888888888</v>
      </c>
    </row>
    <row r="38" spans="1:9">
      <c r="A38" t="s">
        <v>225</v>
      </c>
      <c r="B38" s="39">
        <f>+INDEX(Sheet1!$D$48:$D$56,COLUMN()-COLUMN($B$71)+1)</f>
        <v>43.971291866028707</v>
      </c>
      <c r="C38" s="39">
        <f>+INDEX(Sheet1!$D$48:$D$56,COLUMN()-COLUMN($B$71)+1)</f>
        <v>-98</v>
      </c>
      <c r="D38" s="39">
        <f>+INDEX(Sheet1!$D$48:$D$56,COLUMN()-COLUMN($B$71)+1)</f>
        <v>-183.91304347826087</v>
      </c>
      <c r="E38" s="39">
        <f>+INDEX(Sheet1!$D$48:$D$56,COLUMN()-COLUMN($B$71)+1)</f>
        <v>-93.84615384615384</v>
      </c>
      <c r="F38" s="39">
        <f>+INDEX(Sheet1!$D$48:$D$56,COLUMN()-COLUMN($B$71)+1)</f>
        <v>-187.74193548387095</v>
      </c>
      <c r="G38" s="39">
        <f>+INDEX(Sheet1!$D$48:$D$56,COLUMN()-COLUMN($B$71)+1)</f>
        <v>-93.75</v>
      </c>
      <c r="H38" s="39">
        <f>+INDEX(Sheet1!$D$48:$D$56,COLUMN()-COLUMN($B$71)+1)</f>
        <v>-202.39234449760764</v>
      </c>
      <c r="I38" s="39">
        <f>+INDEX(Sheet1!$D$48:$D$56,COLUMN()-COLUMN($B$71)+1)</f>
        <v>-286.74418604651163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234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235</v>
      </c>
      <c r="B49" s="22">
        <f>+INDEX(Sheet1!$G$48:$G$77,COLUMN()-COLUMN($B$71)+1)</f>
        <v>-10</v>
      </c>
      <c r="C49" s="22">
        <f>+INDEX(Sheet1!$G$48:$G$77,COLUMN()-COLUMN($B$71)+1)</f>
        <v>0</v>
      </c>
      <c r="D49" s="22">
        <f>+INDEX(Sheet1!$G$48:$G$77,COLUMN()-COLUMN($B$71)+1)</f>
        <v>0</v>
      </c>
      <c r="E49" s="22">
        <f>+INDEX(Sheet1!$G$48:$G$77,COLUMN()-COLUMN($B$71)+1)</f>
        <v>0</v>
      </c>
      <c r="F49" s="22">
        <f>+INDEX(Sheet1!$G$48:$G$77,COLUMN()-COLUMN($B$71)+1)</f>
        <v>0</v>
      </c>
      <c r="G49" s="22">
        <f>+INDEX(Sheet1!$G$48:$G$77,COLUMN()-COLUMN($B$71)+1)</f>
        <v>0</v>
      </c>
      <c r="H49" s="22">
        <f>+INDEX(Sheet1!$G$48:$G$77,COLUMN()-COLUMN($B$71)+1)</f>
        <v>0</v>
      </c>
      <c r="I49" s="22">
        <f>+INDEX(Sheet1!$G$48:$G$77,COLUMN()-COLUMN($B$71)+1)</f>
        <v>0</v>
      </c>
    </row>
    <row r="51" spans="1:9">
      <c r="A51" t="s">
        <v>236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237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918.99999999999989</v>
      </c>
      <c r="C68" s="22">
        <f>+INDEX(Sheet1!$L$48:$L$56,COLUMN()-COLUMN($B$69)+1)</f>
        <v>245</v>
      </c>
      <c r="D68" s="22">
        <f>+INDEX(Sheet1!$L$48:$L$56,COLUMN()-COLUMN($B$69)+1)</f>
        <v>10</v>
      </c>
      <c r="E68" s="22">
        <f>+INDEX(Sheet1!$L$48:$L$56,COLUMN()-COLUMN($B$69)+1)</f>
        <v>244</v>
      </c>
      <c r="F68" s="22">
        <f>+INDEX(Sheet1!$L$48:$L$56,COLUMN()-COLUMN($B$69)+1)</f>
        <v>20</v>
      </c>
      <c r="G68" s="22">
        <f>+INDEX(Sheet1!$L$48:$L$56,COLUMN()-COLUMN($B$69)+1)</f>
        <v>250</v>
      </c>
      <c r="H68" s="22">
        <f>+INDEX(Sheet1!$L$48:$L$56,COLUMN()-COLUMN($B$69)+1)</f>
        <v>52</v>
      </c>
      <c r="I68" s="22">
        <f>+INDEX(Sheet1!$L$48:$L$56,COLUMN()-COLUMN($B$69)+1)</f>
        <v>685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237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8" zoomScale="75" zoomScaleNormal="75" workbookViewId="0">
      <selection activeCell="B45" sqref="B4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229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226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6.333333333333333</v>
      </c>
    </row>
    <row r="38" spans="1:9">
      <c r="A38" t="s">
        <v>225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353.68421052631578</v>
      </c>
    </row>
    <row r="40" spans="1:9">
      <c r="A40" t="s">
        <v>106</v>
      </c>
      <c r="B40">
        <v>0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231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232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15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227</v>
      </c>
    </row>
    <row r="50" spans="1:9">
      <c r="A50" t="s">
        <v>221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227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2240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513.01249999999993</v>
      </c>
      <c r="C68" s="22">
        <f>+INDEX(Sheet1!$N$59:$N$66,COLUMN()-COLUMN($B$69)+1)</f>
        <v>3644.5499999999997</v>
      </c>
      <c r="D68" s="22">
        <f>+INDEX(Sheet1!$N$59:$N$66,COLUMN()-COLUMN($B$69)+1)</f>
        <v>1470.0765625000001</v>
      </c>
      <c r="E68" s="22">
        <f>+INDEX(Sheet1!$N$59:$N$66,COLUMN()-COLUMN($B$69)+1)</f>
        <v>2596.9124999999999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227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31" zoomScale="75" zoomScaleNormal="75" workbookViewId="0">
      <selection activeCell="B51" sqref="B51:I52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239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228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217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238</v>
      </c>
      <c r="B40" s="39">
        <f>+INDEX(Sheet1!$K$70:$K$77,COLUMN()-COLUMN($B$71)+1)</f>
        <v>12.5</v>
      </c>
      <c r="C40" s="39">
        <f>+INDEX(Sheet1!$K$70:$K$77,COLUMN()-COLUMN($B$71)+1)</f>
        <v>-2.6666666666666665</v>
      </c>
      <c r="D40" s="39">
        <f>+INDEX(Sheet1!$K$70:$K$77,COLUMN()-COLUMN($B$71)+1)</f>
        <v>-2.2222222222222223</v>
      </c>
      <c r="E40" s="39">
        <f>+INDEX(Sheet1!$K$70:$K$77,COLUMN()-COLUMN($B$71)+1)</f>
        <v>-2.6666666666666665</v>
      </c>
      <c r="F40" s="39">
        <f>+INDEX(Sheet1!$K$70:$K$77,COLUMN()-COLUMN($B$71)+1)</f>
        <v>-2.6666666666666665</v>
      </c>
      <c r="G40" s="39">
        <f>+INDEX(Sheet1!$K$70:$K$77,COLUMN()-COLUMN($B$71)+1)</f>
        <v>-2.5</v>
      </c>
      <c r="H40" s="39">
        <f>+INDEX(Sheet1!$K$70:$K$77,COLUMN()-COLUMN($B$71)+1)</f>
        <v>-2.5833333333333335</v>
      </c>
      <c r="I40" s="39">
        <f>+INDEX(Sheet1!$K$70:$K$77,COLUMN()-COLUMN($B$71)+1)</f>
        <v>-2.2962962962962963</v>
      </c>
    </row>
    <row r="41" spans="1:9">
      <c r="A41" t="s">
        <v>225</v>
      </c>
      <c r="B41" s="39">
        <f>+INDEX(Sheet1!$D$70:$D$77,COLUMN()-COLUMN($B$71)+1)</f>
        <v>114</v>
      </c>
      <c r="C41" s="39">
        <f>+INDEX(Sheet1!$D$70:$D$77,COLUMN()-COLUMN($B$71)+1)</f>
        <v>-93.75</v>
      </c>
      <c r="D41" s="39">
        <f>+INDEX(Sheet1!$D$70:$D$77,COLUMN()-COLUMN($B$71)+1)</f>
        <v>-202.5</v>
      </c>
      <c r="E41" s="39">
        <f>+INDEX(Sheet1!$D$70:$D$77,COLUMN()-COLUMN($B$71)+1)</f>
        <v>-93.75</v>
      </c>
      <c r="F41" s="39">
        <f>+INDEX(Sheet1!$D$70:$D$77,COLUMN()-COLUMN($B$71)+1)</f>
        <v>-183.75</v>
      </c>
      <c r="G41" s="39">
        <f>+INDEX(Sheet1!$D$70:$D$77,COLUMN()-COLUMN($B$71)+1)</f>
        <v>-100</v>
      </c>
      <c r="H41" s="39">
        <f>+INDEX(Sheet1!$D$70:$D$77,COLUMN()-COLUMN($B$71)+1)</f>
        <v>-187.74193548387095</v>
      </c>
      <c r="I41" s="39">
        <f>+INDEX(Sheet1!$D$70:$D$77,COLUMN()-COLUMN($B$71)+1)</f>
        <v>-313.54838709677421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242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234</v>
      </c>
      <c r="B51" s="22">
        <f>+INDEX(Sheet1!$H$70:$H$77,COLUMN()-COLUMN($B$71)+1)</f>
        <v>90</v>
      </c>
      <c r="C51" s="22">
        <f>+INDEX(Sheet1!$H$70:$H$77,COLUMN()-COLUMN($B$71)+1)</f>
        <v>90</v>
      </c>
      <c r="D51" s="22">
        <f>+INDEX(Sheet1!$H$70:$H$77,COLUMN()-COLUMN($B$71)+1)</f>
        <v>180</v>
      </c>
      <c r="E51" s="22">
        <f>+INDEX(Sheet1!$H$70:$H$77,COLUMN()-COLUMN($B$71)+1)</f>
        <v>90</v>
      </c>
      <c r="F51" s="22">
        <f>+INDEX(Sheet1!$H$70:$H$77,COLUMN()-COLUMN($B$71)+1)</f>
        <v>180</v>
      </c>
      <c r="G51" s="22">
        <f>+INDEX(Sheet1!$H$70:$H$77,COLUMN()-COLUMN($B$71)+1)</f>
        <v>90</v>
      </c>
      <c r="H51" s="22">
        <f>+INDEX(Sheet1!$H$70:$H$77,COLUMN()-COLUMN($B$71)+1)</f>
        <v>180</v>
      </c>
      <c r="I51" s="22">
        <f>+INDEX(Sheet1!$H$70:$H$77,COLUMN()-COLUMN($B$71)+1)</f>
        <v>270</v>
      </c>
    </row>
    <row r="52" spans="1:9">
      <c r="A52" t="s">
        <v>235</v>
      </c>
      <c r="B52" s="22">
        <f>+INDEX(Sheet1!$G$70:$G$77,COLUMN()-COLUMN($B$71)+1)</f>
        <v>-10</v>
      </c>
      <c r="C52" s="22">
        <f>+INDEX(Sheet1!$G$70:$G$77,COLUMN()-COLUMN($B$71)+1)</f>
        <v>0</v>
      </c>
      <c r="D52" s="22">
        <f>+INDEX(Sheet1!$G$70:$G$77,COLUMN()-COLUMN($B$71)+1)</f>
        <v>0</v>
      </c>
      <c r="E52" s="22">
        <f>+INDEX(Sheet1!$G$70:$G$77,COLUMN()-COLUMN($B$71)+1)</f>
        <v>0</v>
      </c>
      <c r="F52" s="22">
        <f>+INDEX(Sheet1!$G$70:$G$77,COLUMN()-COLUMN($B$71)+1)</f>
        <v>0</v>
      </c>
      <c r="G52" s="22">
        <f>+INDEX(Sheet1!$G$70:$G$77,COLUMN()-COLUMN($B$71)+1)</f>
        <v>0</v>
      </c>
      <c r="H52" s="22">
        <f>+INDEX(Sheet1!$G$70:$G$77,COLUMN()-COLUMN($B$71)+1)</f>
        <v>0</v>
      </c>
      <c r="I52" s="22">
        <f>+INDEX(Sheet1!$G$70:$G$77,COLUMN()-COLUMN($B$71)+1)</f>
        <v>0</v>
      </c>
    </row>
    <row r="54" spans="1:9">
      <c r="A54" t="s">
        <v>236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237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1425</v>
      </c>
      <c r="C71" s="22">
        <f>+INDEX(Sheet1!$L$70:$L$77,COLUMN()-COLUMN($B$69)+1)</f>
        <v>250</v>
      </c>
      <c r="D71" s="22">
        <f>+INDEX(Sheet1!$L$70:$L$77,COLUMN()-COLUMN($B$69)+1)</f>
        <v>50</v>
      </c>
      <c r="E71" s="22">
        <f>+INDEX(Sheet1!$L$70:$L$77,COLUMN()-COLUMN($B$69)+1)</f>
        <v>250</v>
      </c>
      <c r="F71" s="22">
        <f>+INDEX(Sheet1!$L$70:$L$77,COLUMN()-COLUMN($B$69)+1)</f>
        <v>10</v>
      </c>
      <c r="G71" s="22">
        <f>+INDEX(Sheet1!$L$70:$L$77,COLUMN()-COLUMN($B$69)+1)</f>
        <v>250</v>
      </c>
      <c r="H71" s="22">
        <f>+INDEX(Sheet1!$L$70:$L$77,COLUMN()-COLUMN($B$69)+1)</f>
        <v>20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A38" sqref="A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1600</v>
      </c>
      <c r="J36">
        <f>Left_hand!B68</f>
        <v>918.99999999999989</v>
      </c>
      <c r="K36">
        <f>Left_hand!C68</f>
        <v>245</v>
      </c>
      <c r="L36">
        <f>Left_hand!D68</f>
        <v>10</v>
      </c>
      <c r="M36">
        <f>Left_hand!E68</f>
        <v>244</v>
      </c>
      <c r="N36">
        <f>Left_hand!F68</f>
        <v>20</v>
      </c>
      <c r="O36">
        <f>Left_hand!G68</f>
        <v>250</v>
      </c>
      <c r="P36">
        <f>Left_hand!H68</f>
        <v>52</v>
      </c>
      <c r="Q36">
        <f>Left_hand!I68</f>
        <v>685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2934.75</v>
      </c>
      <c r="C38">
        <f>Left_arm!C69</f>
        <v>1012.375</v>
      </c>
      <c r="D38">
        <f>Left_arm!D69</f>
        <v>2760.9968749999998</v>
      </c>
      <c r="E38">
        <f>Left_arm!E69</f>
        <v>2388.75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2240</v>
      </c>
      <c r="J49">
        <f>Right_hand!B71</f>
        <v>1425</v>
      </c>
      <c r="K49">
        <f>Right_hand!C71</f>
        <v>250</v>
      </c>
      <c r="L49">
        <f>Right_hand!D71</f>
        <v>50</v>
      </c>
      <c r="M49">
        <f>Right_hand!E71</f>
        <v>250</v>
      </c>
      <c r="N49">
        <f>Right_hand!F71</f>
        <v>10</v>
      </c>
      <c r="O49">
        <f>Right_hand!G71</f>
        <v>250</v>
      </c>
      <c r="P49">
        <f>Right_hand!H71</f>
        <v>20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513.01249999999993</v>
      </c>
      <c r="C51">
        <f>Right_arm!C68</f>
        <v>3644.5499999999997</v>
      </c>
      <c r="D51">
        <f>Right_arm!D68</f>
        <v>1470.0765625000001</v>
      </c>
      <c r="E51">
        <f>Right_arm!E68</f>
        <v>2596.9124999999999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3829.9625000000001</v>
      </c>
      <c r="C64">
        <f>Legs!I73</f>
        <v>3458</v>
      </c>
      <c r="D64">
        <f>Legs!J73</f>
        <v>122.85000000000014</v>
      </c>
      <c r="E64">
        <f>Legs!K73</f>
        <v>2590.0875000000001</v>
      </c>
      <c r="F64">
        <f>Legs!L73</f>
        <v>2789.15</v>
      </c>
      <c r="G64">
        <f>Legs!M73</f>
        <v>1605.0125000000003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605.14999999999986</v>
      </c>
      <c r="C76">
        <f>Legs!C73</f>
        <v>348.07499999999993</v>
      </c>
      <c r="D76">
        <f>Legs!D73</f>
        <v>3468.2374999999997</v>
      </c>
      <c r="E76">
        <f>Legs!E73</f>
        <v>3458</v>
      </c>
      <c r="F76">
        <f>Legs!F73</f>
        <v>2029.2999999999997</v>
      </c>
      <c r="G76">
        <f>Legs!G73</f>
        <v>3462.5499999999997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2010-02-18T14:14:15Z</dcterms:modified>
</cp:coreProperties>
</file>