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-15" windowWidth="9585" windowHeight="8655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44525"/>
</workbook>
</file>

<file path=xl/calcChain.xml><?xml version="1.0" encoding="utf-8"?>
<calcChain xmlns="http://schemas.openxmlformats.org/spreadsheetml/2006/main">
  <c r="F117" i="2" l="1"/>
  <c r="E117" i="2"/>
  <c r="F116" i="2"/>
  <c r="E116" i="2"/>
  <c r="F115" i="2"/>
  <c r="E115" i="2"/>
  <c r="F114" i="2"/>
  <c r="E114" i="2"/>
  <c r="F113" i="2"/>
  <c r="E113" i="2"/>
  <c r="F112" i="2"/>
  <c r="E112" i="2"/>
  <c r="F111" i="2"/>
  <c r="E111" i="2"/>
  <c r="F110" i="2"/>
  <c r="E110" i="2"/>
  <c r="F109" i="2"/>
  <c r="E109" i="2"/>
  <c r="F108" i="2"/>
  <c r="E108" i="2"/>
  <c r="F107" i="2"/>
  <c r="E107" i="2"/>
  <c r="F106" i="2"/>
  <c r="E106" i="2"/>
  <c r="F96" i="5"/>
  <c r="E96" i="5"/>
  <c r="F95" i="5"/>
  <c r="E95" i="5"/>
  <c r="F94" i="5"/>
  <c r="E94" i="5"/>
  <c r="F93" i="5"/>
  <c r="E93" i="5"/>
  <c r="F92" i="5"/>
  <c r="E92" i="5"/>
  <c r="F91" i="5"/>
  <c r="E91" i="5"/>
  <c r="F90" i="5"/>
  <c r="E90" i="5"/>
  <c r="F89" i="5"/>
  <c r="E89" i="5"/>
  <c r="F95" i="3"/>
  <c r="E95" i="3"/>
  <c r="F94" i="3"/>
  <c r="E94" i="3"/>
  <c r="F93" i="3"/>
  <c r="E93" i="3"/>
  <c r="F92" i="3"/>
  <c r="E92" i="3"/>
  <c r="F91" i="3"/>
  <c r="E91" i="3"/>
  <c r="F90" i="3"/>
  <c r="E90" i="3"/>
  <c r="F89" i="3"/>
  <c r="E89" i="3"/>
  <c r="F88" i="3"/>
  <c r="E88" i="3"/>
  <c r="F72" i="6"/>
  <c r="E72" i="6"/>
  <c r="F71" i="6"/>
  <c r="E71" i="6"/>
  <c r="F70" i="6"/>
  <c r="E70" i="6"/>
  <c r="F69" i="6"/>
  <c r="E69" i="6"/>
  <c r="F68" i="6"/>
  <c r="E68" i="6"/>
  <c r="F67" i="6"/>
  <c r="E67" i="6"/>
  <c r="F66" i="6"/>
  <c r="E66" i="6"/>
  <c r="F65" i="6"/>
  <c r="E65" i="6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C38" i="7" l="1"/>
  <c r="D38" i="7"/>
  <c r="E38" i="7"/>
  <c r="F38" i="7"/>
  <c r="G38" i="7"/>
  <c r="H38" i="7"/>
  <c r="I38" i="7"/>
  <c r="J38" i="7"/>
  <c r="K38" i="7"/>
  <c r="C76" i="7"/>
  <c r="D76" i="7"/>
  <c r="E76" i="7"/>
  <c r="F76" i="7"/>
  <c r="G76" i="7"/>
  <c r="H76" i="7"/>
  <c r="I76" i="7"/>
  <c r="J76" i="7"/>
  <c r="K76" i="7"/>
  <c r="C77" i="7"/>
  <c r="D77" i="7"/>
  <c r="E77" i="7"/>
  <c r="F77" i="7"/>
  <c r="G77" i="7"/>
  <c r="H77" i="7"/>
  <c r="I77" i="7"/>
  <c r="J77" i="7"/>
  <c r="K77" i="7"/>
  <c r="B77" i="7"/>
  <c r="B76" i="7"/>
  <c r="C85" i="6"/>
  <c r="D85" i="6"/>
  <c r="E85" i="6"/>
  <c r="F85" i="6"/>
  <c r="G85" i="6"/>
  <c r="H85" i="6"/>
  <c r="I85" i="6"/>
  <c r="C86" i="6"/>
  <c r="D86" i="6"/>
  <c r="E86" i="6"/>
  <c r="F86" i="6"/>
  <c r="G86" i="6"/>
  <c r="H86" i="6"/>
  <c r="I86" i="6"/>
  <c r="C80" i="6"/>
  <c r="D80" i="6"/>
  <c r="E80" i="6"/>
  <c r="F80" i="6"/>
  <c r="G80" i="6"/>
  <c r="H80" i="6"/>
  <c r="I80" i="6"/>
  <c r="C81" i="6"/>
  <c r="D81" i="6"/>
  <c r="E81" i="6"/>
  <c r="F81" i="6"/>
  <c r="G81" i="6"/>
  <c r="H81" i="6"/>
  <c r="I81" i="6"/>
  <c r="B86" i="6"/>
  <c r="B85" i="6"/>
  <c r="B81" i="6"/>
  <c r="B80" i="6"/>
  <c r="C110" i="5"/>
  <c r="D110" i="5"/>
  <c r="E110" i="5"/>
  <c r="F110" i="5"/>
  <c r="G110" i="5"/>
  <c r="H110" i="5"/>
  <c r="I110" i="5"/>
  <c r="C111" i="5"/>
  <c r="D111" i="5"/>
  <c r="E111" i="5"/>
  <c r="F111" i="5"/>
  <c r="G111" i="5"/>
  <c r="H111" i="5"/>
  <c r="I111" i="5"/>
  <c r="C104" i="5"/>
  <c r="D104" i="5"/>
  <c r="E104" i="5"/>
  <c r="F104" i="5"/>
  <c r="G104" i="5"/>
  <c r="H104" i="5"/>
  <c r="I104" i="5"/>
  <c r="C105" i="5"/>
  <c r="D105" i="5"/>
  <c r="E105" i="5"/>
  <c r="F105" i="5"/>
  <c r="G105" i="5"/>
  <c r="H105" i="5"/>
  <c r="I105" i="5"/>
  <c r="B111" i="5"/>
  <c r="B110" i="5"/>
  <c r="B105" i="5"/>
  <c r="B104" i="5"/>
  <c r="C81" i="4"/>
  <c r="D81" i="4"/>
  <c r="E81" i="4"/>
  <c r="F81" i="4"/>
  <c r="G81" i="4"/>
  <c r="H81" i="4"/>
  <c r="I81" i="4"/>
  <c r="C82" i="4"/>
  <c r="D82" i="4"/>
  <c r="E82" i="4"/>
  <c r="F82" i="4"/>
  <c r="G82" i="4"/>
  <c r="H82" i="4"/>
  <c r="I82" i="4"/>
  <c r="C76" i="4"/>
  <c r="D76" i="4"/>
  <c r="E76" i="4"/>
  <c r="F76" i="4"/>
  <c r="G76" i="4"/>
  <c r="H76" i="4"/>
  <c r="I76" i="4"/>
  <c r="C77" i="4"/>
  <c r="D77" i="4"/>
  <c r="E77" i="4"/>
  <c r="F77" i="4"/>
  <c r="G77" i="4"/>
  <c r="H77" i="4"/>
  <c r="I77" i="4"/>
  <c r="B82" i="4"/>
  <c r="B81" i="4"/>
  <c r="B77" i="4"/>
  <c r="B76" i="4"/>
  <c r="C109" i="3"/>
  <c r="D109" i="3"/>
  <c r="E109" i="3"/>
  <c r="F109" i="3"/>
  <c r="G109" i="3"/>
  <c r="H109" i="3"/>
  <c r="I109" i="3"/>
  <c r="C110" i="3"/>
  <c r="D110" i="3"/>
  <c r="E110" i="3"/>
  <c r="F110" i="3"/>
  <c r="G110" i="3"/>
  <c r="H110" i="3"/>
  <c r="I110" i="3"/>
  <c r="B110" i="3"/>
  <c r="B109" i="3"/>
  <c r="C104" i="3"/>
  <c r="C43" i="8" s="1"/>
  <c r="D104" i="3"/>
  <c r="E104" i="3"/>
  <c r="F104" i="3"/>
  <c r="G104" i="3"/>
  <c r="G43" i="8" s="1"/>
  <c r="H104" i="3"/>
  <c r="I104" i="3"/>
  <c r="I43" i="8" s="1"/>
  <c r="B104" i="3"/>
  <c r="C103" i="3"/>
  <c r="D103" i="3"/>
  <c r="E103" i="3"/>
  <c r="F103" i="3"/>
  <c r="G103" i="3"/>
  <c r="H103" i="3"/>
  <c r="I103" i="3"/>
  <c r="B103" i="3"/>
  <c r="B42" i="8" s="1"/>
  <c r="C130" i="2"/>
  <c r="D130" i="2"/>
  <c r="E130" i="2"/>
  <c r="F130" i="2"/>
  <c r="G130" i="2"/>
  <c r="H130" i="2"/>
  <c r="I130" i="2"/>
  <c r="J130" i="2"/>
  <c r="K130" i="2"/>
  <c r="L130" i="2"/>
  <c r="M130" i="2"/>
  <c r="C131" i="2"/>
  <c r="D131" i="2"/>
  <c r="E131" i="2"/>
  <c r="F131" i="2"/>
  <c r="G131" i="2"/>
  <c r="H131" i="2"/>
  <c r="I131" i="2"/>
  <c r="J131" i="2"/>
  <c r="K131" i="2"/>
  <c r="L131" i="2"/>
  <c r="M131" i="2"/>
  <c r="B131" i="2"/>
  <c r="B130" i="2"/>
  <c r="C126" i="2"/>
  <c r="D126" i="2"/>
  <c r="E126" i="2"/>
  <c r="F126" i="2"/>
  <c r="G126" i="2"/>
  <c r="H126" i="2"/>
  <c r="I126" i="2"/>
  <c r="J126" i="2"/>
  <c r="K126" i="2"/>
  <c r="L126" i="2"/>
  <c r="M126" i="2"/>
  <c r="B126" i="2"/>
  <c r="C125" i="2"/>
  <c r="D125" i="2"/>
  <c r="E125" i="2"/>
  <c r="F125" i="2"/>
  <c r="G125" i="2"/>
  <c r="H125" i="2"/>
  <c r="I125" i="2"/>
  <c r="J125" i="2"/>
  <c r="K125" i="2"/>
  <c r="L125" i="2"/>
  <c r="M125" i="2"/>
  <c r="B125" i="2"/>
  <c r="C72" i="7"/>
  <c r="D72" i="7"/>
  <c r="E72" i="7"/>
  <c r="F72" i="7"/>
  <c r="G72" i="7"/>
  <c r="H72" i="7"/>
  <c r="I72" i="7"/>
  <c r="J72" i="7"/>
  <c r="K72" i="7"/>
  <c r="B72" i="7"/>
  <c r="C71" i="7"/>
  <c r="D71" i="7"/>
  <c r="E71" i="7"/>
  <c r="F71" i="7"/>
  <c r="G71" i="7"/>
  <c r="H71" i="7"/>
  <c r="I71" i="7"/>
  <c r="J71" i="7"/>
  <c r="K71" i="7"/>
  <c r="B71" i="7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8" i="6"/>
  <c r="H58" i="6"/>
  <c r="G58" i="6"/>
  <c r="F58" i="6"/>
  <c r="E58" i="6"/>
  <c r="D58" i="6"/>
  <c r="C58" i="6"/>
  <c r="B58" i="6"/>
  <c r="I57" i="6"/>
  <c r="H57" i="6"/>
  <c r="G57" i="6"/>
  <c r="F57" i="6"/>
  <c r="E57" i="6"/>
  <c r="D57" i="6"/>
  <c r="C57" i="6"/>
  <c r="B57" i="6"/>
  <c r="C42" i="8"/>
  <c r="D42" i="8"/>
  <c r="E42" i="8"/>
  <c r="F42" i="8"/>
  <c r="G42" i="8"/>
  <c r="H42" i="8"/>
  <c r="I42" i="8"/>
  <c r="D43" i="8"/>
  <c r="E43" i="8"/>
  <c r="F43" i="8"/>
  <c r="H43" i="8"/>
  <c r="B43" i="8"/>
  <c r="L55" i="1"/>
  <c r="C35" i="8" l="1"/>
  <c r="D35" i="8"/>
  <c r="E35" i="8"/>
  <c r="F35" i="8"/>
  <c r="G35" i="8"/>
  <c r="H35" i="8"/>
  <c r="I35" i="8"/>
  <c r="B35" i="8"/>
  <c r="L38" i="1"/>
  <c r="L37" i="1"/>
  <c r="L59" i="1"/>
  <c r="L39" i="1"/>
  <c r="D39" i="1" s="1"/>
  <c r="D60" i="1"/>
  <c r="L60" i="1" s="1"/>
  <c r="C101" i="5" s="1"/>
  <c r="C49" i="8" s="1"/>
  <c r="E39" i="1"/>
  <c r="E61" i="1"/>
  <c r="E62" i="1"/>
  <c r="F62" i="1" s="1"/>
  <c r="E60" i="1"/>
  <c r="F60" i="1" s="1"/>
  <c r="N60" i="1" s="1"/>
  <c r="C103" i="5" s="1"/>
  <c r="C51" i="8" s="1"/>
  <c r="C102" i="5"/>
  <c r="C50" i="8" s="1"/>
  <c r="C80" i="8"/>
  <c r="D80" i="8"/>
  <c r="E80" i="8"/>
  <c r="F80" i="8"/>
  <c r="G80" i="8"/>
  <c r="C81" i="8"/>
  <c r="D81" i="8"/>
  <c r="E81" i="8"/>
  <c r="F81" i="8"/>
  <c r="G81" i="8"/>
  <c r="B81" i="8"/>
  <c r="B80" i="8"/>
  <c r="C73" i="8"/>
  <c r="D73" i="8"/>
  <c r="E73" i="8"/>
  <c r="F73" i="8"/>
  <c r="G73" i="8"/>
  <c r="B73" i="8"/>
  <c r="C68" i="8"/>
  <c r="D68" i="8"/>
  <c r="E68" i="8"/>
  <c r="F68" i="8"/>
  <c r="G68" i="8"/>
  <c r="C69" i="8"/>
  <c r="D69" i="8"/>
  <c r="E69" i="8"/>
  <c r="F69" i="8"/>
  <c r="G69" i="8"/>
  <c r="B69" i="8"/>
  <c r="B68" i="8"/>
  <c r="C61" i="8"/>
  <c r="D61" i="8"/>
  <c r="E61" i="8"/>
  <c r="F61" i="8"/>
  <c r="G61" i="8"/>
  <c r="B61" i="8"/>
  <c r="C55" i="8"/>
  <c r="D55" i="8"/>
  <c r="E55" i="8"/>
  <c r="F55" i="8"/>
  <c r="G55" i="8"/>
  <c r="H55" i="8"/>
  <c r="I55" i="8"/>
  <c r="C56" i="8"/>
  <c r="D56" i="8"/>
  <c r="E56" i="8"/>
  <c r="F56" i="8"/>
  <c r="G56" i="8"/>
  <c r="H56" i="8"/>
  <c r="I56" i="8"/>
  <c r="B56" i="8"/>
  <c r="B55" i="8"/>
  <c r="K55" i="8"/>
  <c r="L55" i="8"/>
  <c r="M55" i="8"/>
  <c r="N55" i="8"/>
  <c r="O55" i="8"/>
  <c r="P55" i="8"/>
  <c r="Q55" i="8"/>
  <c r="K56" i="8"/>
  <c r="L56" i="8"/>
  <c r="M56" i="8"/>
  <c r="N56" i="8"/>
  <c r="O56" i="8"/>
  <c r="P56" i="8"/>
  <c r="Q56" i="8"/>
  <c r="J56" i="8"/>
  <c r="J55" i="8"/>
  <c r="K48" i="8"/>
  <c r="L48" i="8"/>
  <c r="M48" i="8"/>
  <c r="N48" i="8"/>
  <c r="O48" i="8"/>
  <c r="P48" i="8"/>
  <c r="Q48" i="8"/>
  <c r="J48" i="8"/>
  <c r="C48" i="8"/>
  <c r="D48" i="8"/>
  <c r="E48" i="8"/>
  <c r="F48" i="8"/>
  <c r="G48" i="8"/>
  <c r="H48" i="8"/>
  <c r="I48" i="8"/>
  <c r="F49" i="8"/>
  <c r="B48" i="8"/>
  <c r="K42" i="8"/>
  <c r="L42" i="8"/>
  <c r="M42" i="8"/>
  <c r="N42" i="8"/>
  <c r="O42" i="8"/>
  <c r="P42" i="8"/>
  <c r="Q42" i="8"/>
  <c r="K43" i="8"/>
  <c r="L43" i="8"/>
  <c r="M43" i="8"/>
  <c r="N43" i="8"/>
  <c r="O43" i="8"/>
  <c r="P43" i="8"/>
  <c r="Q43" i="8"/>
  <c r="J43" i="8"/>
  <c r="J42" i="8"/>
  <c r="K35" i="8"/>
  <c r="L35" i="8"/>
  <c r="M35" i="8"/>
  <c r="N35" i="8"/>
  <c r="O35" i="8"/>
  <c r="P35" i="8"/>
  <c r="Q35" i="8"/>
  <c r="J35" i="8"/>
  <c r="C30" i="8"/>
  <c r="D30" i="8"/>
  <c r="B30" i="8"/>
  <c r="C29" i="8"/>
  <c r="D29" i="8"/>
  <c r="B29" i="8"/>
  <c r="C17" i="8"/>
  <c r="D17" i="8"/>
  <c r="E17" i="8"/>
  <c r="F17" i="8"/>
  <c r="G17" i="8"/>
  <c r="B17" i="8"/>
  <c r="C16" i="8"/>
  <c r="D16" i="8"/>
  <c r="E16" i="8"/>
  <c r="F16" i="8"/>
  <c r="G16" i="8"/>
  <c r="B16" i="8"/>
  <c r="C10" i="8"/>
  <c r="D10" i="8"/>
  <c r="L72" i="1"/>
  <c r="L74" i="1"/>
  <c r="I70" i="5"/>
  <c r="I71" i="5"/>
  <c r="D70" i="5"/>
  <c r="E70" i="5"/>
  <c r="F70" i="5"/>
  <c r="G70" i="5"/>
  <c r="H70" i="5"/>
  <c r="D71" i="5"/>
  <c r="E71" i="5"/>
  <c r="F71" i="5"/>
  <c r="G71" i="5"/>
  <c r="H71" i="5"/>
  <c r="C70" i="5"/>
  <c r="C71" i="5"/>
  <c r="B71" i="5"/>
  <c r="B70" i="5"/>
  <c r="C69" i="3"/>
  <c r="D69" i="3"/>
  <c r="E69" i="3"/>
  <c r="F69" i="3"/>
  <c r="G69" i="3"/>
  <c r="H69" i="3"/>
  <c r="I69" i="3"/>
  <c r="C70" i="3"/>
  <c r="D70" i="3"/>
  <c r="E70" i="3"/>
  <c r="F70" i="3"/>
  <c r="G70" i="3"/>
  <c r="H70" i="3"/>
  <c r="I70" i="3"/>
  <c r="B70" i="3"/>
  <c r="B69" i="3"/>
  <c r="C47" i="7"/>
  <c r="D47" i="7"/>
  <c r="E47" i="7"/>
  <c r="F47" i="7"/>
  <c r="G47" i="7"/>
  <c r="H47" i="7"/>
  <c r="I47" i="7"/>
  <c r="J47" i="7"/>
  <c r="C48" i="7"/>
  <c r="D48" i="7"/>
  <c r="E48" i="7"/>
  <c r="F48" i="7"/>
  <c r="G48" i="7"/>
  <c r="H48" i="7"/>
  <c r="I48" i="7"/>
  <c r="J48" i="7"/>
  <c r="B47" i="7"/>
  <c r="B48" i="7"/>
  <c r="C83" i="2"/>
  <c r="D83" i="2"/>
  <c r="E83" i="2"/>
  <c r="F83" i="2"/>
  <c r="G83" i="2"/>
  <c r="H83" i="2"/>
  <c r="I83" i="2"/>
  <c r="J83" i="2"/>
  <c r="K83" i="2"/>
  <c r="L83" i="2"/>
  <c r="M83" i="2"/>
  <c r="C84" i="2"/>
  <c r="D84" i="2"/>
  <c r="E84" i="2"/>
  <c r="F84" i="2"/>
  <c r="G84" i="2"/>
  <c r="H84" i="2"/>
  <c r="I84" i="2"/>
  <c r="J84" i="2"/>
  <c r="K84" i="2"/>
  <c r="L84" i="2"/>
  <c r="M84" i="2"/>
  <c r="B84" i="2"/>
  <c r="B83" i="2"/>
  <c r="B37" i="7"/>
  <c r="C37" i="7"/>
  <c r="D37" i="7"/>
  <c r="E37" i="7"/>
  <c r="F37" i="7"/>
  <c r="G37" i="7"/>
  <c r="H37" i="7"/>
  <c r="I37" i="7"/>
  <c r="J37" i="7"/>
  <c r="K37" i="7"/>
  <c r="B38" i="7"/>
  <c r="H50" i="7"/>
  <c r="I50" i="7"/>
  <c r="J50" i="7"/>
  <c r="K50" i="7"/>
  <c r="E54" i="7"/>
  <c r="F54" i="7"/>
  <c r="E55" i="7"/>
  <c r="F55" i="7"/>
  <c r="E56" i="7"/>
  <c r="F56" i="7"/>
  <c r="E57" i="7"/>
  <c r="F57" i="7"/>
  <c r="E58" i="7"/>
  <c r="F58" i="7"/>
  <c r="E59" i="7"/>
  <c r="F59" i="7"/>
  <c r="E60" i="7"/>
  <c r="F60" i="7"/>
  <c r="E61" i="7"/>
  <c r="F61" i="7"/>
  <c r="E62" i="7"/>
  <c r="F62" i="7"/>
  <c r="E63" i="7"/>
  <c r="F63" i="7"/>
  <c r="B68" i="7"/>
  <c r="E68" i="7"/>
  <c r="F68" i="7"/>
  <c r="G68" i="7"/>
  <c r="K68" i="7"/>
  <c r="B69" i="7"/>
  <c r="C69" i="7"/>
  <c r="C11" i="8" s="1"/>
  <c r="D69" i="7"/>
  <c r="E69" i="7"/>
  <c r="E11" i="8" s="1"/>
  <c r="F69" i="7"/>
  <c r="G69" i="7"/>
  <c r="G11" i="8" s="1"/>
  <c r="H69" i="7"/>
  <c r="I69" i="7"/>
  <c r="C24" i="8" s="1"/>
  <c r="J69" i="7"/>
  <c r="D24" i="8" s="1"/>
  <c r="K69" i="7"/>
  <c r="B70" i="7"/>
  <c r="K70" i="7"/>
  <c r="B55" i="3"/>
  <c r="C55" i="3"/>
  <c r="D55" i="3"/>
  <c r="E55" i="3"/>
  <c r="G55" i="3"/>
  <c r="H55" i="3"/>
  <c r="B56" i="3"/>
  <c r="C56" i="3"/>
  <c r="E56" i="3"/>
  <c r="F56" i="3"/>
  <c r="G56" i="3"/>
  <c r="H56" i="3"/>
  <c r="B74" i="3"/>
  <c r="C74" i="3"/>
  <c r="D74" i="3"/>
  <c r="E74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B100" i="3"/>
  <c r="B36" i="8" s="1"/>
  <c r="C100" i="3"/>
  <c r="C36" i="8" s="1"/>
  <c r="E100" i="3"/>
  <c r="E36" i="8" s="1"/>
  <c r="F36" i="8"/>
  <c r="G100" i="3"/>
  <c r="G36" i="8" s="1"/>
  <c r="H100" i="3"/>
  <c r="H36" i="8" s="1"/>
  <c r="B101" i="3"/>
  <c r="B37" i="8" s="1"/>
  <c r="C101" i="3"/>
  <c r="C37" i="8" s="1"/>
  <c r="D101" i="3"/>
  <c r="D37" i="8" s="1"/>
  <c r="E101" i="3"/>
  <c r="E37" i="8" s="1"/>
  <c r="F101" i="3"/>
  <c r="F37" i="8" s="1"/>
  <c r="G101" i="3"/>
  <c r="G37" i="8" s="1"/>
  <c r="H101" i="3"/>
  <c r="H37" i="8" s="1"/>
  <c r="I101" i="3"/>
  <c r="I37" i="8" s="1"/>
  <c r="F102" i="3"/>
  <c r="F38" i="8" s="1"/>
  <c r="G102" i="3"/>
  <c r="G38" i="8" s="1"/>
  <c r="H102" i="3"/>
  <c r="H38" i="8" s="1"/>
  <c r="I102" i="3"/>
  <c r="I38" i="8" s="1"/>
  <c r="B74" i="4"/>
  <c r="J37" i="8" s="1"/>
  <c r="C74" i="4"/>
  <c r="K37" i="8" s="1"/>
  <c r="D74" i="4"/>
  <c r="L37" i="8" s="1"/>
  <c r="E74" i="4"/>
  <c r="M37" i="8" s="1"/>
  <c r="F74" i="4"/>
  <c r="N37" i="8" s="1"/>
  <c r="G74" i="4"/>
  <c r="O37" i="8" s="1"/>
  <c r="H74" i="4"/>
  <c r="P37" i="8" s="1"/>
  <c r="I74" i="4"/>
  <c r="Q37" i="8" s="1"/>
  <c r="B75" i="4"/>
  <c r="J38" i="8" s="1"/>
  <c r="C75" i="4"/>
  <c r="K38" i="8" s="1"/>
  <c r="D75" i="4"/>
  <c r="L38" i="8" s="1"/>
  <c r="E75" i="4"/>
  <c r="M38" i="8" s="1"/>
  <c r="F75" i="4"/>
  <c r="N38" i="8" s="1"/>
  <c r="G75" i="4"/>
  <c r="O38" i="8" s="1"/>
  <c r="H75" i="4"/>
  <c r="P38" i="8" s="1"/>
  <c r="I75" i="4"/>
  <c r="Q38" i="8" s="1"/>
  <c r="B72" i="2"/>
  <c r="C72" i="2"/>
  <c r="D72" i="2"/>
  <c r="E72" i="2"/>
  <c r="F72" i="2"/>
  <c r="G72" i="2"/>
  <c r="H72" i="2"/>
  <c r="I72" i="2"/>
  <c r="J72" i="2"/>
  <c r="K72" i="2"/>
  <c r="L72" i="2"/>
  <c r="M72" i="2"/>
  <c r="B73" i="2"/>
  <c r="C73" i="2"/>
  <c r="D73" i="2"/>
  <c r="E73" i="2"/>
  <c r="F73" i="2"/>
  <c r="G73" i="2"/>
  <c r="H73" i="2"/>
  <c r="I73" i="2"/>
  <c r="J73" i="2"/>
  <c r="K73" i="2"/>
  <c r="L73" i="2"/>
  <c r="M73" i="2"/>
  <c r="B88" i="2"/>
  <c r="C88" i="2"/>
  <c r="D88" i="2"/>
  <c r="E88" i="2"/>
  <c r="F88" i="2"/>
  <c r="G88" i="2"/>
  <c r="H88" i="2"/>
  <c r="I88" i="2"/>
  <c r="J88" i="2"/>
  <c r="K88" i="2"/>
  <c r="L88" i="2"/>
  <c r="M88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B123" i="2"/>
  <c r="B75" i="8" s="1"/>
  <c r="C123" i="2"/>
  <c r="C75" i="8" s="1"/>
  <c r="D123" i="2"/>
  <c r="D75" i="8" s="1"/>
  <c r="E123" i="2"/>
  <c r="E75" i="8" s="1"/>
  <c r="F123" i="2"/>
  <c r="F75" i="8" s="1"/>
  <c r="G123" i="2"/>
  <c r="G75" i="8" s="1"/>
  <c r="H123" i="2"/>
  <c r="B63" i="8" s="1"/>
  <c r="I123" i="2"/>
  <c r="C63" i="8" s="1"/>
  <c r="J123" i="2"/>
  <c r="D63" i="8" s="1"/>
  <c r="K123" i="2"/>
  <c r="E63" i="8" s="1"/>
  <c r="L123" i="2"/>
  <c r="F63" i="8" s="1"/>
  <c r="M123" i="2"/>
  <c r="G63" i="8" s="1"/>
  <c r="B56" i="5"/>
  <c r="C56" i="5"/>
  <c r="D56" i="5"/>
  <c r="E56" i="5"/>
  <c r="G56" i="5"/>
  <c r="H56" i="5"/>
  <c r="B57" i="5"/>
  <c r="C57" i="5"/>
  <c r="E57" i="5"/>
  <c r="F57" i="5"/>
  <c r="G57" i="5"/>
  <c r="H57" i="5"/>
  <c r="B75" i="5"/>
  <c r="C75" i="5"/>
  <c r="D75" i="5"/>
  <c r="E75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B101" i="5"/>
  <c r="B49" i="8" s="1"/>
  <c r="E101" i="5"/>
  <c r="E49" i="8" s="1"/>
  <c r="G101" i="5"/>
  <c r="G49" i="8" s="1"/>
  <c r="H101" i="5"/>
  <c r="H49" i="8" s="1"/>
  <c r="F102" i="5"/>
  <c r="F50" i="8" s="1"/>
  <c r="G102" i="5"/>
  <c r="G50" i="8" s="1"/>
  <c r="H102" i="5"/>
  <c r="H50" i="8" s="1"/>
  <c r="I102" i="5"/>
  <c r="I50" i="8" s="1"/>
  <c r="F103" i="5"/>
  <c r="F51" i="8" s="1"/>
  <c r="G103" i="5"/>
  <c r="G51" i="8" s="1"/>
  <c r="H103" i="5"/>
  <c r="H51" i="8" s="1"/>
  <c r="I103" i="5"/>
  <c r="I51" i="8" s="1"/>
  <c r="B78" i="6"/>
  <c r="J50" i="8" s="1"/>
  <c r="C78" i="6"/>
  <c r="K50" i="8" s="1"/>
  <c r="D78" i="6"/>
  <c r="L50" i="8" s="1"/>
  <c r="E78" i="6"/>
  <c r="M50" i="8" s="1"/>
  <c r="F78" i="6"/>
  <c r="N50" i="8" s="1"/>
  <c r="G78" i="6"/>
  <c r="O50" i="8" s="1"/>
  <c r="H78" i="6"/>
  <c r="P50" i="8" s="1"/>
  <c r="I78" i="6"/>
  <c r="Q50" i="8" s="1"/>
  <c r="B79" i="6"/>
  <c r="J51" i="8" s="1"/>
  <c r="C79" i="6"/>
  <c r="K51" i="8" s="1"/>
  <c r="D79" i="6"/>
  <c r="L51" i="8" s="1"/>
  <c r="E79" i="6"/>
  <c r="M51" i="8" s="1"/>
  <c r="F79" i="6"/>
  <c r="N51" i="8" s="1"/>
  <c r="G79" i="6"/>
  <c r="O51" i="8" s="1"/>
  <c r="H79" i="6"/>
  <c r="P51" i="8" s="1"/>
  <c r="I79" i="6"/>
  <c r="Q51" i="8" s="1"/>
  <c r="E7" i="1"/>
  <c r="F7" i="1" s="1"/>
  <c r="N7" i="1" s="1"/>
  <c r="L7" i="1"/>
  <c r="B122" i="2" s="1"/>
  <c r="B74" i="8" s="1"/>
  <c r="E8" i="1"/>
  <c r="F8" i="1" s="1"/>
  <c r="N8" i="1" s="1"/>
  <c r="C124" i="2" s="1"/>
  <c r="C76" i="8" s="1"/>
  <c r="L8" i="1"/>
  <c r="C122" i="2"/>
  <c r="C74" i="8" s="1"/>
  <c r="E9" i="1"/>
  <c r="F9" i="1"/>
  <c r="N9" i="1" s="1"/>
  <c r="D124" i="2" s="1"/>
  <c r="D76" i="8" s="1"/>
  <c r="L9" i="1"/>
  <c r="D122" i="2"/>
  <c r="D74" i="8" s="1"/>
  <c r="E10" i="1"/>
  <c r="F10" i="1"/>
  <c r="N10" i="1" s="1"/>
  <c r="E124" i="2" s="1"/>
  <c r="E76" i="8" s="1"/>
  <c r="L10" i="1"/>
  <c r="E122" i="2"/>
  <c r="E74" i="8" s="1"/>
  <c r="E11" i="1"/>
  <c r="F11" i="1"/>
  <c r="N11" i="1" s="1"/>
  <c r="F124" i="2" s="1"/>
  <c r="F76" i="8" s="1"/>
  <c r="L11" i="1"/>
  <c r="F122" i="2"/>
  <c r="F74" i="8" s="1"/>
  <c r="E12" i="1"/>
  <c r="F12" i="1"/>
  <c r="N12" i="1" s="1"/>
  <c r="G124" i="2" s="1"/>
  <c r="G76" i="8" s="1"/>
  <c r="L12" i="1"/>
  <c r="G122" i="2"/>
  <c r="G74" i="8" s="1"/>
  <c r="E13" i="1"/>
  <c r="F13" i="1"/>
  <c r="N13" i="1" s="1"/>
  <c r="H124" i="2" s="1"/>
  <c r="B64" i="8" s="1"/>
  <c r="L13" i="1"/>
  <c r="H122" i="2"/>
  <c r="B62" i="8" s="1"/>
  <c r="E14" i="1"/>
  <c r="F14" i="1"/>
  <c r="N14" i="1" s="1"/>
  <c r="I124" i="2" s="1"/>
  <c r="C64" i="8" s="1"/>
  <c r="L14" i="1"/>
  <c r="I122" i="2"/>
  <c r="C62" i="8" s="1"/>
  <c r="E15" i="1"/>
  <c r="F15" i="1"/>
  <c r="N15" i="1" s="1"/>
  <c r="J124" i="2" s="1"/>
  <c r="D64" i="8" s="1"/>
  <c r="L15" i="1"/>
  <c r="J122" i="2"/>
  <c r="D62" i="8" s="1"/>
  <c r="E16" i="1"/>
  <c r="F16" i="1"/>
  <c r="N16" i="1" s="1"/>
  <c r="K124" i="2" s="1"/>
  <c r="E64" i="8" s="1"/>
  <c r="L16" i="1"/>
  <c r="K122" i="2"/>
  <c r="E62" i="8" s="1"/>
  <c r="E17" i="1"/>
  <c r="F17" i="1"/>
  <c r="N17" i="1" s="1"/>
  <c r="L124" i="2" s="1"/>
  <c r="F64" i="8" s="1"/>
  <c r="L17" i="1"/>
  <c r="L122" i="2"/>
  <c r="F62" i="8" s="1"/>
  <c r="E18" i="1"/>
  <c r="F18" i="1"/>
  <c r="N18" i="1" s="1"/>
  <c r="M124" i="2" s="1"/>
  <c r="G64" i="8" s="1"/>
  <c r="L18" i="1"/>
  <c r="M122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i="1"/>
  <c r="N30" i="1" s="1"/>
  <c r="H70" i="7" s="1"/>
  <c r="L30" i="1"/>
  <c r="H68" i="7"/>
  <c r="E31" i="1"/>
  <c r="F31" i="1"/>
  <c r="N31" i="1" s="1"/>
  <c r="I70" i="7" s="1"/>
  <c r="L31" i="1"/>
  <c r="I68" i="7"/>
  <c r="E32" i="1"/>
  <c r="F32" i="1"/>
  <c r="N32" i="1" s="1"/>
  <c r="J70" i="7" s="1"/>
  <c r="D25" i="8" s="1"/>
  <c r="L32" i="1"/>
  <c r="J68" i="7"/>
  <c r="D23" i="8" s="1"/>
  <c r="E37" i="1"/>
  <c r="F37" i="1" s="1"/>
  <c r="N37" i="1" s="1"/>
  <c r="B102" i="3" s="1"/>
  <c r="B38" i="8" s="1"/>
  <c r="E38" i="1"/>
  <c r="F38" i="1" s="1"/>
  <c r="N38" i="1" s="1"/>
  <c r="C102" i="3" s="1"/>
  <c r="C38" i="8" s="1"/>
  <c r="F39" i="1"/>
  <c r="N39" i="1" s="1"/>
  <c r="D102" i="3" s="1"/>
  <c r="D38" i="8" s="1"/>
  <c r="D100" i="3"/>
  <c r="D36" i="8" s="1"/>
  <c r="E40" i="1"/>
  <c r="F40" i="1" s="1"/>
  <c r="N40" i="1" s="1"/>
  <c r="E102" i="3" s="1"/>
  <c r="E38" i="8" s="1"/>
  <c r="K41" i="1"/>
  <c r="F55" i="3" s="1"/>
  <c r="K44" i="1"/>
  <c r="D44" i="1" s="1"/>
  <c r="K48" i="1"/>
  <c r="K49" i="1"/>
  <c r="D49" i="1" s="1"/>
  <c r="C43" i="4" s="1"/>
  <c r="C42" i="4"/>
  <c r="L49" i="1"/>
  <c r="C73" i="4"/>
  <c r="K36" i="8" s="1"/>
  <c r="K50" i="1"/>
  <c r="D42" i="4" s="1"/>
  <c r="L50" i="1"/>
  <c r="D73" i="4" s="1"/>
  <c r="L36" i="8" s="1"/>
  <c r="K51" i="1"/>
  <c r="D51" i="1" s="1"/>
  <c r="E43" i="4" s="1"/>
  <c r="L51" i="1"/>
  <c r="E73" i="4" s="1"/>
  <c r="M36" i="8" s="1"/>
  <c r="K52" i="1"/>
  <c r="F42" i="4" s="1"/>
  <c r="L52" i="1"/>
  <c r="F73" i="4" s="1"/>
  <c r="N36" i="8" s="1"/>
  <c r="K53" i="1"/>
  <c r="D53" i="1" s="1"/>
  <c r="G43" i="4" s="1"/>
  <c r="L53" i="1"/>
  <c r="G73" i="4" s="1"/>
  <c r="O36" i="8" s="1"/>
  <c r="K54" i="1"/>
  <c r="H42" i="4" s="1"/>
  <c r="L54" i="1"/>
  <c r="H73" i="4" s="1"/>
  <c r="P36" i="8" s="1"/>
  <c r="K55" i="1"/>
  <c r="D55" i="1" s="1"/>
  <c r="I43" i="4" s="1"/>
  <c r="I73" i="4"/>
  <c r="Q36" i="8" s="1"/>
  <c r="K63" i="1"/>
  <c r="F56" i="5"/>
  <c r="K66" i="1"/>
  <c r="D66" i="1" s="1"/>
  <c r="K70" i="1"/>
  <c r="D70" i="1" s="1"/>
  <c r="K71" i="1"/>
  <c r="D71" i="1" s="1"/>
  <c r="C47" i="6" s="1"/>
  <c r="C46" i="6"/>
  <c r="L71" i="1"/>
  <c r="C77" i="6" s="1"/>
  <c r="K49" i="8" s="1"/>
  <c r="K72" i="1"/>
  <c r="D72" i="1" s="1"/>
  <c r="D47" i="6" s="1"/>
  <c r="D77" i="6"/>
  <c r="L49" i="8" s="1"/>
  <c r="K73" i="1"/>
  <c r="D73" i="1" s="1"/>
  <c r="E47" i="6" s="1"/>
  <c r="L73" i="1"/>
  <c r="E77" i="6" s="1"/>
  <c r="M49" i="8" s="1"/>
  <c r="K74" i="1"/>
  <c r="D74" i="1" s="1"/>
  <c r="F47" i="6" s="1"/>
  <c r="F77" i="6"/>
  <c r="N49" i="8" s="1"/>
  <c r="K75" i="1"/>
  <c r="D75" i="1" s="1"/>
  <c r="G47" i="6" s="1"/>
  <c r="L75" i="1"/>
  <c r="G77" i="6" s="1"/>
  <c r="O49" i="8" s="1"/>
  <c r="K76" i="1"/>
  <c r="D76" i="1" s="1"/>
  <c r="H47" i="6" s="1"/>
  <c r="L76" i="1"/>
  <c r="H77" i="6" s="1"/>
  <c r="P49" i="8" s="1"/>
  <c r="K77" i="1"/>
  <c r="D77" i="1" s="1"/>
  <c r="I47" i="6" s="1"/>
  <c r="I77" i="6"/>
  <c r="Q49" i="8" s="1"/>
  <c r="F46" i="6"/>
  <c r="D52" i="1"/>
  <c r="F43" i="4" s="1"/>
  <c r="D50" i="1"/>
  <c r="D43" i="4" s="1"/>
  <c r="B46" i="6" l="1"/>
  <c r="L61" i="1"/>
  <c r="D61" i="1" s="1"/>
  <c r="D57" i="5" s="1"/>
  <c r="B42" i="4"/>
  <c r="D48" i="1"/>
  <c r="D46" i="6"/>
  <c r="H46" i="6"/>
  <c r="I46" i="6"/>
  <c r="I42" i="4"/>
  <c r="I55" i="3"/>
  <c r="B124" i="2"/>
  <c r="B76" i="8" s="1"/>
  <c r="G46" i="6"/>
  <c r="B43" i="4"/>
  <c r="D56" i="3"/>
  <c r="F61" i="1"/>
  <c r="N61" i="1" s="1"/>
  <c r="D103" i="5" s="1"/>
  <c r="D51" i="8" s="1"/>
  <c r="E59" i="1"/>
  <c r="F59" i="1" s="1"/>
  <c r="D102" i="5"/>
  <c r="D50" i="8" s="1"/>
  <c r="E102" i="5"/>
  <c r="E50" i="8" s="1"/>
  <c r="N62" i="1"/>
  <c r="E103" i="5" s="1"/>
  <c r="E51" i="8" s="1"/>
  <c r="N59" i="1"/>
  <c r="B103" i="5" s="1"/>
  <c r="B51" i="8" s="1"/>
  <c r="B102" i="5"/>
  <c r="B50" i="8" s="1"/>
  <c r="D101" i="5"/>
  <c r="D49" i="8" s="1"/>
  <c r="B11" i="8"/>
  <c r="F11" i="8"/>
  <c r="D11" i="8"/>
  <c r="B10" i="8"/>
  <c r="F10" i="8"/>
  <c r="B12" i="8"/>
  <c r="F12" i="8"/>
  <c r="D12" i="8"/>
  <c r="B23" i="8"/>
  <c r="C23" i="8"/>
  <c r="B25" i="8"/>
  <c r="C25" i="8"/>
  <c r="G10" i="8"/>
  <c r="E10" i="8"/>
  <c r="G12" i="8"/>
  <c r="E12" i="8"/>
  <c r="C12" i="8"/>
  <c r="B24" i="8"/>
  <c r="E42" i="4"/>
  <c r="L48" i="1"/>
  <c r="B73" i="4" s="1"/>
  <c r="J36" i="8" s="1"/>
  <c r="D54" i="1"/>
  <c r="H43" i="4" s="1"/>
  <c r="G42" i="4"/>
  <c r="E46" i="6"/>
  <c r="L70" i="1"/>
  <c r="B77" i="6" s="1"/>
  <c r="J49" i="8" s="1"/>
  <c r="B47" i="6"/>
  <c r="I56" i="5"/>
  <c r="L66" i="1"/>
  <c r="I101" i="5" s="1"/>
  <c r="I49" i="8" s="1"/>
  <c r="I57" i="5"/>
  <c r="I56" i="3"/>
  <c r="L44" i="1"/>
  <c r="I100" i="3" s="1"/>
  <c r="I36" i="8" s="1"/>
</calcChain>
</file>

<file path=xl/sharedStrings.xml><?xml version="1.0" encoding="utf-8"?>
<sst xmlns="http://schemas.openxmlformats.org/spreadsheetml/2006/main" count="947" uniqueCount="322">
  <si>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</si>
  <si>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</si>
  <si>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</si>
  <si>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</si>
  <si>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</si>
  <si>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</si>
  <si>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</si>
  <si>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</si>
  <si>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</si>
  <si>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</si>
  <si>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</si>
  <si>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</si>
  <si>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</si>
  <si>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</si>
  <si>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</si>
  <si>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</si>
  <si>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</si>
  <si>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</si>
  <si>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</si>
  <si>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</si>
  <si>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</si>
  <si>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</si>
  <si>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</si>
  <si>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</si>
  <si>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</si>
  <si>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</si>
  <si>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</si>
  <si>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</si>
  <si>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</si>
  <si>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</si>
  <si>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</si>
  <si>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</si>
  <si>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</si>
  <si>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</si>
  <si>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</si>
  <si>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</si>
  <si>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</si>
  <si>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</si>
  <si>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</si>
  <si>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</si>
  <si>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</si>
  <si>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</si>
  <si>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</si>
  <si>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</si>
  <si>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</si>
  <si>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</si>
  <si>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</si>
  <si>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</si>
  <si>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</si>
  <si>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</si>
  <si>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</si>
  <si>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</si>
  <si>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</si>
  <si>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</si>
  <si>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</si>
  <si>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</si>
  <si>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</si>
  <si>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</si>
  <si>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</si>
  <si>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</si>
  <si>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</si>
  <si>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</si>
  <si>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</si>
  <si>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</si>
  <si>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</si>
  <si>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</si>
  <si>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</si>
  <si>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</si>
  <si>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</si>
  <si>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</si>
  <si>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</si>
  <si>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</si>
  <si>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</si>
  <si>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</si>
  <si>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</si>
  <si>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</si>
  <si>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</si>
  <si>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</si>
  <si>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</si>
  <si>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</si>
  <si>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</si>
  <si>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</si>
  <si>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</si>
  <si>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</si>
  <si>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</si>
  <si>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</si>
  <si>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</si>
  <si>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</si>
  <si>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</si>
  <si>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</si>
  <si>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</si>
  <si>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</si>
  <si>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</si>
  <si>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</si>
  <si>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</si>
  <si>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</si>
  <si>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</si>
  <si>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</si>
  <si>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</si>
  <si>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</si>
  <si>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</si>
  <si>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</si>
  <si>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</si>
  <si>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</si>
  <si>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</si>
  <si>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</si>
  <si>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</si>
  <si>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</si>
  <si>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</si>
  <si>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</si>
  <si>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</si>
  <si>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</si>
  <si>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</si>
  <si>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</si>
  <si>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</si>
  <si>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</si>
  <si>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</si>
  <si>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</si>
  <si>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</si>
  <si>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</si>
  <si>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</si>
  <si>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</si>
  <si>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</si>
  <si>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</si>
  <si>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</si>
  <si>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</si>
  <si>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</si>
  <si>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</si>
  <si>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</si>
  <si>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</si>
  <si>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</si>
  <si>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</si>
  <si>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</si>
  <si>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</si>
  <si>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</si>
  <si>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</si>
  <si>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</si>
  <si>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</si>
  <si>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</si>
  <si>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</si>
  <si>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</si>
  <si>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</si>
  <si>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</si>
  <si>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</si>
  <si>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</si>
  <si>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</si>
  <si>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</si>
  <si>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</si>
  <si>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</si>
  <si>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</si>
  <si>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</si>
  <si>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</si>
  <si>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</si>
  <si>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</si>
  <si>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</si>
  <si>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</si>
  <si>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</si>
  <si>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</si>
  <si>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</si>
  <si>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</si>
  <si>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</si>
  <si>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</si>
  <si>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</si>
  <si>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</si>
  <si>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</si>
  <si>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</si>
  <si>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</si>
  <si>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</si>
  <si>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</si>
  <si>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</si>
  <si>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</si>
  <si>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</si>
  <si>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</si>
  <si>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</si>
  <si>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</si>
  <si>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</si>
  <si>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</si>
  <si>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</si>
  <si>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</si>
  <si>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</si>
  <si>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</si>
  <si>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</si>
  <si>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</si>
  <si>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</si>
  <si>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</si>
  <si>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</si>
  <si>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</si>
  <si>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</si>
  <si>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</si>
  <si>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</si>
  <si>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</si>
  <si>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</si>
  <si>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</si>
  <si>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</si>
  <si>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</si>
  <si>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</si>
  <si>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</si>
  <si>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</si>
  <si>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</si>
  <si>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</si>
  <si>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</si>
  <si>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</si>
  <si>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</si>
  <si>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</si>
  <si>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</si>
  <si>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</si>
  <si>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</si>
  <si>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</si>
  <si>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</si>
  <si>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</si>
  <si>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</si>
  <si>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</si>
  <si>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</si>
  <si>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</si>
  <si>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</si>
  <si>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</si>
  <si>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</si>
  <si>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</si>
  <si>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</si>
  <si>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</si>
  <si>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</si>
  <si>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</si>
  <si>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</si>
  <si>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</si>
  <si>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</si>
  <si>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</si>
  <si>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</si>
  <si>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</si>
  <si>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</si>
  <si>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</si>
  <si>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</si>
  <si>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</si>
  <si>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</si>
  <si>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</si>
  <si>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</si>
  <si>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</si>
  <si>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</si>
  <si>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</si>
  <si>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</si>
  <si>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</si>
  <si>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</si>
  <si>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</si>
  <si>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</si>
  <si>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</si>
  <si>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</si>
  <si>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</si>
  <si>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</si>
  <si>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</si>
  <si>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</si>
  <si>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</si>
  <si>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</si>
  <si>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</si>
  <si>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</si>
  <si>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</si>
  <si>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CanAddress    0x0E</t>
  </si>
  <si>
    <t xml:space="preserve">[analog left_arm]            </t>
  </si>
  <si>
    <t xml:space="preserve">[analog left_hand]           </t>
  </si>
  <si>
    <t xml:space="preserve">CanAddress    0x0E           //MAIS BOARD  </t>
  </si>
  <si>
    <t xml:space="preserve">Format        8              </t>
  </si>
  <si>
    <t xml:space="preserve">Channels      16             </t>
  </si>
  <si>
    <t xml:space="preserve">Period        10             </t>
  </si>
  <si>
    <t xml:space="preserve">[analog right_hand]          </t>
  </si>
  <si>
    <t>Y:\iCub\app\iCubPlymouth01\conf\</t>
  </si>
  <si>
    <t>0x0D</t>
  </si>
  <si>
    <t>CanAddress</t>
  </si>
  <si>
    <t>Format</t>
  </si>
  <si>
    <t>Channels</t>
  </si>
  <si>
    <t>Period</t>
  </si>
  <si>
    <t>UseCalibration</t>
  </si>
  <si>
    <t>[analog joint_left_arm]</t>
  </si>
  <si>
    <t xml:space="preserve">CanAddress </t>
  </si>
  <si>
    <t>0x0C</t>
  </si>
  <si>
    <t>//joint level TORQUE SENSOR</t>
  </si>
  <si>
    <t xml:space="preserve">Channels </t>
  </si>
  <si>
    <t xml:space="preserve">Period </t>
  </si>
  <si>
    <t xml:space="preserve">UseCalibration </t>
  </si>
  <si>
    <t>CanEcho</t>
  </si>
  <si>
    <t>PortName</t>
  </si>
  <si>
    <t>/joint_vsens/left_arm:i</t>
  </si>
  <si>
    <t xml:space="preserve">TorqueId            </t>
  </si>
  <si>
    <t xml:space="preserve">TorqueChan            </t>
  </si>
  <si>
    <t>4</t>
  </si>
  <si>
    <t xml:space="preserve">TorqueMax            </t>
  </si>
  <si>
    <t>8</t>
  </si>
  <si>
    <t>2</t>
  </si>
  <si>
    <t>[TORQUE_PIDS]</t>
  </si>
  <si>
    <t xml:space="preserve">TPid0   </t>
  </si>
  <si>
    <t xml:space="preserve">TPid1 </t>
  </si>
  <si>
    <t xml:space="preserve">TPid2 </t>
  </si>
  <si>
    <t>TPid3</t>
  </si>
  <si>
    <t xml:space="preserve">TPid4  </t>
  </si>
  <si>
    <t>TPid5</t>
  </si>
  <si>
    <t xml:space="preserve">TPid6  </t>
  </si>
  <si>
    <t>TPid7</t>
  </si>
  <si>
    <t>broadcast_pid_err</t>
  </si>
  <si>
    <t>[analog right_arm]</t>
  </si>
  <si>
    <t>[analog joint_right_arm]</t>
  </si>
  <si>
    <t>/joint_vsens/right_arm:i</t>
  </si>
  <si>
    <t>Timeout</t>
  </si>
  <si>
    <t xml:space="preserve">MaxPWM        </t>
  </si>
  <si>
    <t>[analog left_leg]</t>
  </si>
  <si>
    <t>//6axis FORCE TORQUE SENSOR</t>
  </si>
  <si>
    <t>[analog right_leg]</t>
  </si>
  <si>
    <t>0x0E</t>
  </si>
  <si>
    <t>[analog joint_left_leg]</t>
  </si>
  <si>
    <t>/joint_vsens/left_leg:i</t>
  </si>
  <si>
    <t>FullScale</t>
  </si>
  <si>
    <t>[analog joint_right_leg]</t>
  </si>
  <si>
    <t>0x0B</t>
  </si>
  <si>
    <t>/joint_vsens/right_leg:i</t>
  </si>
  <si>
    <t>0</t>
  </si>
  <si>
    <t>1</t>
  </si>
  <si>
    <t>3</t>
  </si>
  <si>
    <t>5</t>
  </si>
  <si>
    <t>12</t>
  </si>
  <si>
    <t>10</t>
  </si>
  <si>
    <t>-8</t>
  </si>
  <si>
    <t xml:space="preserve">TPid8    </t>
  </si>
  <si>
    <t xml:space="preserve">TPid9 </t>
  </si>
  <si>
    <t xml:space="preserve">TPid10  </t>
  </si>
  <si>
    <t>TPid11</t>
  </si>
  <si>
    <t>C:\Software\iCub\app\iCubPlymouth01\conf\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</si>
</sst>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26" x14ac:knownFonts="1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indexed="13"/>
      </patternFill>
    </fill>
    <fill>
      <patternFill patternType="solid">
        <fgColor rgb="FFFFC000"/>
        <bgColor indexed="26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4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0" fillId="11" borderId="0" xfId="0" applyFill="1"/>
    <xf numFmtId="49" fontId="0" fillId="32" borderId="0" xfId="0" applyNumberFormat="1" applyFill="1" applyBorder="1" applyAlignment="1">
      <alignment horizontal="left"/>
    </xf>
    <xf numFmtId="49" fontId="0" fillId="33" borderId="0" xfId="0" applyNumberFormat="1" applyFill="1" applyBorder="1" applyAlignment="1">
      <alignment horizontal="right"/>
    </xf>
    <xf numFmtId="49" fontId="0" fillId="34" borderId="0" xfId="0" applyNumberFormat="1" applyFill="1" applyBorder="1" applyAlignment="1">
      <alignment horizontal="right"/>
    </xf>
    <xf numFmtId="49" fontId="0" fillId="32" borderId="0" xfId="0" applyNumberFormat="1" applyFill="1"/>
    <xf numFmtId="49" fontId="0" fillId="32" borderId="0" xfId="0" applyNumberFormat="1" applyFill="1" applyAlignment="1">
      <alignment horizontal="right"/>
    </xf>
    <xf numFmtId="0" fontId="0" fillId="11" borderId="0" xfId="0" applyNumberFormat="1" applyFill="1"/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NumberFormat="1" applyFill="1"/>
    <xf numFmtId="49" fontId="0" fillId="0" borderId="0" xfId="0" applyNumberFormat="1" applyFont="1"/>
    <xf numFmtId="49" fontId="0" fillId="11" borderId="0" xfId="0" applyNumberFormat="1" applyFont="1" applyFill="1"/>
    <xf numFmtId="0" fontId="0" fillId="33" borderId="0" xfId="0" applyFill="1"/>
    <xf numFmtId="49" fontId="0" fillId="11" borderId="0" xfId="0" applyNumberFormat="1" applyFill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16</xdr:row>
          <xdr:rowOff>190500</xdr:rowOff>
        </xdr:from>
        <xdr:to>
          <xdr:col>22</xdr:col>
          <xdr:colOff>0</xdr:colOff>
          <xdr:row>18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Legs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29</xdr:row>
          <xdr:rowOff>190500</xdr:rowOff>
        </xdr:from>
        <xdr:to>
          <xdr:col>22</xdr:col>
          <xdr:colOff>0</xdr:colOff>
          <xdr:row>31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Head Torso 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581025</xdr:colOff>
          <xdr:row>42</xdr:row>
          <xdr:rowOff>28575</xdr:rowOff>
        </xdr:from>
        <xdr:to>
          <xdr:col>21</xdr:col>
          <xdr:colOff>590550</xdr:colOff>
          <xdr:row>44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Left Arm 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600075</xdr:colOff>
          <xdr:row>52</xdr:row>
          <xdr:rowOff>200025</xdr:rowOff>
        </xdr:from>
        <xdr:to>
          <xdr:col>22</xdr:col>
          <xdr:colOff>0</xdr:colOff>
          <xdr:row>54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Left Hand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63</xdr:row>
          <xdr:rowOff>200025</xdr:rowOff>
        </xdr:from>
        <xdr:to>
          <xdr:col>22</xdr:col>
          <xdr:colOff>0</xdr:colOff>
          <xdr:row>66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Right Arm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75</xdr:row>
          <xdr:rowOff>0</xdr:rowOff>
        </xdr:from>
        <xdr:to>
          <xdr:col>22</xdr:col>
          <xdr:colOff>0</xdr:colOff>
          <xdr:row>77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Right Hand 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83</xdr:row>
          <xdr:rowOff>9525</xdr:rowOff>
        </xdr:from>
        <xdr:to>
          <xdr:col>10</xdr:col>
          <xdr:colOff>514350</xdr:colOff>
          <xdr:row>85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83</xdr:row>
          <xdr:rowOff>9525</xdr:rowOff>
        </xdr:from>
        <xdr:to>
          <xdr:col>12</xdr:col>
          <xdr:colOff>1219200</xdr:colOff>
          <xdr:row>85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robotMotorGui.ini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cub/app/iCubGenova02/conf/iCub_Calibration_V1_1_Genova_0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07"/>
  <sheetViews>
    <sheetView tabSelected="1" topLeftCell="A67" zoomScale="55" zoomScaleNormal="55" workbookViewId="0">
      <selection activeCell="B96" sqref="B96"/>
    </sheetView>
  </sheetViews>
  <sheetFormatPr defaultRowHeight="15" x14ac:dyDescent="0.2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 x14ac:dyDescent="0.25">
      <c r="C1" s="3"/>
      <c r="D1" s="3"/>
    </row>
    <row r="2" spans="1:18" x14ac:dyDescent="0.25">
      <c r="C2" s="3"/>
      <c r="D2" s="3"/>
    </row>
    <row r="3" spans="1:18" x14ac:dyDescent="0.25">
      <c r="C3" s="3"/>
      <c r="D3" s="3"/>
    </row>
    <row r="4" spans="1:18" x14ac:dyDescent="0.25">
      <c r="C4" s="3"/>
      <c r="D4" s="3"/>
    </row>
    <row r="5" spans="1:18" ht="21.75" thickBot="1" x14ac:dyDescent="0.4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 x14ac:dyDescent="0.3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 x14ac:dyDescent="0.3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 x14ac:dyDescent="0.3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 x14ac:dyDescent="0.3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 x14ac:dyDescent="0.3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 x14ac:dyDescent="0.3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 x14ac:dyDescent="0.3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 x14ac:dyDescent="0.3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 x14ac:dyDescent="0.3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 x14ac:dyDescent="0.3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 x14ac:dyDescent="0.3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 x14ac:dyDescent="0.3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 x14ac:dyDescent="0.3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 x14ac:dyDescent="0.3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 x14ac:dyDescent="0.3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 x14ac:dyDescent="0.3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 x14ac:dyDescent="0.4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 x14ac:dyDescent="0.3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 x14ac:dyDescent="0.3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 x14ac:dyDescent="0.3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 x14ac:dyDescent="0.3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 x14ac:dyDescent="0.3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 x14ac:dyDescent="0.3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 x14ac:dyDescent="0.3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 x14ac:dyDescent="0.3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 x14ac:dyDescent="0.3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 x14ac:dyDescent="0.35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 x14ac:dyDescent="0.3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 x14ac:dyDescent="0.3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 x14ac:dyDescent="0.4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 x14ac:dyDescent="0.3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 x14ac:dyDescent="0.3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 x14ac:dyDescent="0.3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 x14ac:dyDescent="0.3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 x14ac:dyDescent="0.3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 x14ac:dyDescent="0.3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 x14ac:dyDescent="0.3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 x14ac:dyDescent="0.3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 x14ac:dyDescent="0.3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 x14ac:dyDescent="0.3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 x14ac:dyDescent="0.4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 x14ac:dyDescent="0.3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 x14ac:dyDescent="0.3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 x14ac:dyDescent="0.35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 x14ac:dyDescent="0.35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 x14ac:dyDescent="0.35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 x14ac:dyDescent="0.35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 x14ac:dyDescent="0.35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 x14ac:dyDescent="0.35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 x14ac:dyDescent="0.35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 x14ac:dyDescent="0.3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 x14ac:dyDescent="0.4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 x14ac:dyDescent="0.3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 x14ac:dyDescent="0.3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 x14ac:dyDescent="0.3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 x14ac:dyDescent="0.3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 x14ac:dyDescent="0.3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 x14ac:dyDescent="0.3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 x14ac:dyDescent="0.3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 x14ac:dyDescent="0.3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 x14ac:dyDescent="0.3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 x14ac:dyDescent="0.35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 x14ac:dyDescent="0.4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 x14ac:dyDescent="0.3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 x14ac:dyDescent="0.3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 x14ac:dyDescent="0.35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 x14ac:dyDescent="0.35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 x14ac:dyDescent="0.35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 x14ac:dyDescent="0.35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 x14ac:dyDescent="0.35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 x14ac:dyDescent="0.35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 x14ac:dyDescent="0.35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 x14ac:dyDescent="0.25">
      <c r="C78" s="3"/>
      <c r="D78" s="3"/>
      <c r="E78" s="10"/>
      <c r="F78" s="10"/>
    </row>
    <row r="79" spans="1:18" x14ac:dyDescent="0.25">
      <c r="C79" s="3"/>
      <c r="D79" s="3"/>
    </row>
    <row r="80" spans="1:18" ht="18.75" x14ac:dyDescent="0.3">
      <c r="C80" s="3"/>
      <c r="D80" s="6"/>
      <c r="E80" s="6"/>
      <c r="F80" s="6"/>
    </row>
    <row r="81" spans="1:5" x14ac:dyDescent="0.25">
      <c r="B81" s="11" t="s">
        <v>74</v>
      </c>
      <c r="C81" s="3"/>
      <c r="D81" s="3"/>
    </row>
    <row r="82" spans="1:5" x14ac:dyDescent="0.25">
      <c r="C82" s="3"/>
      <c r="D82" s="3"/>
    </row>
    <row r="83" spans="1:5" x14ac:dyDescent="0.25">
      <c r="B83" s="12"/>
      <c r="C83" s="3"/>
      <c r="D83" s="3" t="s">
        <v>75</v>
      </c>
    </row>
    <row r="84" spans="1:5" x14ac:dyDescent="0.25">
      <c r="C84" s="3"/>
      <c r="D84" s="3"/>
    </row>
    <row r="85" spans="1:5" x14ac:dyDescent="0.25">
      <c r="B85" s="13"/>
      <c r="C85" s="3"/>
      <c r="D85" s="3" t="s">
        <v>76</v>
      </c>
    </row>
    <row r="86" spans="1:5" x14ac:dyDescent="0.25">
      <c r="C86" s="3"/>
      <c r="D86" s="3"/>
    </row>
    <row r="87" spans="1:5" x14ac:dyDescent="0.25">
      <c r="B87" s="14"/>
      <c r="C87" s="3"/>
      <c r="D87" s="3" t="s">
        <v>165</v>
      </c>
    </row>
    <row r="88" spans="1:5" x14ac:dyDescent="0.25">
      <c r="C88" s="3"/>
      <c r="D88" s="3"/>
    </row>
    <row r="89" spans="1:5" x14ac:dyDescent="0.25">
      <c r="B89" s="15"/>
      <c r="C89" s="3"/>
      <c r="D89" s="3" t="s">
        <v>77</v>
      </c>
    </row>
    <row r="90" spans="1:5" x14ac:dyDescent="0.25">
      <c r="C90" s="3"/>
      <c r="D90" s="3"/>
    </row>
    <row r="91" spans="1:5" x14ac:dyDescent="0.25">
      <c r="C91" s="3"/>
      <c r="D91" s="3"/>
    </row>
    <row r="92" spans="1:5" ht="21" x14ac:dyDescent="0.35">
      <c r="A92" s="77" t="s">
        <v>164</v>
      </c>
      <c r="B92" s="77"/>
      <c r="C92" s="3"/>
      <c r="D92" s="3"/>
    </row>
    <row r="93" spans="1:5" ht="21" x14ac:dyDescent="0.35">
      <c r="A93" s="77" t="s">
        <v>253</v>
      </c>
      <c r="B93" s="77"/>
      <c r="C93" s="3"/>
      <c r="D93" s="3"/>
    </row>
    <row r="94" spans="1:5" ht="21" x14ac:dyDescent="0.35">
      <c r="A94" s="78">
        <v>40485</v>
      </c>
      <c r="B94" s="77"/>
      <c r="C94" s="3"/>
      <c r="D94" s="3"/>
    </row>
    <row r="95" spans="1:5" ht="15.75" thickBot="1" x14ac:dyDescent="0.3">
      <c r="C95" s="3"/>
      <c r="D95" s="3"/>
    </row>
    <row r="96" spans="1:5" ht="21.75" thickBot="1" x14ac:dyDescent="0.4">
      <c r="A96" s="44" t="s">
        <v>166</v>
      </c>
      <c r="B96" s="43" t="s">
        <v>262</v>
      </c>
      <c r="C96" s="41"/>
      <c r="D96" s="41"/>
      <c r="E96" s="42"/>
    </row>
    <row r="97" spans="2:6" x14ac:dyDescent="0.25">
      <c r="C97" s="3"/>
      <c r="D97" s="3"/>
    </row>
    <row r="98" spans="2:6" ht="15.75" thickBot="1" x14ac:dyDescent="0.3">
      <c r="B98" t="s">
        <v>321</v>
      </c>
      <c r="C98" s="3"/>
      <c r="D98" s="3"/>
    </row>
    <row r="99" spans="2:6" ht="19.5" thickBot="1" x14ac:dyDescent="0.35">
      <c r="B99" s="43" t="s">
        <v>262</v>
      </c>
      <c r="C99" s="3"/>
      <c r="D99" s="3"/>
      <c r="E99" s="10"/>
      <c r="F99" s="10"/>
    </row>
    <row r="100" spans="2:6" x14ac:dyDescent="0.25">
      <c r="B100" s="3"/>
      <c r="C100" s="3"/>
      <c r="D100" s="3"/>
      <c r="E100" s="10"/>
      <c r="F100" s="10"/>
    </row>
    <row r="101" spans="2:6" x14ac:dyDescent="0.25">
      <c r="B101" s="3"/>
      <c r="C101" s="3"/>
      <c r="D101" s="3"/>
      <c r="E101" s="10"/>
      <c r="F101" s="10"/>
    </row>
    <row r="102" spans="2:6" x14ac:dyDescent="0.25">
      <c r="B102" s="3"/>
      <c r="C102" s="3"/>
      <c r="D102" s="3"/>
      <c r="E102" s="10"/>
      <c r="F102" s="10"/>
    </row>
    <row r="103" spans="2:6" x14ac:dyDescent="0.25">
      <c r="B103" s="3"/>
      <c r="C103" s="3"/>
      <c r="D103" s="3"/>
      <c r="E103" s="10"/>
      <c r="F103" s="10"/>
    </row>
    <row r="104" spans="2:6" x14ac:dyDescent="0.25">
      <c r="B104" s="3"/>
      <c r="C104" s="3"/>
      <c r="D104" s="3"/>
      <c r="E104" s="10"/>
      <c r="F104" s="10"/>
    </row>
    <row r="105" spans="2:6" x14ac:dyDescent="0.25">
      <c r="B105" s="3"/>
      <c r="C105" s="3"/>
      <c r="D105" s="3"/>
      <c r="E105" s="10"/>
      <c r="F105" s="10"/>
    </row>
    <row r="106" spans="2:6" x14ac:dyDescent="0.25">
      <c r="B106" s="3"/>
      <c r="C106" s="3"/>
      <c r="D106" s="3"/>
      <c r="E106" s="10"/>
      <c r="F106" s="10"/>
    </row>
    <row r="107" spans="2:6" x14ac:dyDescent="0.25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gs_Click">
                <anchor moveWithCells="1">
                  <from>
                    <xdr:col>20</xdr:col>
                    <xdr:colOff>0</xdr:colOff>
                    <xdr:row>16</xdr:row>
                    <xdr:rowOff>190500</xdr:rowOff>
                  </from>
                  <to>
                    <xdr:col>22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eadTorso_Click">
                <anchor moveWithCells="1">
                  <from>
                    <xdr:col>20</xdr:col>
                    <xdr:colOff>0</xdr:colOff>
                    <xdr:row>29</xdr:row>
                    <xdr:rowOff>190500</xdr:rowOff>
                  </from>
                  <to>
                    <xdr:col>22</xdr:col>
                    <xdr:colOff>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eftArm_Click">
                <anchor moveWithCells="1">
                  <from>
                    <xdr:col>19</xdr:col>
                    <xdr:colOff>581025</xdr:colOff>
                    <xdr:row>42</xdr:row>
                    <xdr:rowOff>28575</xdr:rowOff>
                  </from>
                  <to>
                    <xdr:col>21</xdr:col>
                    <xdr:colOff>590550</xdr:colOff>
                    <xdr:row>44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eftHand_Click">
                <anchor moveWithCells="1">
                  <from>
                    <xdr:col>19</xdr:col>
                    <xdr:colOff>600075</xdr:colOff>
                    <xdr:row>52</xdr:row>
                    <xdr:rowOff>200025</xdr:rowOff>
                  </from>
                  <to>
                    <xdr:col>22</xdr:col>
                    <xdr:colOff>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ightArm_click">
                <anchor moveWithCells="1">
                  <from>
                    <xdr:col>20</xdr:col>
                    <xdr:colOff>0</xdr:colOff>
                    <xdr:row>63</xdr:row>
                    <xdr:rowOff>200025</xdr:rowOff>
                  </from>
                  <to>
                    <xdr:col>22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ightHand_Click">
                <anchor moveWithCells="1">
                  <from>
                    <xdr:col>20</xdr:col>
                    <xdr:colOff>0</xdr:colOff>
                    <xdr:row>75</xdr:row>
                    <xdr:rowOff>0</xdr:rowOff>
                  </from>
                  <to>
                    <xdr:col>22</xdr:col>
                    <xdr:colOff>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All">
                <anchor moveWithCells="1">
                  <from>
                    <xdr:col>9</xdr:col>
                    <xdr:colOff>0</xdr:colOff>
                    <xdr:row>83</xdr:row>
                    <xdr:rowOff>9525</xdr:rowOff>
                  </from>
                  <to>
                    <xdr:col>10</xdr:col>
                    <xdr:colOff>514350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robotMotorGui">
                <anchor moveWithCells="1">
                  <from>
                    <xdr:col>12</xdr:col>
                    <xdr:colOff>0</xdr:colOff>
                    <xdr:row>83</xdr:row>
                    <xdr:rowOff>9525</xdr:rowOff>
                  </from>
                  <to>
                    <xdr:col>12</xdr:col>
                    <xdr:colOff>1219200</xdr:colOff>
                    <xdr:row>85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M134"/>
  <sheetViews>
    <sheetView topLeftCell="A97" zoomScale="55" zoomScaleNormal="55" workbookViewId="0">
      <selection activeCell="K70" sqref="K70"/>
    </sheetView>
  </sheetViews>
  <sheetFormatPr defaultRowHeight="15" x14ac:dyDescent="0.25"/>
  <cols>
    <col min="1" max="1" width="29.140625" customWidth="1"/>
    <col min="2" max="13" width="16.7109375" customWidth="1"/>
  </cols>
  <sheetData>
    <row r="3" spans="1:13" x14ac:dyDescent="0.25">
      <c r="A3" s="16" t="s">
        <v>78</v>
      </c>
      <c r="B3" s="17">
        <v>1333</v>
      </c>
      <c r="D3" t="s">
        <v>79</v>
      </c>
      <c r="F3" t="s">
        <v>80</v>
      </c>
    </row>
    <row r="4" spans="1:13" x14ac:dyDescent="0.25">
      <c r="A4" s="18"/>
      <c r="B4" s="19"/>
    </row>
    <row r="5" spans="1:13" x14ac:dyDescent="0.25">
      <c r="A5" s="20" t="s">
        <v>81</v>
      </c>
      <c r="B5" s="21">
        <v>7000</v>
      </c>
      <c r="D5" t="s">
        <v>82</v>
      </c>
    </row>
    <row r="10" spans="1:13" x14ac:dyDescent="0.25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 x14ac:dyDescent="0.25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 x14ac:dyDescent="0.25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 x14ac:dyDescent="0.25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 x14ac:dyDescent="0.25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 x14ac:dyDescent="0.25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 x14ac:dyDescent="0.25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 x14ac:dyDescent="0.25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 x14ac:dyDescent="0.25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 x14ac:dyDescent="0.25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 x14ac:dyDescent="0.25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 x14ac:dyDescent="0.25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 x14ac:dyDescent="0.25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 x14ac:dyDescent="0.25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 x14ac:dyDescent="0.25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 x14ac:dyDescent="0.25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 x14ac:dyDescent="0.25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 x14ac:dyDescent="0.25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 x14ac:dyDescent="0.25">
      <c r="A28" s="76" t="s">
        <v>294</v>
      </c>
      <c r="B28" s="76" t="s">
        <v>310</v>
      </c>
      <c r="C28" s="76" t="s">
        <v>310</v>
      </c>
      <c r="D28" s="76" t="s">
        <v>310</v>
      </c>
      <c r="E28" s="76" t="s">
        <v>310</v>
      </c>
      <c r="F28" s="76" t="s">
        <v>310</v>
      </c>
      <c r="G28" s="76" t="s">
        <v>310</v>
      </c>
      <c r="H28" s="76" t="s">
        <v>310</v>
      </c>
      <c r="I28" s="76" t="s">
        <v>310</v>
      </c>
      <c r="J28" s="76" t="s">
        <v>310</v>
      </c>
      <c r="K28" s="76" t="s">
        <v>310</v>
      </c>
      <c r="L28" s="76" t="s">
        <v>310</v>
      </c>
      <c r="M28" s="76" t="s">
        <v>310</v>
      </c>
    </row>
    <row r="29" spans="1:13" x14ac:dyDescent="0.25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 x14ac:dyDescent="0.25">
      <c r="A30" s="90" t="s">
        <v>300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</row>
    <row r="31" spans="1:13" x14ac:dyDescent="0.25">
      <c r="A31" t="s">
        <v>270</v>
      </c>
      <c r="B31" t="s">
        <v>263</v>
      </c>
      <c r="C31" t="s">
        <v>301</v>
      </c>
      <c r="D31" s="90"/>
      <c r="E31" s="90"/>
      <c r="F31" s="90"/>
      <c r="G31" s="90"/>
      <c r="H31" s="90"/>
      <c r="I31" s="90"/>
      <c r="J31" s="90"/>
      <c r="K31" s="90"/>
      <c r="L31" s="90"/>
      <c r="M31" s="90"/>
    </row>
    <row r="32" spans="1:13" x14ac:dyDescent="0.25">
      <c r="A32" t="s">
        <v>265</v>
      </c>
      <c r="B32">
        <v>16</v>
      </c>
      <c r="D32" s="90"/>
      <c r="E32" s="90"/>
      <c r="F32" s="90"/>
      <c r="G32" s="90"/>
      <c r="H32" s="90"/>
      <c r="I32" s="90"/>
      <c r="J32" s="90"/>
      <c r="K32" s="90"/>
      <c r="L32" s="90"/>
      <c r="M32" s="90"/>
    </row>
    <row r="33" spans="1:13" x14ac:dyDescent="0.25">
      <c r="A33" t="s">
        <v>273</v>
      </c>
      <c r="B33">
        <v>6</v>
      </c>
      <c r="D33" s="90"/>
      <c r="E33" s="90"/>
      <c r="F33" s="90"/>
      <c r="G33" s="90"/>
      <c r="H33" s="90"/>
      <c r="I33" s="90"/>
      <c r="J33" s="90"/>
      <c r="K33" s="90"/>
      <c r="L33" s="90"/>
      <c r="M33" s="90"/>
    </row>
    <row r="34" spans="1:13" x14ac:dyDescent="0.25">
      <c r="A34" t="s">
        <v>274</v>
      </c>
      <c r="B34">
        <v>3</v>
      </c>
      <c r="D34" s="90"/>
      <c r="E34" s="90"/>
      <c r="F34" s="90"/>
      <c r="G34" s="90"/>
      <c r="H34" s="90"/>
      <c r="I34" s="90"/>
      <c r="J34" s="90"/>
      <c r="K34" s="90"/>
      <c r="L34" s="90"/>
      <c r="M34" s="90"/>
    </row>
    <row r="35" spans="1:13" x14ac:dyDescent="0.25">
      <c r="A35" t="s">
        <v>275</v>
      </c>
      <c r="B35">
        <v>1</v>
      </c>
      <c r="D35" s="90"/>
      <c r="E35" s="90"/>
      <c r="F35" s="90"/>
      <c r="G35" s="90"/>
      <c r="H35" s="90"/>
      <c r="I35" s="90"/>
      <c r="J35" s="90"/>
      <c r="K35" s="90"/>
      <c r="L35" s="90"/>
      <c r="M35" s="90"/>
    </row>
    <row r="36" spans="1:13" x14ac:dyDescent="0.25">
      <c r="E36" s="90"/>
      <c r="F36" s="90"/>
      <c r="G36" s="90"/>
      <c r="H36" s="90"/>
      <c r="I36" s="90"/>
      <c r="J36" s="90"/>
      <c r="K36" s="90"/>
      <c r="L36" s="90"/>
      <c r="M36" s="90"/>
    </row>
    <row r="37" spans="1:13" x14ac:dyDescent="0.25">
      <c r="A37" s="90" t="s">
        <v>302</v>
      </c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</row>
    <row r="38" spans="1:13" x14ac:dyDescent="0.25">
      <c r="A38" t="s">
        <v>270</v>
      </c>
      <c r="B38" t="s">
        <v>303</v>
      </c>
      <c r="C38" t="s">
        <v>301</v>
      </c>
      <c r="D38" s="90"/>
      <c r="E38" s="90"/>
      <c r="F38" s="90"/>
      <c r="G38" s="90"/>
      <c r="H38" s="90"/>
      <c r="I38" s="90"/>
      <c r="J38" s="90"/>
      <c r="K38" s="90"/>
      <c r="L38" s="90"/>
      <c r="M38" s="90"/>
    </row>
    <row r="39" spans="1:13" x14ac:dyDescent="0.25">
      <c r="A39" t="s">
        <v>265</v>
      </c>
      <c r="B39">
        <v>16</v>
      </c>
      <c r="D39" s="90"/>
      <c r="E39" s="90"/>
      <c r="F39" s="90"/>
      <c r="G39" s="90"/>
      <c r="H39" s="90"/>
      <c r="I39" s="90"/>
      <c r="J39" s="90"/>
      <c r="K39" s="90"/>
      <c r="L39" s="90"/>
      <c r="M39" s="90"/>
    </row>
    <row r="40" spans="1:13" x14ac:dyDescent="0.25">
      <c r="A40" t="s">
        <v>273</v>
      </c>
      <c r="B40">
        <v>6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</row>
    <row r="41" spans="1:13" x14ac:dyDescent="0.25">
      <c r="A41" t="s">
        <v>274</v>
      </c>
      <c r="B41">
        <v>3</v>
      </c>
      <c r="D41" s="90"/>
      <c r="E41" s="90"/>
      <c r="F41" s="90"/>
      <c r="G41" s="90"/>
      <c r="H41" s="90"/>
      <c r="I41" s="90"/>
      <c r="J41" s="90"/>
      <c r="K41" s="90"/>
      <c r="L41" s="90"/>
      <c r="M41" s="90"/>
    </row>
    <row r="42" spans="1:13" x14ac:dyDescent="0.25">
      <c r="A42" t="s">
        <v>275</v>
      </c>
      <c r="B42">
        <v>1</v>
      </c>
      <c r="D42" s="90"/>
      <c r="E42" s="90"/>
      <c r="F42" s="90"/>
      <c r="G42" s="90"/>
      <c r="H42" s="90"/>
      <c r="I42" s="90"/>
      <c r="J42" s="90"/>
      <c r="K42" s="90"/>
      <c r="L42" s="90"/>
      <c r="M42" s="90"/>
    </row>
    <row r="43" spans="1:13" x14ac:dyDescent="0.25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</row>
    <row r="44" spans="1:13" x14ac:dyDescent="0.25">
      <c r="A44" s="91" t="s">
        <v>304</v>
      </c>
      <c r="B44" s="91"/>
      <c r="C44" s="91"/>
      <c r="D44" s="91"/>
      <c r="E44" s="91"/>
      <c r="F44" s="91"/>
      <c r="G44" s="90"/>
      <c r="H44" s="90"/>
      <c r="I44" s="90"/>
      <c r="J44" s="90"/>
      <c r="K44" s="90"/>
      <c r="L44" s="90"/>
      <c r="M44" s="90"/>
    </row>
    <row r="45" spans="1:13" x14ac:dyDescent="0.25">
      <c r="A45" s="80" t="s">
        <v>270</v>
      </c>
      <c r="B45" s="80" t="s">
        <v>271</v>
      </c>
      <c r="C45" s="80" t="s">
        <v>272</v>
      </c>
      <c r="D45" s="91"/>
      <c r="E45" s="91"/>
      <c r="F45" s="91"/>
      <c r="G45" s="90"/>
      <c r="H45" s="90"/>
      <c r="I45" s="90"/>
      <c r="J45" s="90"/>
      <c r="K45" s="90"/>
      <c r="L45" s="90"/>
      <c r="M45" s="90"/>
    </row>
    <row r="46" spans="1:13" x14ac:dyDescent="0.25">
      <c r="A46" s="80" t="s">
        <v>265</v>
      </c>
      <c r="B46" s="80">
        <v>16</v>
      </c>
      <c r="C46" s="80"/>
      <c r="D46" s="91"/>
      <c r="E46" s="91"/>
      <c r="F46" s="91"/>
      <c r="G46" s="90"/>
      <c r="H46" s="90"/>
      <c r="I46" s="90"/>
      <c r="J46" s="90"/>
      <c r="K46" s="90"/>
      <c r="L46" s="90"/>
      <c r="M46" s="90"/>
    </row>
    <row r="47" spans="1:13" x14ac:dyDescent="0.25">
      <c r="A47" s="80" t="s">
        <v>273</v>
      </c>
      <c r="B47" s="80">
        <v>6</v>
      </c>
      <c r="C47" s="80"/>
      <c r="D47" s="91"/>
      <c r="E47" s="91"/>
      <c r="F47" s="91"/>
      <c r="G47" s="90"/>
      <c r="H47" s="90"/>
      <c r="I47" s="90"/>
      <c r="J47" s="90"/>
      <c r="K47" s="90"/>
      <c r="L47" s="90"/>
      <c r="M47" s="90"/>
    </row>
    <row r="48" spans="1:13" x14ac:dyDescent="0.25">
      <c r="A48" s="80" t="s">
        <v>274</v>
      </c>
      <c r="B48" s="80">
        <v>3</v>
      </c>
      <c r="C48" s="80"/>
      <c r="D48" s="91"/>
      <c r="E48" s="91"/>
      <c r="F48" s="91"/>
      <c r="G48" s="90"/>
      <c r="H48" s="90"/>
      <c r="I48" s="90"/>
      <c r="J48" s="90"/>
      <c r="K48" s="90"/>
      <c r="L48" s="90"/>
      <c r="M48" s="90"/>
    </row>
    <row r="49" spans="1:13" x14ac:dyDescent="0.25">
      <c r="A49" s="80" t="s">
        <v>275</v>
      </c>
      <c r="B49" s="80">
        <v>1</v>
      </c>
      <c r="C49" s="80"/>
      <c r="D49" s="91"/>
      <c r="E49" s="91"/>
      <c r="F49" s="91"/>
      <c r="G49" s="90"/>
      <c r="H49" s="90"/>
      <c r="I49" s="90"/>
      <c r="J49" s="90"/>
      <c r="K49" s="90"/>
      <c r="L49" s="90"/>
      <c r="M49" s="90"/>
    </row>
    <row r="50" spans="1:13" x14ac:dyDescent="0.25">
      <c r="A50" s="80" t="s">
        <v>276</v>
      </c>
      <c r="B50" s="80">
        <v>1</v>
      </c>
      <c r="C50" s="80"/>
      <c r="D50" s="91"/>
      <c r="E50" s="91"/>
      <c r="F50" s="91"/>
      <c r="G50" s="90"/>
      <c r="H50" s="90"/>
      <c r="I50" s="90"/>
      <c r="J50" s="90"/>
      <c r="K50" s="90"/>
      <c r="L50" s="90"/>
      <c r="M50" s="90"/>
    </row>
    <row r="51" spans="1:13" x14ac:dyDescent="0.25">
      <c r="A51" s="80" t="s">
        <v>277</v>
      </c>
      <c r="B51" s="80" t="s">
        <v>305</v>
      </c>
      <c r="C51" s="80"/>
      <c r="D51" s="91"/>
      <c r="E51" s="91"/>
      <c r="F51" s="91"/>
      <c r="G51" s="90"/>
      <c r="H51" s="90"/>
      <c r="I51" s="90"/>
      <c r="J51" s="90"/>
      <c r="K51" s="90"/>
      <c r="L51" s="90"/>
      <c r="M51" s="90"/>
    </row>
    <row r="52" spans="1:13" x14ac:dyDescent="0.25">
      <c r="A52" s="80" t="s">
        <v>306</v>
      </c>
      <c r="B52" s="80">
        <v>12</v>
      </c>
      <c r="C52" s="80"/>
      <c r="D52" s="91"/>
      <c r="E52" s="91"/>
      <c r="F52" s="91"/>
      <c r="G52" s="90"/>
      <c r="H52" s="90"/>
      <c r="I52" s="90"/>
      <c r="J52" s="90"/>
      <c r="K52" s="90"/>
      <c r="L52" s="90"/>
      <c r="M52" s="90"/>
    </row>
    <row r="53" spans="1:13" x14ac:dyDescent="0.25">
      <c r="E53" s="90"/>
      <c r="F53" s="90"/>
      <c r="G53" s="90"/>
      <c r="H53" s="90"/>
      <c r="I53" s="90"/>
      <c r="J53" s="90"/>
      <c r="K53" s="90"/>
      <c r="L53" s="90"/>
      <c r="M53" s="90"/>
    </row>
    <row r="54" spans="1:13" x14ac:dyDescent="0.25">
      <c r="A54" s="91" t="s">
        <v>307</v>
      </c>
      <c r="B54" s="91"/>
      <c r="C54" s="91"/>
      <c r="D54" s="91"/>
      <c r="E54" s="91"/>
      <c r="F54" s="91"/>
      <c r="G54" s="90"/>
      <c r="H54" s="90"/>
      <c r="I54" s="90"/>
      <c r="J54" s="90"/>
      <c r="K54" s="90"/>
      <c r="L54" s="90"/>
      <c r="M54" s="90"/>
    </row>
    <row r="55" spans="1:13" x14ac:dyDescent="0.25">
      <c r="A55" s="80" t="s">
        <v>270</v>
      </c>
      <c r="B55" s="80" t="s">
        <v>308</v>
      </c>
      <c r="C55" s="80" t="s">
        <v>272</v>
      </c>
      <c r="D55" s="91"/>
      <c r="E55" s="91"/>
      <c r="F55" s="91"/>
      <c r="G55" s="90"/>
      <c r="H55" s="90"/>
      <c r="I55" s="90"/>
      <c r="J55" s="90"/>
      <c r="K55" s="90"/>
      <c r="L55" s="90"/>
      <c r="M55" s="90"/>
    </row>
    <row r="56" spans="1:13" x14ac:dyDescent="0.25">
      <c r="A56" s="80" t="s">
        <v>265</v>
      </c>
      <c r="B56" s="80">
        <v>16</v>
      </c>
      <c r="C56" s="80"/>
      <c r="D56" s="91"/>
      <c r="E56" s="91"/>
      <c r="F56" s="91"/>
      <c r="G56" s="90"/>
      <c r="H56" s="90"/>
      <c r="I56" s="90"/>
      <c r="J56" s="90"/>
      <c r="K56" s="90"/>
      <c r="L56" s="90"/>
      <c r="M56" s="90"/>
    </row>
    <row r="57" spans="1:13" x14ac:dyDescent="0.25">
      <c r="A57" s="80" t="s">
        <v>273</v>
      </c>
      <c r="B57" s="80">
        <v>6</v>
      </c>
      <c r="C57" s="80"/>
      <c r="D57" s="91"/>
      <c r="E57" s="91"/>
      <c r="F57" s="91"/>
      <c r="G57" s="90"/>
      <c r="H57" s="90"/>
      <c r="I57" s="90"/>
      <c r="J57" s="90"/>
      <c r="K57" s="90"/>
      <c r="L57" s="90"/>
      <c r="M57" s="90"/>
    </row>
    <row r="58" spans="1:13" x14ac:dyDescent="0.25">
      <c r="A58" s="80" t="s">
        <v>274</v>
      </c>
      <c r="B58" s="80">
        <v>3</v>
      </c>
      <c r="C58" s="80"/>
      <c r="D58" s="91"/>
      <c r="E58" s="91"/>
      <c r="F58" s="91"/>
      <c r="G58" s="90"/>
      <c r="H58" s="90"/>
      <c r="I58" s="90"/>
      <c r="J58" s="90"/>
      <c r="K58" s="90"/>
      <c r="L58" s="90"/>
      <c r="M58" s="90"/>
    </row>
    <row r="59" spans="1:13" x14ac:dyDescent="0.25">
      <c r="A59" s="80" t="s">
        <v>275</v>
      </c>
      <c r="B59" s="80">
        <v>1</v>
      </c>
      <c r="C59" s="80"/>
      <c r="D59" s="91"/>
      <c r="E59" s="91"/>
      <c r="F59" s="91"/>
      <c r="G59" s="90"/>
      <c r="H59" s="90"/>
      <c r="I59" s="90"/>
      <c r="J59" s="90"/>
      <c r="K59" s="90"/>
      <c r="L59" s="90"/>
      <c r="M59" s="90"/>
    </row>
    <row r="60" spans="1:13" x14ac:dyDescent="0.25">
      <c r="A60" s="80" t="s">
        <v>276</v>
      </c>
      <c r="B60" s="80">
        <v>1</v>
      </c>
      <c r="C60" s="80"/>
      <c r="D60" s="91"/>
      <c r="E60" s="91"/>
      <c r="F60" s="91"/>
      <c r="G60" s="90"/>
      <c r="H60" s="90"/>
      <c r="I60" s="90"/>
      <c r="J60" s="90"/>
      <c r="K60" s="90"/>
      <c r="L60" s="90"/>
      <c r="M60" s="90"/>
    </row>
    <row r="61" spans="1:13" x14ac:dyDescent="0.25">
      <c r="A61" s="80" t="s">
        <v>277</v>
      </c>
      <c r="B61" s="80" t="s">
        <v>309</v>
      </c>
      <c r="C61" s="80"/>
      <c r="D61" s="91"/>
      <c r="E61" s="91"/>
      <c r="F61" s="91"/>
      <c r="G61" s="90"/>
      <c r="H61" s="90"/>
      <c r="I61" s="90"/>
      <c r="J61" s="90"/>
      <c r="K61" s="90"/>
      <c r="L61" s="90"/>
      <c r="M61" s="90"/>
    </row>
    <row r="62" spans="1:13" x14ac:dyDescent="0.25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 x14ac:dyDescent="0.25">
      <c r="A63" s="76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 x14ac:dyDescent="0.25">
      <c r="A64" s="76" t="s">
        <v>102</v>
      </c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 x14ac:dyDescent="0.25">
      <c r="A65" s="76" t="s">
        <v>103</v>
      </c>
      <c r="B65" s="76">
        <v>12</v>
      </c>
      <c r="C65" s="76" t="s">
        <v>104</v>
      </c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 x14ac:dyDescent="0.25">
      <c r="A66" s="76" t="s">
        <v>219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 x14ac:dyDescent="0.25">
      <c r="A67" s="76" t="s">
        <v>218</v>
      </c>
      <c r="B67" s="76">
        <v>100</v>
      </c>
      <c r="C67" s="76">
        <v>100</v>
      </c>
      <c r="D67" s="76">
        <v>100</v>
      </c>
      <c r="E67" s="76">
        <v>100</v>
      </c>
      <c r="F67" s="76">
        <v>100</v>
      </c>
      <c r="G67" s="76">
        <v>100</v>
      </c>
      <c r="H67" s="76">
        <v>100</v>
      </c>
      <c r="I67" s="76">
        <v>100</v>
      </c>
      <c r="J67" s="76">
        <v>100</v>
      </c>
      <c r="K67" s="76">
        <v>100</v>
      </c>
      <c r="L67" s="76">
        <v>100</v>
      </c>
      <c r="M67" s="76">
        <v>100</v>
      </c>
    </row>
    <row r="68" spans="1:13" x14ac:dyDescent="0.25">
      <c r="A68" s="76" t="s">
        <v>105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</row>
    <row r="69" spans="1:13" x14ac:dyDescent="0.25">
      <c r="A69" s="76" t="s">
        <v>217</v>
      </c>
      <c r="B69" s="76">
        <v>0</v>
      </c>
      <c r="C69" s="76">
        <v>1</v>
      </c>
      <c r="D69" s="76">
        <v>2</v>
      </c>
      <c r="E69" s="76">
        <v>3</v>
      </c>
      <c r="F69" s="76">
        <v>4</v>
      </c>
      <c r="G69" s="76">
        <v>5</v>
      </c>
      <c r="H69" s="76">
        <v>6</v>
      </c>
      <c r="I69" s="76">
        <v>7</v>
      </c>
      <c r="J69" s="76">
        <v>8</v>
      </c>
      <c r="K69" s="76">
        <v>9</v>
      </c>
      <c r="L69" s="76">
        <v>10</v>
      </c>
      <c r="M69" s="76">
        <v>11</v>
      </c>
    </row>
    <row r="70" spans="1:13" x14ac:dyDescent="0.25">
      <c r="A70" s="76" t="s">
        <v>216</v>
      </c>
      <c r="B70" s="76">
        <v>2</v>
      </c>
      <c r="C70" s="76">
        <v>3</v>
      </c>
      <c r="D70" s="76">
        <v>0</v>
      </c>
      <c r="E70" s="76">
        <v>1</v>
      </c>
      <c r="F70" s="76">
        <v>4</v>
      </c>
      <c r="G70" s="76">
        <v>5</v>
      </c>
      <c r="H70" s="76">
        <v>8</v>
      </c>
      <c r="I70" s="76">
        <v>9</v>
      </c>
      <c r="J70" s="76">
        <v>6</v>
      </c>
      <c r="K70" s="76">
        <v>7</v>
      </c>
      <c r="L70" s="76">
        <v>10</v>
      </c>
      <c r="M70" s="76">
        <v>11</v>
      </c>
    </row>
    <row r="71" spans="1:13" x14ac:dyDescent="0.25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 x14ac:dyDescent="0.25">
      <c r="A72" s="76" t="s">
        <v>215</v>
      </c>
      <c r="B72" s="76">
        <f>+INDEX(Sheet1!$K$7:$K18,COLUMN()-COLUMN($B$120)+1)</f>
        <v>11.375</v>
      </c>
      <c r="C72" s="76">
        <f>+INDEX(Sheet1!$K$7:$K18,COLUMN()-COLUMN($B$120)+1)</f>
        <v>11.375</v>
      </c>
      <c r="D72" s="76">
        <f>+INDEX(Sheet1!$K$7:$K18,COLUMN()-COLUMN($B$120)+1)</f>
        <v>11.375</v>
      </c>
      <c r="E72" s="76">
        <f>+INDEX(Sheet1!$K$7:$K18,COLUMN()-COLUMN($B$120)+1)</f>
        <v>11.375</v>
      </c>
      <c r="F72" s="76">
        <f>+INDEX(Sheet1!$K$7:$K18,COLUMN()-COLUMN($B$120)+1)</f>
        <v>11.375</v>
      </c>
      <c r="G72" s="76">
        <f>+INDEX(Sheet1!$K$7:$K18,COLUMN()-COLUMN($B$120)+1)</f>
        <v>11.375</v>
      </c>
      <c r="H72" s="76">
        <f>+INDEX(Sheet1!$K$7:$K18,COLUMN()-COLUMN($B$120)+1)</f>
        <v>-11.375</v>
      </c>
      <c r="I72" s="76">
        <f>+INDEX(Sheet1!$K$7:$K18,COLUMN()-COLUMN($B$120)+1)</f>
        <v>-11.375</v>
      </c>
      <c r="J72" s="76">
        <f>+INDEX(Sheet1!$K$7:$K18,COLUMN()-COLUMN($B$120)+1)</f>
        <v>-11.375</v>
      </c>
      <c r="K72" s="76">
        <f>+INDEX(Sheet1!$K$7:$K18,COLUMN()-COLUMN($B$120)+1)</f>
        <v>-11.375</v>
      </c>
      <c r="L72" s="76">
        <f>+INDEX(Sheet1!$K$7:$K18,COLUMN()-COLUMN($B$120)+1)</f>
        <v>-11.375</v>
      </c>
      <c r="M72" s="76">
        <f>+INDEX(Sheet1!$K$7:$K18,COLUMN()-COLUMN($B$120)+1)</f>
        <v>-11.375</v>
      </c>
    </row>
    <row r="73" spans="1:13" x14ac:dyDescent="0.25">
      <c r="A73" s="76" t="s">
        <v>214</v>
      </c>
      <c r="B73" s="76">
        <f>+INDEX(Sheet1!$D$7:$D19,COLUMN()-COLUMN($B$120)+1)</f>
        <v>180</v>
      </c>
      <c r="C73" s="76">
        <f>+INDEX(Sheet1!$D$7:$D19,COLUMN()-COLUMN($B$120)+1)</f>
        <v>180</v>
      </c>
      <c r="D73" s="76">
        <f>+INDEX(Sheet1!$D$7:$D19,COLUMN()-COLUMN($B$120)+1)</f>
        <v>180</v>
      </c>
      <c r="E73" s="76">
        <f>+INDEX(Sheet1!$D$7:$D19,COLUMN()-COLUMN($B$120)+1)</f>
        <v>180</v>
      </c>
      <c r="F73" s="76">
        <f>+INDEX(Sheet1!$D$7:$D19,COLUMN()-COLUMN($B$120)+1)</f>
        <v>180</v>
      </c>
      <c r="G73" s="76">
        <f>+INDEX(Sheet1!$D$7:$D19,COLUMN()-COLUMN($B$120)+1)</f>
        <v>180</v>
      </c>
      <c r="H73" s="76">
        <f>+INDEX(Sheet1!$D$7:$D19,COLUMN()-COLUMN($B$120)+1)</f>
        <v>-180</v>
      </c>
      <c r="I73" s="76">
        <f>+INDEX(Sheet1!$D$7:$D19,COLUMN()-COLUMN($B$120)+1)</f>
        <v>-180</v>
      </c>
      <c r="J73" s="76">
        <f>+INDEX(Sheet1!$D$7:$D19,COLUMN()-COLUMN($B$120)+1)</f>
        <v>-180</v>
      </c>
      <c r="K73" s="76">
        <f>+INDEX(Sheet1!$D$7:$D19,COLUMN()-COLUMN($B$120)+1)</f>
        <v>-180</v>
      </c>
      <c r="L73" s="76">
        <f>+INDEX(Sheet1!$D$7:$D19,COLUMN()-COLUMN($B$120)+1)</f>
        <v>-180</v>
      </c>
      <c r="M73" s="76">
        <f>+INDEX(Sheet1!$D$7:$D19,COLUMN()-COLUMN($B$120)+1)</f>
        <v>-180</v>
      </c>
    </row>
    <row r="74" spans="1:13" x14ac:dyDescent="0.25">
      <c r="A74" s="84" t="s">
        <v>279</v>
      </c>
      <c r="B74" s="92" t="s">
        <v>271</v>
      </c>
      <c r="C74" s="92" t="s">
        <v>271</v>
      </c>
      <c r="D74" s="92" t="s">
        <v>271</v>
      </c>
      <c r="E74" s="92" t="s">
        <v>271</v>
      </c>
      <c r="F74" s="92" t="s">
        <v>271</v>
      </c>
      <c r="G74" s="92" t="s">
        <v>271</v>
      </c>
      <c r="H74" s="92" t="s">
        <v>308</v>
      </c>
      <c r="I74" s="92" t="s">
        <v>308</v>
      </c>
      <c r="J74" s="92" t="s">
        <v>308</v>
      </c>
      <c r="K74" s="92" t="s">
        <v>308</v>
      </c>
      <c r="L74" s="92" t="s">
        <v>308</v>
      </c>
      <c r="M74" s="92" t="s">
        <v>308</v>
      </c>
    </row>
    <row r="75" spans="1:13" x14ac:dyDescent="0.25">
      <c r="A75" s="84" t="s">
        <v>280</v>
      </c>
      <c r="B75" s="84">
        <v>0</v>
      </c>
      <c r="C75" s="84" t="s">
        <v>311</v>
      </c>
      <c r="D75" s="84" t="s">
        <v>284</v>
      </c>
      <c r="E75" s="84" t="s">
        <v>312</v>
      </c>
      <c r="F75" s="84" t="s">
        <v>281</v>
      </c>
      <c r="G75" s="84" t="s">
        <v>313</v>
      </c>
      <c r="H75" s="84" t="s">
        <v>310</v>
      </c>
      <c r="I75" s="84" t="s">
        <v>311</v>
      </c>
      <c r="J75" s="84" t="s">
        <v>284</v>
      </c>
      <c r="K75" s="84" t="s">
        <v>312</v>
      </c>
      <c r="L75" s="84" t="s">
        <v>281</v>
      </c>
      <c r="M75" s="84" t="s">
        <v>313</v>
      </c>
    </row>
    <row r="76" spans="1:13" x14ac:dyDescent="0.25">
      <c r="A76" s="84" t="s">
        <v>282</v>
      </c>
      <c r="B76" s="84" t="s">
        <v>314</v>
      </c>
      <c r="C76" s="84" t="s">
        <v>314</v>
      </c>
      <c r="D76" s="84" t="s">
        <v>314</v>
      </c>
      <c r="E76" s="84" t="s">
        <v>314</v>
      </c>
      <c r="F76" s="84" t="s">
        <v>314</v>
      </c>
      <c r="G76" s="84" t="s">
        <v>314</v>
      </c>
      <c r="H76" s="84" t="s">
        <v>314</v>
      </c>
      <c r="I76" s="84" t="s">
        <v>314</v>
      </c>
      <c r="J76" s="84" t="s">
        <v>314</v>
      </c>
      <c r="K76" s="84" t="s">
        <v>314</v>
      </c>
      <c r="L76" s="84" t="s">
        <v>314</v>
      </c>
      <c r="M76" s="84" t="s">
        <v>314</v>
      </c>
    </row>
    <row r="77" spans="1:13" x14ac:dyDescent="0.25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</row>
    <row r="78" spans="1:13" x14ac:dyDescent="0.25">
      <c r="A78" s="76" t="s">
        <v>106</v>
      </c>
      <c r="B78" s="76">
        <v>0</v>
      </c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</row>
    <row r="79" spans="1:13" x14ac:dyDescent="0.25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</row>
    <row r="80" spans="1:13" x14ac:dyDescent="0.25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</row>
    <row r="81" spans="1:13" x14ac:dyDescent="0.25">
      <c r="A81" s="76" t="s">
        <v>223</v>
      </c>
      <c r="B81" s="76">
        <v>0</v>
      </c>
      <c r="C81" s="76">
        <v>1</v>
      </c>
      <c r="D81" s="76">
        <v>2</v>
      </c>
      <c r="E81" s="76">
        <v>3</v>
      </c>
      <c r="F81" s="76">
        <v>4</v>
      </c>
      <c r="G81" s="76">
        <v>5</v>
      </c>
      <c r="H81" s="76">
        <v>6</v>
      </c>
      <c r="I81" s="76">
        <v>7</v>
      </c>
      <c r="J81" s="76">
        <v>8</v>
      </c>
      <c r="K81" s="76">
        <v>9</v>
      </c>
      <c r="L81" s="76">
        <v>10</v>
      </c>
      <c r="M81" s="76">
        <v>11</v>
      </c>
    </row>
    <row r="82" spans="1:13" x14ac:dyDescent="0.25">
      <c r="A82" s="76" t="s">
        <v>107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</row>
    <row r="83" spans="1:13" x14ac:dyDescent="0.25">
      <c r="A83" s="76" t="s">
        <v>212</v>
      </c>
      <c r="B83" s="76">
        <f>+INDEX(Sheet1!$H$7:$H26,COLUMN()-COLUMN($B$120)+1)</f>
        <v>90</v>
      </c>
      <c r="C83" s="76">
        <f>+INDEX(Sheet1!$H$7:$H26,COLUMN()-COLUMN($B$120)+1)</f>
        <v>90</v>
      </c>
      <c r="D83" s="76">
        <f>+INDEX(Sheet1!$H$7:$H26,COLUMN()-COLUMN($B$120)+1)</f>
        <v>78</v>
      </c>
      <c r="E83" s="76">
        <f>+INDEX(Sheet1!$H$7:$H26,COLUMN()-COLUMN($B$120)+1)</f>
        <v>15</v>
      </c>
      <c r="F83" s="76">
        <f>+INDEX(Sheet1!$H$7:$H26,COLUMN()-COLUMN($B$120)+1)</f>
        <v>39</v>
      </c>
      <c r="G83" s="76">
        <f>+INDEX(Sheet1!$H$7:$H26,COLUMN()-COLUMN($B$120)+1)</f>
        <v>22</v>
      </c>
      <c r="H83" s="76">
        <f>+INDEX(Sheet1!$H$7:$H26,COLUMN()-COLUMN($B$120)+1)</f>
        <v>90</v>
      </c>
      <c r="I83" s="76">
        <f>+INDEX(Sheet1!$H$7:$H26,COLUMN()-COLUMN($B$120)+1)</f>
        <v>90</v>
      </c>
      <c r="J83" s="76">
        <f>+INDEX(Sheet1!$H$7:$H26,COLUMN()-COLUMN($B$120)+1)</f>
        <v>78</v>
      </c>
      <c r="K83" s="76">
        <f>+INDEX(Sheet1!$H$7:$H26,COLUMN()-COLUMN($B$120)+1)</f>
        <v>15</v>
      </c>
      <c r="L83" s="76">
        <f>+INDEX(Sheet1!$H$7:$H26,COLUMN()-COLUMN($B$120)+1)</f>
        <v>39</v>
      </c>
      <c r="M83" s="76">
        <f>+INDEX(Sheet1!$H$7:$H26,COLUMN()-COLUMN($B$120)+1)</f>
        <v>22</v>
      </c>
    </row>
    <row r="84" spans="1:13" x14ac:dyDescent="0.25">
      <c r="A84" s="76" t="s">
        <v>213</v>
      </c>
      <c r="B84" s="76">
        <f>+INDEX(Sheet1!$G$7:$G27,COLUMN()-COLUMN($B$120)+1)</f>
        <v>-30</v>
      </c>
      <c r="C84" s="76">
        <f>+INDEX(Sheet1!$G$7:$G27,COLUMN()-COLUMN($B$120)+1)</f>
        <v>0</v>
      </c>
      <c r="D84" s="76">
        <f>+INDEX(Sheet1!$G$7:$G27,COLUMN()-COLUMN($B$120)+1)</f>
        <v>-80</v>
      </c>
      <c r="E84" s="76">
        <f>+INDEX(Sheet1!$G$7:$G27,COLUMN()-COLUMN($B$120)+1)</f>
        <v>-125</v>
      </c>
      <c r="F84" s="76">
        <f>+INDEX(Sheet1!$G$7:$G27,COLUMN()-COLUMN($B$120)+1)</f>
        <v>-20</v>
      </c>
      <c r="G84" s="76">
        <f>+INDEX(Sheet1!$G$7:$G27,COLUMN()-COLUMN($B$120)+1)</f>
        <v>-22</v>
      </c>
      <c r="H84" s="76">
        <f>+INDEX(Sheet1!$G$7:$G27,COLUMN()-COLUMN($B$120)+1)</f>
        <v>-30</v>
      </c>
      <c r="I84" s="76">
        <f>+INDEX(Sheet1!$G$7:$G27,COLUMN()-COLUMN($B$120)+1)</f>
        <v>0</v>
      </c>
      <c r="J84" s="76">
        <f>+INDEX(Sheet1!$G$7:$G27,COLUMN()-COLUMN($B$120)+1)</f>
        <v>-80</v>
      </c>
      <c r="K84" s="76">
        <f>+INDEX(Sheet1!$G$7:$G27,COLUMN()-COLUMN($B$120)+1)</f>
        <v>-125</v>
      </c>
      <c r="L84" s="76">
        <f>+INDEX(Sheet1!$G$7:$G27,COLUMN()-COLUMN($B$120)+1)</f>
        <v>-20</v>
      </c>
      <c r="M84" s="76">
        <f>+INDEX(Sheet1!$G$7:$G27,COLUMN()-COLUMN($B$120)+1)</f>
        <v>-22</v>
      </c>
    </row>
    <row r="85" spans="1:13" x14ac:dyDescent="0.25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</row>
    <row r="86" spans="1:13" x14ac:dyDescent="0.25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</row>
    <row r="87" spans="1:13" x14ac:dyDescent="0.25">
      <c r="A87" s="76" t="s">
        <v>221</v>
      </c>
      <c r="B87" s="76">
        <v>0</v>
      </c>
      <c r="C87" s="76">
        <v>1</v>
      </c>
      <c r="D87" s="76">
        <v>2</v>
      </c>
      <c r="E87" s="76">
        <v>3</v>
      </c>
      <c r="F87" s="76">
        <v>4</v>
      </c>
      <c r="G87" s="76">
        <v>5</v>
      </c>
      <c r="H87" s="76">
        <v>6</v>
      </c>
      <c r="I87" s="76">
        <v>7</v>
      </c>
      <c r="J87" s="76">
        <v>8</v>
      </c>
      <c r="K87" s="76">
        <v>9</v>
      </c>
      <c r="L87" s="76">
        <v>10</v>
      </c>
      <c r="M87" s="76">
        <v>11</v>
      </c>
    </row>
    <row r="88" spans="1:13" x14ac:dyDescent="0.25">
      <c r="A88" s="76" t="s">
        <v>220</v>
      </c>
      <c r="B88" s="76">
        <f>+$B$5</f>
        <v>7000</v>
      </c>
      <c r="C88" s="76">
        <f t="shared" ref="C88:M88" si="0">+$B$5</f>
        <v>7000</v>
      </c>
      <c r="D88" s="76">
        <f t="shared" si="0"/>
        <v>7000</v>
      </c>
      <c r="E88" s="76">
        <f t="shared" si="0"/>
        <v>7000</v>
      </c>
      <c r="F88" s="76">
        <f t="shared" si="0"/>
        <v>7000</v>
      </c>
      <c r="G88" s="76">
        <f t="shared" si="0"/>
        <v>7000</v>
      </c>
      <c r="H88" s="76">
        <f t="shared" si="0"/>
        <v>7000</v>
      </c>
      <c r="I88" s="76">
        <f t="shared" si="0"/>
        <v>7000</v>
      </c>
      <c r="J88" s="76">
        <f t="shared" si="0"/>
        <v>7000</v>
      </c>
      <c r="K88" s="76">
        <f t="shared" si="0"/>
        <v>7000</v>
      </c>
      <c r="L88" s="76">
        <f t="shared" si="0"/>
        <v>7000</v>
      </c>
      <c r="M88" s="76">
        <f t="shared" si="0"/>
        <v>7000</v>
      </c>
    </row>
    <row r="89" spans="1:13" x14ac:dyDescent="0.25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 x14ac:dyDescent="0.25">
      <c r="A90" s="76" t="s">
        <v>108</v>
      </c>
      <c r="B90" s="76" t="s">
        <v>109</v>
      </c>
      <c r="C90" s="76" t="s">
        <v>110</v>
      </c>
      <c r="D90" s="76" t="s">
        <v>111</v>
      </c>
      <c r="E90" s="76" t="s">
        <v>112</v>
      </c>
      <c r="F90" s="76" t="s">
        <v>113</v>
      </c>
      <c r="G90" s="76" t="s">
        <v>114</v>
      </c>
      <c r="H90" s="76" t="s">
        <v>115</v>
      </c>
      <c r="I90" s="76"/>
      <c r="J90" s="76"/>
      <c r="K90" s="76"/>
      <c r="L90" s="76"/>
      <c r="M90" s="76"/>
    </row>
    <row r="91" spans="1:13" x14ac:dyDescent="0.25">
      <c r="A91" s="76" t="s">
        <v>116</v>
      </c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</row>
    <row r="92" spans="1:13" x14ac:dyDescent="0.25">
      <c r="A92" s="76" t="s">
        <v>117</v>
      </c>
      <c r="B92" s="76">
        <v>32000</v>
      </c>
      <c r="C92" s="76">
        <v>100</v>
      </c>
      <c r="D92" s="76">
        <v>60</v>
      </c>
      <c r="E92" s="76">
        <f>+$B$3</f>
        <v>1333</v>
      </c>
      <c r="F92" s="76">
        <f t="shared" ref="F92:F103" si="1">+$B$3</f>
        <v>1333</v>
      </c>
      <c r="G92" s="76">
        <v>13</v>
      </c>
      <c r="H92" s="76">
        <v>0</v>
      </c>
      <c r="I92" s="76"/>
      <c r="J92" s="76"/>
      <c r="K92" s="76"/>
      <c r="L92" s="76"/>
      <c r="M92" s="76"/>
    </row>
    <row r="93" spans="1:13" x14ac:dyDescent="0.25">
      <c r="A93" s="76" t="s">
        <v>118</v>
      </c>
      <c r="B93" s="76">
        <v>-32000</v>
      </c>
      <c r="C93" s="76">
        <v>-100</v>
      </c>
      <c r="D93" s="76">
        <v>-60</v>
      </c>
      <c r="E93" s="76">
        <f t="shared" ref="E93:E103" si="2">+$B$3</f>
        <v>1333</v>
      </c>
      <c r="F93" s="76">
        <f t="shared" si="1"/>
        <v>1333</v>
      </c>
      <c r="G93" s="76">
        <v>13</v>
      </c>
      <c r="H93" s="76">
        <v>0</v>
      </c>
      <c r="I93" s="76"/>
      <c r="J93" s="76"/>
      <c r="K93" s="76"/>
      <c r="L93" s="76"/>
      <c r="M93" s="76"/>
    </row>
    <row r="94" spans="1:13" x14ac:dyDescent="0.25">
      <c r="A94" s="76" t="s">
        <v>119</v>
      </c>
      <c r="B94" s="76">
        <v>32000</v>
      </c>
      <c r="C94" s="76">
        <v>100</v>
      </c>
      <c r="D94" s="76">
        <v>60</v>
      </c>
      <c r="E94" s="76">
        <f t="shared" si="2"/>
        <v>1333</v>
      </c>
      <c r="F94" s="76">
        <f t="shared" si="1"/>
        <v>1333</v>
      </c>
      <c r="G94" s="76">
        <v>13</v>
      </c>
      <c r="H94" s="76">
        <v>0</v>
      </c>
      <c r="I94" s="76"/>
      <c r="J94" s="76"/>
      <c r="K94" s="76"/>
      <c r="L94" s="76"/>
      <c r="M94" s="76"/>
    </row>
    <row r="95" spans="1:13" x14ac:dyDescent="0.25">
      <c r="A95" s="76" t="s">
        <v>120</v>
      </c>
      <c r="B95" s="76">
        <v>-32000</v>
      </c>
      <c r="C95" s="76">
        <v>-100</v>
      </c>
      <c r="D95" s="76">
        <v>-60</v>
      </c>
      <c r="E95" s="76">
        <f t="shared" si="2"/>
        <v>1333</v>
      </c>
      <c r="F95" s="76">
        <f t="shared" si="1"/>
        <v>1333</v>
      </c>
      <c r="G95" s="76">
        <v>13</v>
      </c>
      <c r="H95" s="76">
        <v>0</v>
      </c>
      <c r="I95" s="76"/>
      <c r="J95" s="76"/>
      <c r="K95" s="76"/>
      <c r="L95" s="76"/>
      <c r="M95" s="76"/>
    </row>
    <row r="96" spans="1:13" x14ac:dyDescent="0.25">
      <c r="A96" s="76" t="s">
        <v>121</v>
      </c>
      <c r="B96" s="76">
        <v>-32000</v>
      </c>
      <c r="C96" s="76">
        <v>-100</v>
      </c>
      <c r="D96" s="76">
        <v>-60</v>
      </c>
      <c r="E96" s="76">
        <f t="shared" si="2"/>
        <v>1333</v>
      </c>
      <c r="F96" s="76">
        <f t="shared" si="1"/>
        <v>1333</v>
      </c>
      <c r="G96" s="76">
        <v>13</v>
      </c>
      <c r="H96" s="76">
        <v>0</v>
      </c>
      <c r="I96" s="76"/>
      <c r="J96" s="76"/>
      <c r="K96" s="76"/>
      <c r="L96" s="76"/>
      <c r="M96" s="76"/>
    </row>
    <row r="97" spans="1:13" x14ac:dyDescent="0.25">
      <c r="A97" s="76" t="s">
        <v>122</v>
      </c>
      <c r="B97" s="76">
        <v>-32000</v>
      </c>
      <c r="C97" s="76">
        <v>-100</v>
      </c>
      <c r="D97" s="76">
        <v>-60</v>
      </c>
      <c r="E97" s="76">
        <f t="shared" si="2"/>
        <v>1333</v>
      </c>
      <c r="F97" s="76">
        <f t="shared" si="1"/>
        <v>1333</v>
      </c>
      <c r="G97" s="76">
        <v>13</v>
      </c>
      <c r="H97" s="76">
        <v>0</v>
      </c>
      <c r="I97" s="76"/>
      <c r="J97" s="76"/>
      <c r="K97" s="76"/>
      <c r="L97" s="76"/>
      <c r="M97" s="76"/>
    </row>
    <row r="98" spans="1:13" x14ac:dyDescent="0.25">
      <c r="A98" s="76" t="s">
        <v>123</v>
      </c>
      <c r="B98" s="76">
        <v>32000</v>
      </c>
      <c r="C98" s="76">
        <v>100</v>
      </c>
      <c r="D98" s="76">
        <v>60</v>
      </c>
      <c r="E98" s="76">
        <f t="shared" si="2"/>
        <v>1333</v>
      </c>
      <c r="F98" s="76">
        <f t="shared" si="1"/>
        <v>1333</v>
      </c>
      <c r="G98" s="76">
        <v>13</v>
      </c>
      <c r="H98" s="76">
        <v>0</v>
      </c>
      <c r="I98" s="76"/>
      <c r="J98" s="76"/>
      <c r="K98" s="76"/>
      <c r="L98" s="76"/>
      <c r="M98" s="76"/>
    </row>
    <row r="99" spans="1:13" x14ac:dyDescent="0.25">
      <c r="A99" s="76" t="s">
        <v>124</v>
      </c>
      <c r="B99" s="76">
        <v>-32000</v>
      </c>
      <c r="C99" s="76">
        <v>-100</v>
      </c>
      <c r="D99" s="76">
        <v>-60</v>
      </c>
      <c r="E99" s="76">
        <f t="shared" si="2"/>
        <v>1333</v>
      </c>
      <c r="F99" s="76">
        <f t="shared" si="1"/>
        <v>1333</v>
      </c>
      <c r="G99" s="76">
        <v>13</v>
      </c>
      <c r="H99" s="76">
        <v>0</v>
      </c>
      <c r="I99" s="76"/>
      <c r="J99" s="76"/>
      <c r="K99" s="76"/>
      <c r="L99" s="76"/>
      <c r="M99" s="76"/>
    </row>
    <row r="100" spans="1:13" x14ac:dyDescent="0.25">
      <c r="A100" s="76" t="s">
        <v>125</v>
      </c>
      <c r="B100" s="76">
        <v>32000</v>
      </c>
      <c r="C100" s="76">
        <v>100</v>
      </c>
      <c r="D100" s="76">
        <v>60</v>
      </c>
      <c r="E100" s="76">
        <f t="shared" si="2"/>
        <v>1333</v>
      </c>
      <c r="F100" s="76">
        <f t="shared" si="1"/>
        <v>1333</v>
      </c>
      <c r="G100" s="76">
        <v>13</v>
      </c>
      <c r="H100" s="76">
        <v>0</v>
      </c>
      <c r="I100" s="76"/>
      <c r="J100" s="76"/>
      <c r="K100" s="76"/>
      <c r="L100" s="76"/>
      <c r="M100" s="76"/>
    </row>
    <row r="101" spans="1:13" x14ac:dyDescent="0.25">
      <c r="A101" s="76" t="s">
        <v>126</v>
      </c>
      <c r="B101" s="76">
        <v>-32000</v>
      </c>
      <c r="C101" s="76">
        <v>-100</v>
      </c>
      <c r="D101" s="76">
        <v>-60</v>
      </c>
      <c r="E101" s="76">
        <f t="shared" si="2"/>
        <v>1333</v>
      </c>
      <c r="F101" s="76">
        <f t="shared" si="1"/>
        <v>1333</v>
      </c>
      <c r="G101" s="76">
        <v>13</v>
      </c>
      <c r="H101" s="76">
        <v>0</v>
      </c>
      <c r="I101" s="76"/>
      <c r="J101" s="76"/>
      <c r="K101" s="76"/>
      <c r="L101" s="76"/>
      <c r="M101" s="76"/>
    </row>
    <row r="102" spans="1:13" x14ac:dyDescent="0.25">
      <c r="A102" s="76" t="s">
        <v>127</v>
      </c>
      <c r="B102" s="76">
        <v>-32000</v>
      </c>
      <c r="C102" s="76">
        <v>-100</v>
      </c>
      <c r="D102" s="76">
        <v>-60</v>
      </c>
      <c r="E102" s="76">
        <f t="shared" si="2"/>
        <v>1333</v>
      </c>
      <c r="F102" s="76">
        <f t="shared" si="1"/>
        <v>1333</v>
      </c>
      <c r="G102" s="76">
        <v>13</v>
      </c>
      <c r="H102" s="76">
        <v>0</v>
      </c>
      <c r="I102" s="76"/>
      <c r="J102" s="76"/>
      <c r="K102" s="76"/>
      <c r="L102" s="76"/>
      <c r="M102" s="76"/>
    </row>
    <row r="103" spans="1:13" x14ac:dyDescent="0.25">
      <c r="A103" s="76" t="s">
        <v>128</v>
      </c>
      <c r="B103" s="76">
        <v>-32000</v>
      </c>
      <c r="C103" s="76">
        <v>-100</v>
      </c>
      <c r="D103" s="76">
        <v>-60</v>
      </c>
      <c r="E103" s="76">
        <f t="shared" si="2"/>
        <v>1333</v>
      </c>
      <c r="F103" s="76">
        <f t="shared" si="1"/>
        <v>1333</v>
      </c>
      <c r="G103" s="76">
        <v>13</v>
      </c>
      <c r="H103" s="76">
        <v>0</v>
      </c>
      <c r="I103" s="76"/>
      <c r="J103" s="76"/>
      <c r="K103" s="76"/>
      <c r="L103" s="76"/>
      <c r="M103" s="76"/>
    </row>
    <row r="104" spans="1:13" x14ac:dyDescent="0.25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 x14ac:dyDescent="0.25">
      <c r="A105" s="91" t="s">
        <v>285</v>
      </c>
      <c r="B105" s="91"/>
      <c r="C105" s="91"/>
      <c r="D105" s="91"/>
      <c r="E105" s="91"/>
      <c r="F105" s="91"/>
      <c r="G105" s="91"/>
      <c r="H105" s="91"/>
      <c r="I105" s="90"/>
      <c r="J105" s="90"/>
      <c r="K105" s="90"/>
      <c r="L105" s="90"/>
      <c r="M105" s="90"/>
    </row>
    <row r="106" spans="1:13" x14ac:dyDescent="0.25">
      <c r="A106" s="91" t="s">
        <v>286</v>
      </c>
      <c r="B106" s="93" t="s">
        <v>283</v>
      </c>
      <c r="C106" s="91" t="s">
        <v>310</v>
      </c>
      <c r="D106" s="91" t="s">
        <v>310</v>
      </c>
      <c r="E106" s="91">
        <f>+$B$3</f>
        <v>1333</v>
      </c>
      <c r="F106" s="91">
        <f t="shared" ref="F106:F117" si="3">+$B$3</f>
        <v>1333</v>
      </c>
      <c r="G106" s="91" t="s">
        <v>315</v>
      </c>
      <c r="H106" s="91">
        <v>0</v>
      </c>
      <c r="I106" s="90"/>
      <c r="J106" s="90"/>
      <c r="K106" s="90"/>
      <c r="L106" s="90"/>
      <c r="M106" s="90"/>
    </row>
    <row r="107" spans="1:13" x14ac:dyDescent="0.25">
      <c r="A107" s="91" t="s">
        <v>287</v>
      </c>
      <c r="B107" s="93" t="s">
        <v>316</v>
      </c>
      <c r="C107" s="91" t="s">
        <v>310</v>
      </c>
      <c r="D107" s="91" t="s">
        <v>310</v>
      </c>
      <c r="E107" s="91">
        <f t="shared" ref="E107:E117" si="4">+$B$3</f>
        <v>1333</v>
      </c>
      <c r="F107" s="91">
        <f t="shared" si="3"/>
        <v>1333</v>
      </c>
      <c r="G107" s="91" t="s">
        <v>315</v>
      </c>
      <c r="H107" s="91">
        <v>0</v>
      </c>
      <c r="I107" s="90"/>
      <c r="J107" s="90"/>
      <c r="K107" s="90"/>
      <c r="L107" s="90"/>
      <c r="M107" s="90"/>
    </row>
    <row r="108" spans="1:13" x14ac:dyDescent="0.25">
      <c r="A108" s="91" t="s">
        <v>288</v>
      </c>
      <c r="B108" s="93" t="s">
        <v>283</v>
      </c>
      <c r="C108" s="91" t="s">
        <v>310</v>
      </c>
      <c r="D108" s="91" t="s">
        <v>310</v>
      </c>
      <c r="E108" s="91">
        <f t="shared" si="4"/>
        <v>1333</v>
      </c>
      <c r="F108" s="91">
        <f t="shared" si="3"/>
        <v>1333</v>
      </c>
      <c r="G108" s="91" t="s">
        <v>315</v>
      </c>
      <c r="H108" s="91">
        <v>0</v>
      </c>
      <c r="I108" s="90"/>
      <c r="J108" s="90"/>
      <c r="K108" s="90"/>
      <c r="L108" s="90"/>
      <c r="M108" s="90"/>
    </row>
    <row r="109" spans="1:13" x14ac:dyDescent="0.25">
      <c r="A109" s="91" t="s">
        <v>289</v>
      </c>
      <c r="B109" s="93" t="s">
        <v>316</v>
      </c>
      <c r="C109" s="91" t="s">
        <v>310</v>
      </c>
      <c r="D109" s="91" t="s">
        <v>310</v>
      </c>
      <c r="E109" s="91">
        <f t="shared" si="4"/>
        <v>1333</v>
      </c>
      <c r="F109" s="91">
        <f t="shared" si="3"/>
        <v>1333</v>
      </c>
      <c r="G109" s="91" t="s">
        <v>315</v>
      </c>
      <c r="H109" s="91">
        <v>0</v>
      </c>
      <c r="I109" s="90"/>
      <c r="J109" s="90"/>
      <c r="K109" s="90"/>
      <c r="L109" s="90"/>
      <c r="M109" s="90"/>
    </row>
    <row r="110" spans="1:13" x14ac:dyDescent="0.25">
      <c r="A110" s="91" t="s">
        <v>290</v>
      </c>
      <c r="B110" s="91" t="s">
        <v>310</v>
      </c>
      <c r="C110" s="91" t="s">
        <v>310</v>
      </c>
      <c r="D110" s="91" t="s">
        <v>310</v>
      </c>
      <c r="E110" s="91">
        <f t="shared" si="4"/>
        <v>1333</v>
      </c>
      <c r="F110" s="91">
        <f t="shared" si="3"/>
        <v>1333</v>
      </c>
      <c r="G110" s="91" t="s">
        <v>315</v>
      </c>
      <c r="H110" s="91">
        <v>0</v>
      </c>
      <c r="I110" s="90"/>
      <c r="J110" s="90"/>
      <c r="K110" s="90"/>
      <c r="L110" s="90"/>
      <c r="M110" s="90"/>
    </row>
    <row r="111" spans="1:13" x14ac:dyDescent="0.25">
      <c r="A111" s="91" t="s">
        <v>291</v>
      </c>
      <c r="B111" s="91" t="s">
        <v>310</v>
      </c>
      <c r="C111" s="91" t="s">
        <v>310</v>
      </c>
      <c r="D111" s="91" t="s">
        <v>310</v>
      </c>
      <c r="E111" s="91">
        <f t="shared" si="4"/>
        <v>1333</v>
      </c>
      <c r="F111" s="91">
        <f t="shared" si="3"/>
        <v>1333</v>
      </c>
      <c r="G111" s="91" t="s">
        <v>315</v>
      </c>
      <c r="H111" s="91">
        <v>0</v>
      </c>
      <c r="I111" s="90"/>
      <c r="J111" s="90"/>
      <c r="K111" s="90"/>
      <c r="L111" s="90"/>
      <c r="M111" s="90"/>
    </row>
    <row r="112" spans="1:13" x14ac:dyDescent="0.25">
      <c r="A112" s="91" t="s">
        <v>292</v>
      </c>
      <c r="B112" s="93" t="s">
        <v>316</v>
      </c>
      <c r="C112" s="91" t="s">
        <v>310</v>
      </c>
      <c r="D112" s="91" t="s">
        <v>310</v>
      </c>
      <c r="E112" s="91">
        <f t="shared" si="4"/>
        <v>1333</v>
      </c>
      <c r="F112" s="91">
        <f t="shared" si="3"/>
        <v>1333</v>
      </c>
      <c r="G112" s="91" t="s">
        <v>315</v>
      </c>
      <c r="H112" s="91">
        <v>0</v>
      </c>
      <c r="I112" s="90"/>
      <c r="J112" s="90"/>
      <c r="K112" s="90"/>
      <c r="L112" s="90"/>
      <c r="M112" s="90"/>
    </row>
    <row r="113" spans="1:13" x14ac:dyDescent="0.25">
      <c r="A113" s="91" t="s">
        <v>293</v>
      </c>
      <c r="B113" s="93" t="s">
        <v>283</v>
      </c>
      <c r="C113" s="91" t="s">
        <v>310</v>
      </c>
      <c r="D113" s="91" t="s">
        <v>310</v>
      </c>
      <c r="E113" s="91">
        <f t="shared" si="4"/>
        <v>1333</v>
      </c>
      <c r="F113" s="91">
        <f t="shared" si="3"/>
        <v>1333</v>
      </c>
      <c r="G113" s="91" t="s">
        <v>315</v>
      </c>
      <c r="H113" s="91">
        <v>0</v>
      </c>
      <c r="I113" s="90"/>
      <c r="J113" s="90"/>
      <c r="K113" s="90"/>
      <c r="L113" s="90"/>
      <c r="M113" s="90"/>
    </row>
    <row r="114" spans="1:13" x14ac:dyDescent="0.25">
      <c r="A114" s="91" t="s">
        <v>317</v>
      </c>
      <c r="B114" s="93" t="s">
        <v>316</v>
      </c>
      <c r="C114" s="91" t="s">
        <v>310</v>
      </c>
      <c r="D114" s="91" t="s">
        <v>310</v>
      </c>
      <c r="E114" s="91">
        <f t="shared" si="4"/>
        <v>1333</v>
      </c>
      <c r="F114" s="91">
        <f t="shared" si="3"/>
        <v>1333</v>
      </c>
      <c r="G114" s="91" t="s">
        <v>315</v>
      </c>
      <c r="H114" s="91">
        <v>0</v>
      </c>
      <c r="I114" s="90"/>
      <c r="J114" s="90"/>
      <c r="K114" s="90"/>
      <c r="L114" s="90"/>
      <c r="M114" s="90"/>
    </row>
    <row r="115" spans="1:13" x14ac:dyDescent="0.25">
      <c r="A115" s="91" t="s">
        <v>318</v>
      </c>
      <c r="B115" s="93" t="s">
        <v>283</v>
      </c>
      <c r="C115" s="91" t="s">
        <v>310</v>
      </c>
      <c r="D115" s="91" t="s">
        <v>310</v>
      </c>
      <c r="E115" s="91">
        <f t="shared" si="4"/>
        <v>1333</v>
      </c>
      <c r="F115" s="91">
        <f t="shared" si="3"/>
        <v>1333</v>
      </c>
      <c r="G115" s="91" t="s">
        <v>315</v>
      </c>
      <c r="H115" s="91">
        <v>0</v>
      </c>
      <c r="I115" s="90"/>
      <c r="J115" s="90"/>
      <c r="K115" s="90"/>
      <c r="L115" s="90"/>
      <c r="M115" s="90"/>
    </row>
    <row r="116" spans="1:13" x14ac:dyDescent="0.25">
      <c r="A116" s="91" t="s">
        <v>319</v>
      </c>
      <c r="B116" s="91" t="s">
        <v>310</v>
      </c>
      <c r="C116" s="91" t="s">
        <v>310</v>
      </c>
      <c r="D116" s="91" t="s">
        <v>310</v>
      </c>
      <c r="E116" s="91">
        <f t="shared" si="4"/>
        <v>1333</v>
      </c>
      <c r="F116" s="91">
        <f t="shared" si="3"/>
        <v>1333</v>
      </c>
      <c r="G116" s="91" t="s">
        <v>315</v>
      </c>
      <c r="H116" s="91">
        <v>0</v>
      </c>
      <c r="I116" s="90"/>
      <c r="J116" s="90"/>
      <c r="K116" s="90"/>
      <c r="L116" s="90"/>
      <c r="M116" s="90"/>
    </row>
    <row r="117" spans="1:13" x14ac:dyDescent="0.25">
      <c r="A117" s="91" t="s">
        <v>320</v>
      </c>
      <c r="B117" s="91" t="s">
        <v>310</v>
      </c>
      <c r="C117" s="91" t="s">
        <v>310</v>
      </c>
      <c r="D117" s="91" t="s">
        <v>310</v>
      </c>
      <c r="E117" s="91">
        <f t="shared" si="4"/>
        <v>1333</v>
      </c>
      <c r="F117" s="91">
        <f t="shared" si="3"/>
        <v>1333</v>
      </c>
      <c r="G117" s="91" t="s">
        <v>315</v>
      </c>
      <c r="H117" s="91">
        <v>0</v>
      </c>
      <c r="I117" s="90"/>
      <c r="J117" s="90"/>
      <c r="K117" s="90"/>
      <c r="L117" s="90"/>
      <c r="M117" s="90"/>
    </row>
    <row r="118" spans="1:13" x14ac:dyDescent="0.25">
      <c r="A118" s="91"/>
      <c r="B118" s="91"/>
      <c r="C118" s="91"/>
      <c r="D118" s="91"/>
      <c r="E118" s="91"/>
      <c r="F118" s="91"/>
      <c r="G118" s="91"/>
      <c r="H118" s="91"/>
      <c r="I118" s="90"/>
      <c r="J118" s="90"/>
      <c r="K118" s="90"/>
      <c r="L118" s="90"/>
      <c r="M118" s="90"/>
    </row>
    <row r="119" spans="1:13" x14ac:dyDescent="0.25">
      <c r="A119" s="76" t="s">
        <v>129</v>
      </c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</row>
    <row r="120" spans="1:13" x14ac:dyDescent="0.25">
      <c r="A120" s="76" t="s">
        <v>210</v>
      </c>
      <c r="B120" s="76">
        <v>0</v>
      </c>
      <c r="C120" s="76">
        <v>1</v>
      </c>
      <c r="D120" s="76">
        <v>2</v>
      </c>
      <c r="E120" s="76">
        <v>3</v>
      </c>
      <c r="F120" s="76">
        <v>4</v>
      </c>
      <c r="G120" s="76">
        <v>5</v>
      </c>
      <c r="H120" s="76">
        <v>6</v>
      </c>
      <c r="I120" s="76">
        <v>7</v>
      </c>
      <c r="J120" s="76">
        <v>8</v>
      </c>
      <c r="K120" s="76">
        <v>9</v>
      </c>
      <c r="L120" s="76">
        <v>10</v>
      </c>
      <c r="M120" s="76">
        <v>11</v>
      </c>
    </row>
    <row r="121" spans="1:13" x14ac:dyDescent="0.25">
      <c r="A121" s="76" t="s">
        <v>130</v>
      </c>
      <c r="B121" s="76">
        <v>3</v>
      </c>
      <c r="C121" s="76">
        <v>3</v>
      </c>
      <c r="D121" s="76">
        <v>3</v>
      </c>
      <c r="E121" s="76">
        <v>3</v>
      </c>
      <c r="F121" s="76">
        <v>3</v>
      </c>
      <c r="G121" s="76">
        <v>3</v>
      </c>
      <c r="H121" s="76">
        <v>3</v>
      </c>
      <c r="I121" s="76">
        <v>3</v>
      </c>
      <c r="J121" s="76">
        <v>3</v>
      </c>
      <c r="K121" s="76">
        <v>3</v>
      </c>
      <c r="L121" s="76">
        <v>3</v>
      </c>
      <c r="M121" s="76">
        <v>3</v>
      </c>
    </row>
    <row r="122" spans="1:13" x14ac:dyDescent="0.25">
      <c r="A122" s="76" t="s">
        <v>131</v>
      </c>
      <c r="B122" s="76">
        <f>+INDEX(Sheet1!$L$7:$L18,COLUMN()-COLUMN($B$120)+1)</f>
        <v>2047.5</v>
      </c>
      <c r="C122" s="76">
        <f>+INDEX(Sheet1!$L$7:$L18,COLUMN()-COLUMN($B$120)+1)</f>
        <v>2047.5</v>
      </c>
      <c r="D122" s="76">
        <f>+INDEX(Sheet1!$L$7:$L18,COLUMN()-COLUMN($B$120)+1)</f>
        <v>2047.5</v>
      </c>
      <c r="E122" s="76">
        <f>+INDEX(Sheet1!$L$7:$L18,COLUMN()-COLUMN($B$120)+1)</f>
        <v>2047.5</v>
      </c>
      <c r="F122" s="76">
        <f>+INDEX(Sheet1!$L$7:$L18,COLUMN()-COLUMN($B$120)+1)</f>
        <v>2047.5</v>
      </c>
      <c r="G122" s="76">
        <f>+INDEX(Sheet1!$L$7:$L18,COLUMN()-COLUMN($B$120)+1)</f>
        <v>2047.5</v>
      </c>
      <c r="H122" s="76">
        <f>+INDEX(Sheet1!$L$7:$L18,COLUMN()-COLUMN($B$120)+1)</f>
        <v>2047.5</v>
      </c>
      <c r="I122" s="76">
        <f>+INDEX(Sheet1!$L$7:$L18,COLUMN()-COLUMN($B$120)+1)</f>
        <v>2047.5</v>
      </c>
      <c r="J122" s="76">
        <f>+INDEX(Sheet1!$L$7:$L18,COLUMN()-COLUMN($B$120)+1)</f>
        <v>2047.5</v>
      </c>
      <c r="K122" s="76">
        <f>+INDEX(Sheet1!$L$7:$L18,COLUMN()-COLUMN($B$120)+1)</f>
        <v>2047.5</v>
      </c>
      <c r="L122" s="76">
        <f>+INDEX(Sheet1!$L$7:$L18,COLUMN()-COLUMN($B$120)+1)</f>
        <v>2047.5</v>
      </c>
      <c r="M122" s="76">
        <f>+INDEX(Sheet1!$L$7:$L18,COLUMN()-COLUMN($B$120)+1)</f>
        <v>2047.5</v>
      </c>
    </row>
    <row r="123" spans="1:13" x14ac:dyDescent="0.25">
      <c r="A123" s="76" t="s">
        <v>132</v>
      </c>
      <c r="B123" s="76">
        <f>+INDEX(Sheet1!$M$7:$M19,COLUMN()-COLUMN($B$120)+1)</f>
        <v>10</v>
      </c>
      <c r="C123" s="76">
        <f>+INDEX(Sheet1!$M$7:$M19,COLUMN()-COLUMN($B$120)+1)</f>
        <v>10</v>
      </c>
      <c r="D123" s="76">
        <f>+INDEX(Sheet1!$M$7:$M19,COLUMN()-COLUMN($B$120)+1)</f>
        <v>10</v>
      </c>
      <c r="E123" s="76">
        <f>+INDEX(Sheet1!$M$7:$M19,COLUMN()-COLUMN($B$120)+1)</f>
        <v>10</v>
      </c>
      <c r="F123" s="76">
        <f>+INDEX(Sheet1!$M$7:$M19,COLUMN()-COLUMN($B$120)+1)</f>
        <v>10</v>
      </c>
      <c r="G123" s="76">
        <f>+INDEX(Sheet1!$M$7:$M19,COLUMN()-COLUMN($B$120)+1)</f>
        <v>10</v>
      </c>
      <c r="H123" s="76">
        <f>+INDEX(Sheet1!$M$7:$M19,COLUMN()-COLUMN($B$120)+1)</f>
        <v>10</v>
      </c>
      <c r="I123" s="76">
        <f>+INDEX(Sheet1!$M$7:$M19,COLUMN()-COLUMN($B$120)+1)</f>
        <v>10</v>
      </c>
      <c r="J123" s="76">
        <f>+INDEX(Sheet1!$M$7:$M19,COLUMN()-COLUMN($B$120)+1)</f>
        <v>10</v>
      </c>
      <c r="K123" s="76">
        <f>+INDEX(Sheet1!$M$7:$M19,COLUMN()-COLUMN($B$120)+1)</f>
        <v>10</v>
      </c>
      <c r="L123" s="76">
        <f>+INDEX(Sheet1!$M$7:$M19,COLUMN()-COLUMN($B$120)+1)</f>
        <v>10</v>
      </c>
      <c r="M123" s="76">
        <f>+INDEX(Sheet1!$M$7:$M19,COLUMN()-COLUMN($B$120)+1)</f>
        <v>10</v>
      </c>
    </row>
    <row r="124" spans="1:13" x14ac:dyDescent="0.25">
      <c r="A124" s="76" t="s">
        <v>133</v>
      </c>
      <c r="B124" s="76">
        <f>+INDEX(Sheet1!$N$7:$N20,COLUMN()-COLUMN($B$120)+1)</f>
        <v>3068.9749999999999</v>
      </c>
      <c r="C124" s="76">
        <f>+INDEX(Sheet1!$N$7:$N20,COLUMN()-COLUMN($B$120)+1)</f>
        <v>1922.375</v>
      </c>
      <c r="D124" s="76">
        <f>+INDEX(Sheet1!$N$7:$N20,COLUMN()-COLUMN($B$120)+1)</f>
        <v>3042.8125</v>
      </c>
      <c r="E124" s="76">
        <f>+INDEX(Sheet1!$N$7:$N20,COLUMN()-COLUMN($B$120)+1)</f>
        <v>2664.0250000000001</v>
      </c>
      <c r="F124" s="76">
        <f>+INDEX(Sheet1!$N$7:$N20,COLUMN()-COLUMN($B$120)+1)</f>
        <v>1556.1000000000001</v>
      </c>
      <c r="G124" s="76">
        <f>+INDEX(Sheet1!$N$7:$N20,COLUMN()-COLUMN($B$120)+1)</f>
        <v>3086.0374999999999</v>
      </c>
      <c r="H124" s="76">
        <f>+INDEX(Sheet1!$N$7:$N20,COLUMN()-COLUMN($B$120)+1)</f>
        <v>3756.0250000000001</v>
      </c>
      <c r="I124" s="76">
        <f>+INDEX(Sheet1!$N$7:$N20,COLUMN()-COLUMN($B$120)+1)</f>
        <v>393.57499999999993</v>
      </c>
      <c r="J124" s="76">
        <f>+INDEX(Sheet1!$N$7:$N20,COLUMN()-COLUMN($B$120)+1)</f>
        <v>1797.25</v>
      </c>
      <c r="K124" s="76">
        <f>+INDEX(Sheet1!$N$7:$N20,COLUMN()-COLUMN($B$120)+1)</f>
        <v>401.53750000000014</v>
      </c>
      <c r="L124" s="76">
        <f>+INDEX(Sheet1!$N$7:$N20,COLUMN()-COLUMN($B$120)+1)</f>
        <v>2520.6999999999998</v>
      </c>
      <c r="M124" s="76">
        <f>+INDEX(Sheet1!$N$7:$N20,COLUMN()-COLUMN($B$120)+1)</f>
        <v>513.01249999999993</v>
      </c>
    </row>
    <row r="125" spans="1:13" x14ac:dyDescent="0.25">
      <c r="A125" s="76" t="s">
        <v>134</v>
      </c>
      <c r="B125" s="79">
        <f>+INDEX(Sheet1!$O$7:$O21,COLUMN()-COLUMN($B$120)+1)</f>
        <v>0</v>
      </c>
      <c r="C125" s="79">
        <f>+INDEX(Sheet1!$O$7:$O21,COLUMN()-COLUMN($B$120)+1)</f>
        <v>0</v>
      </c>
      <c r="D125" s="79">
        <f>+INDEX(Sheet1!$O$7:$O21,COLUMN()-COLUMN($B$120)+1)</f>
        <v>0</v>
      </c>
      <c r="E125" s="79">
        <f>+INDEX(Sheet1!$O$7:$O21,COLUMN()-COLUMN($B$120)+1)</f>
        <v>0</v>
      </c>
      <c r="F125" s="79">
        <f>+INDEX(Sheet1!$O$7:$O21,COLUMN()-COLUMN($B$120)+1)</f>
        <v>0</v>
      </c>
      <c r="G125" s="79">
        <f>+INDEX(Sheet1!$O$7:$O21,COLUMN()-COLUMN($B$120)+1)</f>
        <v>0</v>
      </c>
      <c r="H125" s="79">
        <f>+INDEX(Sheet1!$O$7:$O21,COLUMN()-COLUMN($B$120)+1)</f>
        <v>0</v>
      </c>
      <c r="I125" s="79">
        <f>+INDEX(Sheet1!$O$7:$O21,COLUMN()-COLUMN($B$120)+1)</f>
        <v>0</v>
      </c>
      <c r="J125" s="79">
        <f>+INDEX(Sheet1!$O$7:$O21,COLUMN()-COLUMN($B$120)+1)</f>
        <v>0</v>
      </c>
      <c r="K125" s="79">
        <f>+INDEX(Sheet1!$O$7:$O21,COLUMN()-COLUMN($B$120)+1)</f>
        <v>0</v>
      </c>
      <c r="L125" s="79">
        <f>+INDEX(Sheet1!$O$7:$O21,COLUMN()-COLUMN($B$120)+1)</f>
        <v>0</v>
      </c>
      <c r="M125" s="79">
        <f>+INDEX(Sheet1!$O$7:$O21,COLUMN()-COLUMN($B$120)+1)</f>
        <v>0</v>
      </c>
    </row>
    <row r="126" spans="1:13" x14ac:dyDescent="0.25">
      <c r="A126" s="76" t="s">
        <v>135</v>
      </c>
      <c r="B126" s="79">
        <f>+INDEX(Sheet1!$P$7:$P22,COLUMN()-COLUMN($B$120)+1)</f>
        <v>10</v>
      </c>
      <c r="C126" s="79">
        <f>+INDEX(Sheet1!$P$7:$P22,COLUMN()-COLUMN($B$120)+1)</f>
        <v>10</v>
      </c>
      <c r="D126" s="79">
        <f>+INDEX(Sheet1!$P$7:$P22,COLUMN()-COLUMN($B$120)+1)</f>
        <v>10</v>
      </c>
      <c r="E126" s="79">
        <f>+INDEX(Sheet1!$P$7:$P22,COLUMN()-COLUMN($B$120)+1)</f>
        <v>10</v>
      </c>
      <c r="F126" s="79">
        <f>+INDEX(Sheet1!$P$7:$P22,COLUMN()-COLUMN($B$120)+1)</f>
        <v>10</v>
      </c>
      <c r="G126" s="79">
        <f>+INDEX(Sheet1!$P$7:$P22,COLUMN()-COLUMN($B$120)+1)</f>
        <v>10</v>
      </c>
      <c r="H126" s="79">
        <f>+INDEX(Sheet1!$P$7:$P22,COLUMN()-COLUMN($B$120)+1)</f>
        <v>10</v>
      </c>
      <c r="I126" s="79">
        <f>+INDEX(Sheet1!$P$7:$P22,COLUMN()-COLUMN($B$120)+1)</f>
        <v>10</v>
      </c>
      <c r="J126" s="79">
        <f>+INDEX(Sheet1!$P$7:$P22,COLUMN()-COLUMN($B$120)+1)</f>
        <v>10</v>
      </c>
      <c r="K126" s="79">
        <f>+INDEX(Sheet1!$P$7:$P22,COLUMN()-COLUMN($B$120)+1)</f>
        <v>10</v>
      </c>
      <c r="L126" s="79">
        <f>+INDEX(Sheet1!$P$7:$P22,COLUMN()-COLUMN($B$120)+1)</f>
        <v>10</v>
      </c>
      <c r="M126" s="79">
        <f>+INDEX(Sheet1!$P$7:$P22,COLUMN()-COLUMN($B$120)+1)</f>
        <v>10</v>
      </c>
    </row>
    <row r="127" spans="1:13" x14ac:dyDescent="0.25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</row>
    <row r="128" spans="1:13" x14ac:dyDescent="0.25">
      <c r="A128" s="76" t="s">
        <v>136</v>
      </c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</row>
    <row r="129" spans="1:13" x14ac:dyDescent="0.25">
      <c r="A129" s="76" t="s">
        <v>211</v>
      </c>
      <c r="B129" s="76">
        <v>0</v>
      </c>
      <c r="C129" s="76">
        <v>1</v>
      </c>
      <c r="D129" s="76">
        <v>2</v>
      </c>
      <c r="E129" s="76">
        <v>3</v>
      </c>
      <c r="F129" s="76">
        <v>4</v>
      </c>
      <c r="G129" s="76">
        <v>5</v>
      </c>
      <c r="H129" s="76">
        <v>6</v>
      </c>
      <c r="I129" s="76">
        <v>7</v>
      </c>
      <c r="J129" s="76">
        <v>8</v>
      </c>
      <c r="K129" s="76">
        <v>9</v>
      </c>
      <c r="L129" s="76">
        <v>10</v>
      </c>
      <c r="M129" s="76">
        <v>11</v>
      </c>
    </row>
    <row r="130" spans="1:13" x14ac:dyDescent="0.25">
      <c r="A130" s="76" t="s">
        <v>137</v>
      </c>
      <c r="B130" s="79">
        <f>+INDEX(Sheet1!$Q$7:$Q26,COLUMN()-COLUMN($B$120)+1)</f>
        <v>0</v>
      </c>
      <c r="C130" s="79">
        <f>+INDEX(Sheet1!$Q$7:$Q26,COLUMN()-COLUMN($B$120)+1)</f>
        <v>0</v>
      </c>
      <c r="D130" s="79">
        <f>+INDEX(Sheet1!$Q$7:$Q26,COLUMN()-COLUMN($B$120)+1)</f>
        <v>0</v>
      </c>
      <c r="E130" s="79">
        <f>+INDEX(Sheet1!$Q$7:$Q26,COLUMN()-COLUMN($B$120)+1)</f>
        <v>0</v>
      </c>
      <c r="F130" s="79">
        <f>+INDEX(Sheet1!$Q$7:$Q26,COLUMN()-COLUMN($B$120)+1)</f>
        <v>0</v>
      </c>
      <c r="G130" s="79">
        <f>+INDEX(Sheet1!$Q$7:$Q26,COLUMN()-COLUMN($B$120)+1)</f>
        <v>0</v>
      </c>
      <c r="H130" s="79">
        <f>+INDEX(Sheet1!$Q$7:$Q26,COLUMN()-COLUMN($B$120)+1)</f>
        <v>0</v>
      </c>
      <c r="I130" s="79">
        <f>+INDEX(Sheet1!$Q$7:$Q26,COLUMN()-COLUMN($B$120)+1)</f>
        <v>0</v>
      </c>
      <c r="J130" s="79">
        <f>+INDEX(Sheet1!$Q$7:$Q26,COLUMN()-COLUMN($B$120)+1)</f>
        <v>0</v>
      </c>
      <c r="K130" s="79">
        <f>+INDEX(Sheet1!$Q$7:$Q26,COLUMN()-COLUMN($B$120)+1)</f>
        <v>0</v>
      </c>
      <c r="L130" s="79">
        <f>+INDEX(Sheet1!$Q$7:$Q26,COLUMN()-COLUMN($B$120)+1)</f>
        <v>0</v>
      </c>
      <c r="M130" s="79">
        <f>+INDEX(Sheet1!$Q$7:$Q26,COLUMN()-COLUMN($B$120)+1)</f>
        <v>0</v>
      </c>
    </row>
    <row r="131" spans="1:13" x14ac:dyDescent="0.25">
      <c r="A131" s="76" t="s">
        <v>138</v>
      </c>
      <c r="B131" s="79">
        <f>+INDEX(Sheet1!$R$7:$R27,COLUMN()-COLUMN($B$120)+1)</f>
        <v>10</v>
      </c>
      <c r="C131" s="79">
        <f>+INDEX(Sheet1!$R$7:$R27,COLUMN()-COLUMN($B$120)+1)</f>
        <v>10</v>
      </c>
      <c r="D131" s="79">
        <f>+INDEX(Sheet1!$R$7:$R27,COLUMN()-COLUMN($B$120)+1)</f>
        <v>10</v>
      </c>
      <c r="E131" s="79">
        <f>+INDEX(Sheet1!$R$7:$R27,COLUMN()-COLUMN($B$120)+1)</f>
        <v>10</v>
      </c>
      <c r="F131" s="79">
        <f>+INDEX(Sheet1!$R$7:$R27,COLUMN()-COLUMN($B$120)+1)</f>
        <v>10</v>
      </c>
      <c r="G131" s="79">
        <f>+INDEX(Sheet1!$R$7:$R27,COLUMN()-COLUMN($B$120)+1)</f>
        <v>10</v>
      </c>
      <c r="H131" s="79">
        <f>+INDEX(Sheet1!$R$7:$R27,COLUMN()-COLUMN($B$120)+1)</f>
        <v>10</v>
      </c>
      <c r="I131" s="79">
        <f>+INDEX(Sheet1!$R$7:$R27,COLUMN()-COLUMN($B$120)+1)</f>
        <v>10</v>
      </c>
      <c r="J131" s="79">
        <f>+INDEX(Sheet1!$R$7:$R27,COLUMN()-COLUMN($B$120)+1)</f>
        <v>10</v>
      </c>
      <c r="K131" s="79">
        <f>+INDEX(Sheet1!$R$7:$R27,COLUMN()-COLUMN($B$120)+1)</f>
        <v>10</v>
      </c>
      <c r="L131" s="79">
        <f>+INDEX(Sheet1!$R$7:$R27,COLUMN()-COLUMN($B$120)+1)</f>
        <v>10</v>
      </c>
      <c r="M131" s="79">
        <f>+INDEX(Sheet1!$R$7:$R27,COLUMN()-COLUMN($B$120)+1)</f>
        <v>10</v>
      </c>
    </row>
    <row r="132" spans="1:13" x14ac:dyDescent="0.25">
      <c r="A132" s="76" t="s">
        <v>105</v>
      </c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</row>
    <row r="133" spans="1:13" x14ac:dyDescent="0.25">
      <c r="A133" s="76" t="s">
        <v>139</v>
      </c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</row>
    <row r="134" spans="1:13" x14ac:dyDescent="0.25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I113"/>
  <sheetViews>
    <sheetView topLeftCell="A70" zoomScale="55" zoomScaleNormal="55" workbookViewId="0">
      <selection activeCell="E55" sqref="E55"/>
    </sheetView>
  </sheetViews>
  <sheetFormatPr defaultRowHeight="15" x14ac:dyDescent="0.25"/>
  <cols>
    <col min="1" max="1" width="20.28515625" customWidth="1"/>
    <col min="2" max="9" width="16.7109375" customWidth="1"/>
  </cols>
  <sheetData>
    <row r="3" spans="1:6" x14ac:dyDescent="0.25">
      <c r="A3" s="16" t="s">
        <v>78</v>
      </c>
      <c r="B3" s="17">
        <v>1333</v>
      </c>
      <c r="D3" t="s">
        <v>79</v>
      </c>
      <c r="F3" t="s">
        <v>80</v>
      </c>
    </row>
    <row r="4" spans="1:6" x14ac:dyDescent="0.25">
      <c r="A4" s="18"/>
      <c r="B4" s="19"/>
    </row>
    <row r="5" spans="1:6" x14ac:dyDescent="0.25">
      <c r="A5" s="20" t="s">
        <v>81</v>
      </c>
      <c r="B5" s="21">
        <v>7000</v>
      </c>
      <c r="D5" t="s">
        <v>82</v>
      </c>
    </row>
    <row r="10" spans="1:6" x14ac:dyDescent="0.25">
      <c r="A10" t="s">
        <v>83</v>
      </c>
    </row>
    <row r="11" spans="1:6" x14ac:dyDescent="0.25">
      <c r="A11" t="s">
        <v>140</v>
      </c>
    </row>
    <row r="12" spans="1:6" x14ac:dyDescent="0.25">
      <c r="A12" t="s">
        <v>85</v>
      </c>
    </row>
    <row r="13" spans="1:6" x14ac:dyDescent="0.25">
      <c r="A13" t="s">
        <v>86</v>
      </c>
    </row>
    <row r="14" spans="1:6" x14ac:dyDescent="0.25">
      <c r="A14" t="s">
        <v>87</v>
      </c>
      <c r="B14" t="s">
        <v>141</v>
      </c>
    </row>
    <row r="15" spans="1:6" x14ac:dyDescent="0.25">
      <c r="A15" t="s">
        <v>89</v>
      </c>
      <c r="B15">
        <v>1</v>
      </c>
    </row>
    <row r="16" spans="1:6" x14ac:dyDescent="0.25">
      <c r="A16" t="s">
        <v>90</v>
      </c>
      <c r="B16">
        <v>0</v>
      </c>
    </row>
    <row r="17" spans="1:9" x14ac:dyDescent="0.25">
      <c r="A17" t="s">
        <v>91</v>
      </c>
      <c r="B17">
        <v>10</v>
      </c>
    </row>
    <row r="18" spans="1:9" x14ac:dyDescent="0.25">
      <c r="A18" t="s">
        <v>92</v>
      </c>
      <c r="B18">
        <v>300</v>
      </c>
    </row>
    <row r="19" spans="1:9" x14ac:dyDescent="0.25">
      <c r="A19" t="s">
        <v>142</v>
      </c>
      <c r="B19">
        <v>500</v>
      </c>
    </row>
    <row r="20" spans="1:9" x14ac:dyDescent="0.25">
      <c r="A20" t="s">
        <v>143</v>
      </c>
      <c r="B20">
        <v>500</v>
      </c>
    </row>
    <row r="21" spans="1:9" x14ac:dyDescent="0.25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 x14ac:dyDescent="0.25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 x14ac:dyDescent="0.25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 x14ac:dyDescent="0.25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 x14ac:dyDescent="0.25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s="76" t="s">
        <v>294</v>
      </c>
      <c r="B28" s="87">
        <v>0</v>
      </c>
      <c r="C28" s="87">
        <v>0</v>
      </c>
      <c r="D28" s="87">
        <v>0</v>
      </c>
      <c r="E28" s="87">
        <v>0</v>
      </c>
      <c r="F28" s="87">
        <v>0</v>
      </c>
      <c r="G28" s="87">
        <v>0</v>
      </c>
      <c r="H28" s="88">
        <v>0</v>
      </c>
      <c r="I28" s="88">
        <v>0</v>
      </c>
    </row>
    <row r="31" spans="1:9" x14ac:dyDescent="0.25">
      <c r="A31" t="s">
        <v>255</v>
      </c>
    </row>
    <row r="32" spans="1:9" x14ac:dyDescent="0.25">
      <c r="A32" t="s">
        <v>264</v>
      </c>
      <c r="B32" t="s">
        <v>263</v>
      </c>
    </row>
    <row r="33" spans="1:9" x14ac:dyDescent="0.25">
      <c r="A33" t="s">
        <v>265</v>
      </c>
      <c r="B33">
        <v>16</v>
      </c>
    </row>
    <row r="34" spans="1:9" x14ac:dyDescent="0.25">
      <c r="A34" t="s">
        <v>266</v>
      </c>
      <c r="B34">
        <v>6</v>
      </c>
    </row>
    <row r="35" spans="1:9" x14ac:dyDescent="0.25">
      <c r="A35" t="s">
        <v>267</v>
      </c>
      <c r="B35">
        <v>2</v>
      </c>
    </row>
    <row r="36" spans="1:9" x14ac:dyDescent="0.25">
      <c r="A36" t="s">
        <v>268</v>
      </c>
      <c r="B36">
        <v>1</v>
      </c>
    </row>
    <row r="38" spans="1:9" x14ac:dyDescent="0.25">
      <c r="A38" s="80" t="s">
        <v>269</v>
      </c>
      <c r="B38" s="80"/>
      <c r="C38" s="80"/>
      <c r="D38" s="80"/>
      <c r="E38" s="80"/>
      <c r="F38" s="80"/>
      <c r="G38" s="80"/>
      <c r="H38" s="80"/>
      <c r="I38" s="80"/>
    </row>
    <row r="39" spans="1:9" x14ac:dyDescent="0.25">
      <c r="A39" s="80" t="s">
        <v>270</v>
      </c>
      <c r="B39" s="80" t="s">
        <v>271</v>
      </c>
      <c r="C39" s="80" t="s">
        <v>272</v>
      </c>
      <c r="D39" s="80"/>
      <c r="E39" s="80"/>
      <c r="F39" s="80"/>
      <c r="G39" s="80"/>
      <c r="H39" s="80"/>
      <c r="I39" s="80"/>
    </row>
    <row r="40" spans="1:9" x14ac:dyDescent="0.25">
      <c r="A40" s="80" t="s">
        <v>265</v>
      </c>
      <c r="B40" s="80">
        <v>16</v>
      </c>
      <c r="C40" s="80"/>
      <c r="D40" s="80"/>
      <c r="E40" s="80"/>
      <c r="F40" s="80"/>
      <c r="G40" s="80"/>
      <c r="H40" s="80"/>
      <c r="I40" s="80"/>
    </row>
    <row r="41" spans="1:9" x14ac:dyDescent="0.25">
      <c r="A41" s="80" t="s">
        <v>273</v>
      </c>
      <c r="B41" s="80">
        <v>6</v>
      </c>
      <c r="C41" s="80"/>
      <c r="D41" s="80"/>
      <c r="E41" s="80"/>
      <c r="F41" s="80"/>
      <c r="G41" s="80"/>
      <c r="H41" s="80"/>
      <c r="I41" s="80"/>
    </row>
    <row r="42" spans="1:9" x14ac:dyDescent="0.25">
      <c r="A42" s="80" t="s">
        <v>274</v>
      </c>
      <c r="B42" s="80">
        <v>2</v>
      </c>
      <c r="C42" s="80"/>
      <c r="D42" s="80"/>
      <c r="E42" s="80"/>
      <c r="F42" s="80"/>
      <c r="G42" s="80"/>
      <c r="H42" s="80"/>
      <c r="I42" s="80"/>
    </row>
    <row r="43" spans="1:9" x14ac:dyDescent="0.25">
      <c r="A43" s="80" t="s">
        <v>275</v>
      </c>
      <c r="B43" s="80">
        <v>1</v>
      </c>
      <c r="C43" s="80"/>
      <c r="D43" s="80"/>
      <c r="E43" s="80"/>
      <c r="F43" s="80"/>
      <c r="G43" s="80"/>
      <c r="H43" s="80"/>
      <c r="I43" s="80"/>
    </row>
    <row r="44" spans="1:9" x14ac:dyDescent="0.25">
      <c r="A44" s="80" t="s">
        <v>276</v>
      </c>
      <c r="B44" s="80">
        <v>1</v>
      </c>
      <c r="C44" s="80"/>
      <c r="D44" s="80"/>
      <c r="E44" s="80"/>
      <c r="F44" s="80"/>
      <c r="G44" s="80"/>
      <c r="H44" s="80"/>
      <c r="I44" s="80"/>
    </row>
    <row r="45" spans="1:9" x14ac:dyDescent="0.25">
      <c r="A45" s="80" t="s">
        <v>277</v>
      </c>
      <c r="B45" s="80" t="s">
        <v>278</v>
      </c>
      <c r="C45" s="80"/>
      <c r="D45" s="80"/>
      <c r="E45" s="80"/>
      <c r="F45" s="80"/>
      <c r="G45" s="80"/>
      <c r="H45" s="80"/>
      <c r="I45" s="80"/>
    </row>
    <row r="46" spans="1:9" x14ac:dyDescent="0.25">
      <c r="A46" s="3"/>
      <c r="B46" s="3"/>
      <c r="C46" s="3"/>
      <c r="D46" s="3"/>
      <c r="E46" s="3"/>
      <c r="F46" s="3"/>
      <c r="G46" s="3"/>
      <c r="H46" s="3"/>
      <c r="I46" s="3"/>
    </row>
    <row r="47" spans="1:9" x14ac:dyDescent="0.25">
      <c r="A47" t="s">
        <v>102</v>
      </c>
    </row>
    <row r="48" spans="1:9" x14ac:dyDescent="0.25">
      <c r="A48" t="s">
        <v>103</v>
      </c>
      <c r="B48">
        <v>8</v>
      </c>
      <c r="C48" t="s">
        <v>104</v>
      </c>
    </row>
    <row r="49" spans="1:9" x14ac:dyDescent="0.25">
      <c r="A49" t="s">
        <v>228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0" spans="1:9" x14ac:dyDescent="0.25">
      <c r="A50" t="s">
        <v>229</v>
      </c>
      <c r="B50">
        <v>100</v>
      </c>
      <c r="C50">
        <v>100</v>
      </c>
      <c r="D50">
        <v>100</v>
      </c>
      <c r="E50">
        <v>100</v>
      </c>
      <c r="F50">
        <v>100</v>
      </c>
      <c r="G50">
        <v>100</v>
      </c>
      <c r="H50">
        <v>100</v>
      </c>
      <c r="I50">
        <v>100</v>
      </c>
    </row>
    <row r="51" spans="1:9" x14ac:dyDescent="0.25">
      <c r="A51" t="s">
        <v>105</v>
      </c>
    </row>
    <row r="52" spans="1:9" x14ac:dyDescent="0.25">
      <c r="A52" t="s">
        <v>227</v>
      </c>
      <c r="B52">
        <v>0</v>
      </c>
      <c r="C52">
        <v>1</v>
      </c>
      <c r="D52">
        <v>2</v>
      </c>
      <c r="E52">
        <v>3</v>
      </c>
      <c r="F52">
        <v>4</v>
      </c>
      <c r="G52">
        <v>5</v>
      </c>
      <c r="H52">
        <v>6</v>
      </c>
      <c r="I52">
        <v>7</v>
      </c>
    </row>
    <row r="53" spans="1:9" x14ac:dyDescent="0.25">
      <c r="A53" t="s">
        <v>232</v>
      </c>
      <c r="B53">
        <v>0</v>
      </c>
      <c r="C53">
        <v>1</v>
      </c>
      <c r="D53">
        <v>2</v>
      </c>
      <c r="E53">
        <v>3</v>
      </c>
      <c r="F53">
        <v>4</v>
      </c>
      <c r="G53">
        <v>5</v>
      </c>
      <c r="H53">
        <v>6</v>
      </c>
      <c r="I53">
        <v>7</v>
      </c>
    </row>
    <row r="55" spans="1:9" ht="15.75" customHeight="1" x14ac:dyDescent="0.25">
      <c r="A55" t="s">
        <v>225</v>
      </c>
      <c r="B55" s="22">
        <f>+INDEX(Sheet1!$K$37:$K$44,COLUMN()-COLUMN($B$102)+1)</f>
        <v>-11.375</v>
      </c>
      <c r="C55" s="22">
        <f>+INDEX(Sheet1!$K$37:$K$44,COLUMN()-COLUMN($B$102)+1)</f>
        <v>-11.375</v>
      </c>
      <c r="D55" s="22">
        <f>+INDEX(Sheet1!$K$37:$K$44,COLUMN()-COLUMN($B$102)+1)</f>
        <v>-11.375</v>
      </c>
      <c r="E55" s="22">
        <f>+INDEX(Sheet1!$K$37:$K$44,COLUMN()-COLUMN($B$102)+1)</f>
        <v>-11.375</v>
      </c>
      <c r="F55" s="22">
        <f>+INDEX(Sheet1!$K$37:$K$44,COLUMN()-COLUMN($B$102)+1)</f>
        <v>-706.67</v>
      </c>
      <c r="G55" s="22">
        <f>+INDEX(Sheet1!$K$37:$K$44,COLUMN()-COLUMN($B$102)+1)</f>
        <v>-978.46</v>
      </c>
      <c r="H55" s="22">
        <f>+INDEX(Sheet1!$K$37:$K$44,COLUMN()-COLUMN($B$102)+1)</f>
        <v>-978.46</v>
      </c>
      <c r="I55" s="22">
        <f>+INDEX(Sheet1!$K$37:$K$44,COLUMN()-COLUMN($B$102)+1)</f>
        <v>2.3333333333333335</v>
      </c>
    </row>
    <row r="56" spans="1:9" x14ac:dyDescent="0.25">
      <c r="A56" t="s">
        <v>224</v>
      </c>
      <c r="B56" s="22">
        <f>+INDEX(Sheet1!$D$37:$D$44,COLUMN()-COLUMN($B$102)+1)</f>
        <v>-180</v>
      </c>
      <c r="C56" s="22">
        <f>+INDEX(Sheet1!$D$37:$D$44,COLUMN()-COLUMN($B$102)+1)</f>
        <v>-315</v>
      </c>
      <c r="D56" s="22">
        <f>+INDEX(Sheet1!$D$37:$D$44,COLUMN()-COLUMN($B$102)+1)</f>
        <v>24.257819103972956</v>
      </c>
      <c r="E56" s="22">
        <f>+INDEX(Sheet1!$D$37:$D$44,COLUMN()-COLUMN($B$102)+1)</f>
        <v>-180</v>
      </c>
      <c r="F56" s="22">
        <f>+INDEX(Sheet1!$D$37:$D$44,COLUMN()-COLUMN($B$102)+1)</f>
        <v>90</v>
      </c>
      <c r="G56" s="22">
        <f>+INDEX(Sheet1!$D$37:$D$44,COLUMN()-COLUMN($B$102)+1)</f>
        <v>-20</v>
      </c>
      <c r="H56" s="22">
        <f>+INDEX(Sheet1!$D$37:$D$44,COLUMN()-COLUMN($B$102)+1)</f>
        <v>-52</v>
      </c>
      <c r="I56" s="22">
        <f>+INDEX(Sheet1!$D$37:$D$44,COLUMN()-COLUMN($B$102)+1)</f>
        <v>891.42857142857133</v>
      </c>
    </row>
    <row r="57" spans="1:9" x14ac:dyDescent="0.25">
      <c r="A57" s="81" t="s">
        <v>279</v>
      </c>
      <c r="B57" s="82" t="s">
        <v>271</v>
      </c>
      <c r="C57" s="82" t="s">
        <v>271</v>
      </c>
      <c r="D57" s="82" t="s">
        <v>271</v>
      </c>
      <c r="E57" s="82" t="s">
        <v>271</v>
      </c>
      <c r="F57" s="83" t="s">
        <v>271</v>
      </c>
      <c r="G57" s="83">
        <v>0</v>
      </c>
      <c r="H57" s="83">
        <v>0</v>
      </c>
      <c r="I57" s="83">
        <v>0</v>
      </c>
    </row>
    <row r="58" spans="1:9" x14ac:dyDescent="0.25">
      <c r="A58" s="81" t="s">
        <v>280</v>
      </c>
      <c r="B58" s="83">
        <v>0</v>
      </c>
      <c r="C58" s="83">
        <v>1</v>
      </c>
      <c r="D58" s="83">
        <v>2</v>
      </c>
      <c r="E58" s="83">
        <v>3</v>
      </c>
      <c r="F58" s="83" t="s">
        <v>281</v>
      </c>
      <c r="G58" s="83">
        <v>0</v>
      </c>
      <c r="H58" s="83">
        <v>0</v>
      </c>
      <c r="I58" s="83">
        <v>0</v>
      </c>
    </row>
    <row r="59" spans="1:9" x14ac:dyDescent="0.25">
      <c r="A59" s="84" t="s">
        <v>282</v>
      </c>
      <c r="B59" s="85" t="s">
        <v>283</v>
      </c>
      <c r="C59" s="85" t="s">
        <v>283</v>
      </c>
      <c r="D59" s="85" t="s">
        <v>283</v>
      </c>
      <c r="E59" s="85" t="s">
        <v>283</v>
      </c>
      <c r="F59" s="85" t="s">
        <v>284</v>
      </c>
      <c r="G59" s="85" t="s">
        <v>284</v>
      </c>
      <c r="H59" s="83" t="s">
        <v>284</v>
      </c>
      <c r="I59" s="83" t="s">
        <v>284</v>
      </c>
    </row>
    <row r="61" spans="1:9" x14ac:dyDescent="0.25">
      <c r="A61" t="s">
        <v>106</v>
      </c>
      <c r="B61">
        <v>0</v>
      </c>
    </row>
    <row r="63" spans="1:9" x14ac:dyDescent="0.25">
      <c r="A63" t="s">
        <v>151</v>
      </c>
    </row>
    <row r="64" spans="1:9" x14ac:dyDescent="0.25">
      <c r="A64" t="s">
        <v>240</v>
      </c>
      <c r="B64">
        <v>8</v>
      </c>
      <c r="C64">
        <v>8</v>
      </c>
      <c r="D64">
        <v>8</v>
      </c>
      <c r="E64">
        <v>8</v>
      </c>
      <c r="F64">
        <v>8</v>
      </c>
      <c r="G64">
        <v>8</v>
      </c>
      <c r="H64">
        <v>8</v>
      </c>
      <c r="I64">
        <v>8</v>
      </c>
    </row>
    <row r="65" spans="1:9" x14ac:dyDescent="0.25">
      <c r="A65" t="s">
        <v>298</v>
      </c>
      <c r="B65">
        <v>100</v>
      </c>
      <c r="C65">
        <v>100</v>
      </c>
      <c r="D65">
        <v>100</v>
      </c>
      <c r="E65">
        <v>100</v>
      </c>
      <c r="F65">
        <v>100</v>
      </c>
      <c r="G65">
        <v>100</v>
      </c>
      <c r="H65">
        <v>100</v>
      </c>
      <c r="I65">
        <v>100</v>
      </c>
    </row>
    <row r="67" spans="1:9" x14ac:dyDescent="0.25">
      <c r="A67" t="s">
        <v>227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</row>
    <row r="68" spans="1:9" x14ac:dyDescent="0.25">
      <c r="A68" t="s">
        <v>107</v>
      </c>
    </row>
    <row r="69" spans="1:9" x14ac:dyDescent="0.25">
      <c r="A69" t="s">
        <v>230</v>
      </c>
      <c r="B69" s="22">
        <f>+INDEX(Sheet1!$H$37:$H$44,COLUMN()-COLUMN($B$102)+1)</f>
        <v>10</v>
      </c>
      <c r="C69" s="22">
        <f>+INDEX(Sheet1!$H$37:$H$44,COLUMN()-COLUMN($B$102)+1)</f>
        <v>160.80000000000001</v>
      </c>
      <c r="D69" s="22">
        <f>+INDEX(Sheet1!$H$37:$H$44,COLUMN()-COLUMN($B$102)+1)</f>
        <v>80</v>
      </c>
      <c r="E69" s="22">
        <f>+INDEX(Sheet1!$H$37:$H$44,COLUMN()-COLUMN($B$102)+1)</f>
        <v>106</v>
      </c>
      <c r="F69" s="22">
        <f>+INDEX(Sheet1!$H$37:$H$44,COLUMN()-COLUMN($B$102)+1)</f>
        <v>90</v>
      </c>
      <c r="G69" s="22">
        <f>+INDEX(Sheet1!$H$37:$H$44,COLUMN()-COLUMN($B$102)+1)</f>
        <v>0</v>
      </c>
      <c r="H69" s="22">
        <f>+INDEX(Sheet1!$H$37:$H$44,COLUMN()-COLUMN($B$102)+1)</f>
        <v>40</v>
      </c>
      <c r="I69" s="22">
        <f>+INDEX(Sheet1!$H$37:$H$44,COLUMN()-COLUMN($B$102)+1)</f>
        <v>60</v>
      </c>
    </row>
    <row r="70" spans="1:9" x14ac:dyDescent="0.25">
      <c r="A70" t="s">
        <v>231</v>
      </c>
      <c r="B70" s="22">
        <f>+INDEX(Sheet1!$G$37:$G$44,COLUMN()-COLUMN($B$102)+1)</f>
        <v>-95.5</v>
      </c>
      <c r="C70" s="22">
        <f>+INDEX(Sheet1!$G$37:$G$44,COLUMN()-COLUMN($B$102)+1)</f>
        <v>0</v>
      </c>
      <c r="D70" s="22">
        <f>+INDEX(Sheet1!$G$37:$G$44,COLUMN()-COLUMN($B$102)+1)</f>
        <v>-37</v>
      </c>
      <c r="E70" s="22">
        <f>+INDEX(Sheet1!$G$37:$G$44,COLUMN()-COLUMN($B$102)+1)</f>
        <v>5.5</v>
      </c>
      <c r="F70" s="22">
        <f>+INDEX(Sheet1!$G$37:$G$44,COLUMN()-COLUMN($B$102)+1)</f>
        <v>-90</v>
      </c>
      <c r="G70" s="22">
        <f>+INDEX(Sheet1!$G$37:$G$44,COLUMN()-COLUMN($B$102)+1)</f>
        <v>-90</v>
      </c>
      <c r="H70" s="22">
        <f>+INDEX(Sheet1!$G$37:$G$44,COLUMN()-COLUMN($B$102)+1)</f>
        <v>-20</v>
      </c>
      <c r="I70" s="22">
        <f>+INDEX(Sheet1!$G$37:$G$44,COLUMN()-COLUMN($B$102)+1)</f>
        <v>0</v>
      </c>
    </row>
    <row r="73" spans="1:9" x14ac:dyDescent="0.25">
      <c r="A73" t="s">
        <v>226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 x14ac:dyDescent="0.25">
      <c r="A74" t="s">
        <v>220</v>
      </c>
      <c r="B74" s="22">
        <f>$B$5</f>
        <v>7000</v>
      </c>
      <c r="C74" s="22">
        <f>$B$5</f>
        <v>7000</v>
      </c>
      <c r="D74" s="22">
        <f>$B$5</f>
        <v>7000</v>
      </c>
      <c r="E74" s="22">
        <f>$B$5</f>
        <v>7000</v>
      </c>
      <c r="F74">
        <v>400</v>
      </c>
      <c r="G74">
        <v>400</v>
      </c>
      <c r="H74">
        <v>400</v>
      </c>
      <c r="I74">
        <v>400</v>
      </c>
    </row>
    <row r="76" spans="1:9" x14ac:dyDescent="0.25">
      <c r="A76" t="s">
        <v>108</v>
      </c>
      <c r="B76" t="s">
        <v>109</v>
      </c>
      <c r="C76" t="s">
        <v>110</v>
      </c>
      <c r="D76" t="s">
        <v>111</v>
      </c>
      <c r="E76" t="s">
        <v>112</v>
      </c>
      <c r="F76" t="s">
        <v>113</v>
      </c>
      <c r="G76" t="s">
        <v>114</v>
      </c>
      <c r="H76" t="s">
        <v>115</v>
      </c>
    </row>
    <row r="77" spans="1:9" x14ac:dyDescent="0.25">
      <c r="A77" t="s">
        <v>116</v>
      </c>
    </row>
    <row r="78" spans="1:9" x14ac:dyDescent="0.25">
      <c r="A78" t="s">
        <v>117</v>
      </c>
      <c r="B78">
        <v>32000</v>
      </c>
      <c r="C78">
        <v>50</v>
      </c>
      <c r="D78">
        <v>60</v>
      </c>
      <c r="E78" s="22">
        <f>+$B$3</f>
        <v>1333</v>
      </c>
      <c r="F78" s="22">
        <f t="shared" ref="F78:F85" si="0">+$B$3</f>
        <v>1333</v>
      </c>
      <c r="G78">
        <v>13</v>
      </c>
      <c r="H78">
        <v>0</v>
      </c>
    </row>
    <row r="79" spans="1:9" x14ac:dyDescent="0.25">
      <c r="A79" t="s">
        <v>118</v>
      </c>
      <c r="B79">
        <v>32000</v>
      </c>
      <c r="C79">
        <v>50</v>
      </c>
      <c r="D79">
        <v>60</v>
      </c>
      <c r="E79" s="22">
        <f>+$B$3</f>
        <v>1333</v>
      </c>
      <c r="F79" s="22">
        <f t="shared" si="0"/>
        <v>1333</v>
      </c>
      <c r="G79">
        <v>13</v>
      </c>
      <c r="H79">
        <v>0</v>
      </c>
    </row>
    <row r="80" spans="1:9" x14ac:dyDescent="0.25">
      <c r="A80" t="s">
        <v>119</v>
      </c>
      <c r="B80">
        <v>10000</v>
      </c>
      <c r="C80">
        <v>0</v>
      </c>
      <c r="D80">
        <v>10</v>
      </c>
      <c r="E80" s="22">
        <f t="shared" ref="E80:E85" si="1">+$B$3</f>
        <v>1333</v>
      </c>
      <c r="F80" s="22">
        <f t="shared" si="0"/>
        <v>1333</v>
      </c>
      <c r="G80">
        <v>13</v>
      </c>
      <c r="H80">
        <v>0</v>
      </c>
    </row>
    <row r="81" spans="1:9" x14ac:dyDescent="0.25">
      <c r="A81" t="s">
        <v>120</v>
      </c>
      <c r="B81">
        <v>32000</v>
      </c>
      <c r="C81">
        <v>20</v>
      </c>
      <c r="D81">
        <v>60</v>
      </c>
      <c r="E81" s="22">
        <f>+$B$3</f>
        <v>1333</v>
      </c>
      <c r="F81" s="22">
        <f t="shared" si="0"/>
        <v>1333</v>
      </c>
      <c r="G81">
        <v>13</v>
      </c>
      <c r="H81">
        <v>0</v>
      </c>
    </row>
    <row r="82" spans="1:9" x14ac:dyDescent="0.25">
      <c r="A82" t="s">
        <v>121</v>
      </c>
      <c r="B82">
        <v>200</v>
      </c>
      <c r="C82">
        <v>1000</v>
      </c>
      <c r="D82">
        <v>1</v>
      </c>
      <c r="E82" s="22">
        <f t="shared" si="1"/>
        <v>1333</v>
      </c>
      <c r="F82" s="22">
        <f t="shared" si="0"/>
        <v>1333</v>
      </c>
      <c r="G82">
        <v>6</v>
      </c>
      <c r="H82">
        <v>0</v>
      </c>
    </row>
    <row r="83" spans="1:9" x14ac:dyDescent="0.25">
      <c r="A83" t="s">
        <v>122</v>
      </c>
      <c r="B83">
        <v>100</v>
      </c>
      <c r="C83">
        <v>100</v>
      </c>
      <c r="D83">
        <v>2</v>
      </c>
      <c r="E83" s="22">
        <f t="shared" si="1"/>
        <v>1333</v>
      </c>
      <c r="F83" s="22">
        <f t="shared" si="0"/>
        <v>1333</v>
      </c>
      <c r="G83">
        <v>6</v>
      </c>
      <c r="H83">
        <v>0</v>
      </c>
    </row>
    <row r="84" spans="1:9" x14ac:dyDescent="0.25">
      <c r="A84" t="s">
        <v>123</v>
      </c>
      <c r="B84">
        <v>100</v>
      </c>
      <c r="C84">
        <v>100</v>
      </c>
      <c r="D84">
        <v>2</v>
      </c>
      <c r="E84" s="22">
        <f t="shared" si="1"/>
        <v>1333</v>
      </c>
      <c r="F84" s="22">
        <f t="shared" si="0"/>
        <v>1333</v>
      </c>
      <c r="G84">
        <v>6</v>
      </c>
      <c r="H84">
        <v>0</v>
      </c>
    </row>
    <row r="85" spans="1:9" x14ac:dyDescent="0.25">
      <c r="A85" t="s">
        <v>124</v>
      </c>
      <c r="B85">
        <v>-200</v>
      </c>
      <c r="C85">
        <v>-200</v>
      </c>
      <c r="D85">
        <v>-1</v>
      </c>
      <c r="E85" s="22">
        <f t="shared" si="1"/>
        <v>1333</v>
      </c>
      <c r="F85" s="22">
        <f t="shared" si="0"/>
        <v>1333</v>
      </c>
      <c r="G85">
        <v>4</v>
      </c>
      <c r="H85">
        <v>0</v>
      </c>
    </row>
    <row r="87" spans="1:9" x14ac:dyDescent="0.25">
      <c r="A87" s="80" t="s">
        <v>285</v>
      </c>
      <c r="B87" s="80"/>
      <c r="C87" s="80"/>
      <c r="D87" s="80"/>
      <c r="E87" s="80"/>
      <c r="F87" s="80"/>
      <c r="G87" s="80"/>
      <c r="H87" s="80"/>
      <c r="I87" s="80"/>
    </row>
    <row r="88" spans="1:9" x14ac:dyDescent="0.25">
      <c r="A88" s="80" t="s">
        <v>286</v>
      </c>
      <c r="B88" s="80">
        <v>-7</v>
      </c>
      <c r="C88" s="80">
        <v>0</v>
      </c>
      <c r="D88" s="80">
        <v>0</v>
      </c>
      <c r="E88" s="86">
        <f>+$B$3</f>
        <v>1333</v>
      </c>
      <c r="F88" s="86">
        <f t="shared" ref="F88:F95" si="2">+$B$3</f>
        <v>1333</v>
      </c>
      <c r="G88" s="80">
        <v>10</v>
      </c>
      <c r="H88" s="80">
        <v>0</v>
      </c>
      <c r="I88" s="80"/>
    </row>
    <row r="89" spans="1:9" x14ac:dyDescent="0.25">
      <c r="A89" s="80" t="s">
        <v>287</v>
      </c>
      <c r="B89" s="80">
        <v>-7</v>
      </c>
      <c r="C89" s="80">
        <v>0</v>
      </c>
      <c r="D89" s="80">
        <v>0</v>
      </c>
      <c r="E89" s="86">
        <f>+$B$3</f>
        <v>1333</v>
      </c>
      <c r="F89" s="86">
        <f t="shared" si="2"/>
        <v>1333</v>
      </c>
      <c r="G89" s="80">
        <v>10</v>
      </c>
      <c r="H89" s="80">
        <v>0</v>
      </c>
      <c r="I89" s="80"/>
    </row>
    <row r="90" spans="1:9" x14ac:dyDescent="0.25">
      <c r="A90" s="80" t="s">
        <v>288</v>
      </c>
      <c r="B90" s="80">
        <v>-30</v>
      </c>
      <c r="C90" s="80">
        <v>0</v>
      </c>
      <c r="D90" s="80">
        <v>0</v>
      </c>
      <c r="E90" s="86">
        <f t="shared" ref="E90:E95" si="3">+$B$3</f>
        <v>1333</v>
      </c>
      <c r="F90" s="86">
        <f t="shared" si="2"/>
        <v>1333</v>
      </c>
      <c r="G90" s="80">
        <v>10</v>
      </c>
      <c r="H90" s="80">
        <v>0</v>
      </c>
      <c r="I90" s="80"/>
    </row>
    <row r="91" spans="1:9" x14ac:dyDescent="0.25">
      <c r="A91" s="80" t="s">
        <v>289</v>
      </c>
      <c r="B91" s="80">
        <v>-30</v>
      </c>
      <c r="C91" s="80">
        <v>0</v>
      </c>
      <c r="D91" s="80">
        <v>0</v>
      </c>
      <c r="E91" s="86">
        <f>+$B$3</f>
        <v>1333</v>
      </c>
      <c r="F91" s="86">
        <f t="shared" si="2"/>
        <v>1333</v>
      </c>
      <c r="G91" s="80">
        <v>10</v>
      </c>
      <c r="H91" s="80">
        <v>0</v>
      </c>
      <c r="I91" s="80"/>
    </row>
    <row r="92" spans="1:9" x14ac:dyDescent="0.25">
      <c r="A92" s="80" t="s">
        <v>290</v>
      </c>
      <c r="B92" s="80">
        <v>-50</v>
      </c>
      <c r="C92" s="80">
        <v>0</v>
      </c>
      <c r="D92" s="80">
        <v>0</v>
      </c>
      <c r="E92" s="86">
        <f t="shared" si="3"/>
        <v>1333</v>
      </c>
      <c r="F92" s="86">
        <f t="shared" si="2"/>
        <v>1333</v>
      </c>
      <c r="G92" s="80">
        <v>10</v>
      </c>
      <c r="H92" s="80">
        <v>0</v>
      </c>
      <c r="I92" s="80"/>
    </row>
    <row r="93" spans="1:9" x14ac:dyDescent="0.25">
      <c r="A93" s="80" t="s">
        <v>291</v>
      </c>
      <c r="B93" s="80">
        <v>0</v>
      </c>
      <c r="C93" s="80">
        <v>0</v>
      </c>
      <c r="D93" s="80">
        <v>0</v>
      </c>
      <c r="E93" s="86">
        <f t="shared" si="3"/>
        <v>1333</v>
      </c>
      <c r="F93" s="86">
        <f t="shared" si="2"/>
        <v>1333</v>
      </c>
      <c r="G93" s="80">
        <v>10</v>
      </c>
      <c r="H93" s="80">
        <v>0</v>
      </c>
      <c r="I93" s="80"/>
    </row>
    <row r="94" spans="1:9" x14ac:dyDescent="0.25">
      <c r="A94" s="80" t="s">
        <v>292</v>
      </c>
      <c r="B94" s="80">
        <v>0</v>
      </c>
      <c r="C94" s="80">
        <v>0</v>
      </c>
      <c r="D94" s="80">
        <v>0</v>
      </c>
      <c r="E94" s="86">
        <f t="shared" si="3"/>
        <v>1333</v>
      </c>
      <c r="F94" s="86">
        <f t="shared" si="2"/>
        <v>1333</v>
      </c>
      <c r="G94" s="80">
        <v>10</v>
      </c>
      <c r="H94" s="80">
        <v>0</v>
      </c>
      <c r="I94" s="80"/>
    </row>
    <row r="95" spans="1:9" x14ac:dyDescent="0.25">
      <c r="A95" s="80" t="s">
        <v>293</v>
      </c>
      <c r="B95" s="80">
        <v>0</v>
      </c>
      <c r="C95" s="80">
        <v>0</v>
      </c>
      <c r="D95" s="80">
        <v>0</v>
      </c>
      <c r="E95" s="86">
        <f t="shared" si="3"/>
        <v>1333</v>
      </c>
      <c r="F95" s="86">
        <f t="shared" si="2"/>
        <v>1333</v>
      </c>
      <c r="G95" s="80">
        <v>10</v>
      </c>
      <c r="H95" s="80">
        <v>0</v>
      </c>
      <c r="I95" s="80"/>
    </row>
    <row r="97" spans="1:9" x14ac:dyDescent="0.25">
      <c r="A97" t="s">
        <v>129</v>
      </c>
    </row>
    <row r="98" spans="1:9" x14ac:dyDescent="0.25">
      <c r="A98" t="s">
        <v>226</v>
      </c>
      <c r="B98">
        <v>0</v>
      </c>
      <c r="C98">
        <v>1</v>
      </c>
      <c r="D98">
        <v>2</v>
      </c>
      <c r="E98">
        <v>3</v>
      </c>
      <c r="F98">
        <v>4</v>
      </c>
      <c r="G98">
        <v>5</v>
      </c>
      <c r="H98">
        <v>6</v>
      </c>
      <c r="I98">
        <v>7</v>
      </c>
    </row>
    <row r="99" spans="1:9" x14ac:dyDescent="0.25">
      <c r="A99" t="s">
        <v>130</v>
      </c>
      <c r="B99">
        <v>3</v>
      </c>
      <c r="C99">
        <v>3</v>
      </c>
      <c r="D99">
        <v>3</v>
      </c>
      <c r="E99">
        <v>3</v>
      </c>
      <c r="F99">
        <v>0</v>
      </c>
      <c r="G99">
        <v>2</v>
      </c>
      <c r="H99">
        <v>2</v>
      </c>
      <c r="I99">
        <v>3</v>
      </c>
    </row>
    <row r="100" spans="1:9" x14ac:dyDescent="0.25">
      <c r="A100" t="s">
        <v>131</v>
      </c>
      <c r="B100" s="22">
        <f>+INDEX(Sheet1!$L$37:$L$44,COLUMN()-COLUMN($B$102)+1)</f>
        <v>2388.75</v>
      </c>
      <c r="C100" s="22">
        <f>+INDEX(Sheet1!$L$37:$L$44,COLUMN()-COLUMN($B$102)+1)</f>
        <v>3241.875</v>
      </c>
      <c r="D100" s="22">
        <f>+INDEX(Sheet1!$L$37:$L$44,COLUMN()-COLUMN($B$102)+1)</f>
        <v>-275.93269230769238</v>
      </c>
      <c r="E100" s="22">
        <f>+INDEX(Sheet1!$L$37:$L$44,COLUMN()-COLUMN($B$102)+1)</f>
        <v>1532</v>
      </c>
      <c r="F100" s="22">
        <v>550</v>
      </c>
      <c r="G100" s="22">
        <f>+INDEX(Sheet1!$L$37:$L$44,COLUMN()-COLUMN($B$102)+1)</f>
        <v>650</v>
      </c>
      <c r="H100" s="22">
        <f>+INDEX(Sheet1!$L$37:$L$44,COLUMN()-COLUMN($B$102)+1)</f>
        <v>650</v>
      </c>
      <c r="I100" s="22">
        <f>+INDEX(Sheet1!$L$37:$L$44,COLUMN()-COLUMN($B$102)+1)</f>
        <v>2080</v>
      </c>
    </row>
    <row r="101" spans="1:9" x14ac:dyDescent="0.25">
      <c r="A101" t="s">
        <v>132</v>
      </c>
      <c r="B101" s="22">
        <f>+INDEX(Sheet1!$M$37:$M$44,COLUMN()-COLUMN($B$102)+1)</f>
        <v>10</v>
      </c>
      <c r="C101" s="22">
        <f>+INDEX(Sheet1!$M$37:$M$44,COLUMN()-COLUMN($B$102)+1)</f>
        <v>10</v>
      </c>
      <c r="D101" s="22">
        <f>+INDEX(Sheet1!$M$37:$M$44,COLUMN()-COLUMN($B$102)+1)</f>
        <v>10</v>
      </c>
      <c r="E101" s="22">
        <f>+INDEX(Sheet1!$M$37:$M$44,COLUMN()-COLUMN($B$102)+1)</f>
        <v>10</v>
      </c>
      <c r="F101" s="22">
        <f>+INDEX(Sheet1!$M$37:$M$44,COLUMN()-COLUMN($B$102)+1)</f>
        <v>20</v>
      </c>
      <c r="G101" s="22">
        <f>+INDEX(Sheet1!$M$37:$M$44,COLUMN()-COLUMN($B$102)+1)</f>
        <v>-10</v>
      </c>
      <c r="H101" s="22">
        <f>+INDEX(Sheet1!$M$37:$M$44,COLUMN()-COLUMN($B$102)+1)</f>
        <v>-10</v>
      </c>
      <c r="I101" s="22">
        <f>+INDEX(Sheet1!$M$37:$M$44,COLUMN()-COLUMN($B$102)+1)</f>
        <v>100</v>
      </c>
    </row>
    <row r="102" spans="1:9" x14ac:dyDescent="0.25">
      <c r="A102" t="s">
        <v>133</v>
      </c>
      <c r="B102" s="22">
        <f>+INDEX(Sheet1!$N$37:$N$44,COLUMN()-COLUMN($B$102)+1)</f>
        <v>641.55000000000007</v>
      </c>
      <c r="C102" s="22">
        <f>+INDEX(Sheet1!$N$37:$N$44,COLUMN()-COLUMN($B$102)+1)</f>
        <v>2482.0250000000001</v>
      </c>
      <c r="D102" s="22">
        <f>+INDEX(Sheet1!$N$37:$N$44,COLUMN()-COLUMN($B$102)+1)</f>
        <v>998.72499999999945</v>
      </c>
      <c r="E102" s="22">
        <f>+INDEX(Sheet1!$N$37:$N$44,COLUMN()-COLUMN($B$102)+1)</f>
        <v>341.25</v>
      </c>
      <c r="F102" s="22">
        <f>+INDEX(Sheet1!$N$37:$N$44,COLUMN()-COLUMN($B$102)+1)</f>
        <v>0</v>
      </c>
      <c r="G102" s="22">
        <f>+INDEX(Sheet1!$N$37:$N$44,COLUMN()-COLUMN($B$102)+1)</f>
        <v>0</v>
      </c>
      <c r="H102" s="22">
        <f>+INDEX(Sheet1!$N$37:$N$44,COLUMN()-COLUMN($B$102)+1)</f>
        <v>0</v>
      </c>
      <c r="I102" s="22">
        <f>+INDEX(Sheet1!$N$37:$N$44,COLUMN()-COLUMN($B$102)+1)</f>
        <v>0</v>
      </c>
    </row>
    <row r="103" spans="1:9" x14ac:dyDescent="0.25">
      <c r="A103" t="s">
        <v>134</v>
      </c>
      <c r="B103" s="22">
        <f>+INDEX(Sheet1!$O$37:$O$44,COLUMN()-COLUMN($B$102)+1)</f>
        <v>-30</v>
      </c>
      <c r="C103" s="22">
        <f>+INDEX(Sheet1!$O$37:$O$44,COLUMN()-COLUMN($B$102)+1)</f>
        <v>30</v>
      </c>
      <c r="D103" s="22">
        <f>+INDEX(Sheet1!$O$37:$O$44,COLUMN()-COLUMN($B$102)+1)</f>
        <v>0</v>
      </c>
      <c r="E103" s="22">
        <f>+INDEX(Sheet1!$O$37:$O$44,COLUMN()-COLUMN($B$102)+1)</f>
        <v>45</v>
      </c>
      <c r="F103" s="22">
        <f>+INDEX(Sheet1!$O$37:$O$44,COLUMN()-COLUMN($B$102)+1)</f>
        <v>0</v>
      </c>
      <c r="G103" s="22">
        <f>+INDEX(Sheet1!$O$37:$O$44,COLUMN()-COLUMN($B$102)+1)</f>
        <v>0</v>
      </c>
      <c r="H103" s="22">
        <f>+INDEX(Sheet1!$O$37:$O$44,COLUMN()-COLUMN($B$102)+1)</f>
        <v>0</v>
      </c>
      <c r="I103" s="22">
        <f>+INDEX(Sheet1!$O$37:$O$44,COLUMN()-COLUMN($B$102)+1)</f>
        <v>0</v>
      </c>
    </row>
    <row r="104" spans="1:9" x14ac:dyDescent="0.25">
      <c r="A104" t="s">
        <v>135</v>
      </c>
      <c r="B104" s="22">
        <f>+INDEX(Sheet1!$P$37:$P$44,COLUMN()-COLUMN($B$102)+1)</f>
        <v>10</v>
      </c>
      <c r="C104" s="22">
        <f>+INDEX(Sheet1!$P$37:$P$44,COLUMN()-COLUMN($B$102)+1)</f>
        <v>10</v>
      </c>
      <c r="D104" s="22">
        <f>+INDEX(Sheet1!$P$37:$P$44,COLUMN()-COLUMN($B$102)+1)</f>
        <v>10</v>
      </c>
      <c r="E104" s="22">
        <f>+INDEX(Sheet1!$P$37:$P$44,COLUMN()-COLUMN($B$102)+1)</f>
        <v>10</v>
      </c>
      <c r="F104" s="22">
        <f>+INDEX(Sheet1!$P$37:$P$44,COLUMN()-COLUMN($B$102)+1)</f>
        <v>30</v>
      </c>
      <c r="G104" s="22">
        <f>+INDEX(Sheet1!$P$37:$P$44,COLUMN()-COLUMN($B$102)+1)</f>
        <v>30</v>
      </c>
      <c r="H104" s="22">
        <f>+INDEX(Sheet1!$P$37:$P$44,COLUMN()-COLUMN($B$102)+1)</f>
        <v>30</v>
      </c>
      <c r="I104" s="22">
        <f>+INDEX(Sheet1!$P$37:$P$44,COLUMN()-COLUMN($B$102)+1)</f>
        <v>100</v>
      </c>
    </row>
    <row r="105" spans="1:9" x14ac:dyDescent="0.25">
      <c r="A105" t="s">
        <v>299</v>
      </c>
      <c r="B105" s="22">
        <v>60</v>
      </c>
      <c r="C105" s="22">
        <v>60</v>
      </c>
      <c r="D105" s="22">
        <v>60</v>
      </c>
      <c r="E105" s="22">
        <v>60</v>
      </c>
      <c r="F105" s="22">
        <v>0</v>
      </c>
      <c r="G105" s="22">
        <v>0</v>
      </c>
      <c r="H105" s="22">
        <v>0</v>
      </c>
      <c r="I105" s="22">
        <v>0</v>
      </c>
    </row>
    <row r="107" spans="1:9" x14ac:dyDescent="0.25">
      <c r="A107" t="s">
        <v>136</v>
      </c>
    </row>
    <row r="108" spans="1:9" x14ac:dyDescent="0.25">
      <c r="A108" t="s">
        <v>226</v>
      </c>
      <c r="B108">
        <v>0</v>
      </c>
      <c r="C108">
        <v>1</v>
      </c>
      <c r="D108">
        <v>2</v>
      </c>
      <c r="E108">
        <v>3</v>
      </c>
      <c r="F108">
        <v>4</v>
      </c>
      <c r="G108">
        <v>5</v>
      </c>
      <c r="H108">
        <v>6</v>
      </c>
      <c r="I108">
        <v>7</v>
      </c>
    </row>
    <row r="109" spans="1:9" x14ac:dyDescent="0.25">
      <c r="A109" t="s">
        <v>137</v>
      </c>
      <c r="B109" s="22">
        <f>+INDEX(Sheet1!$Q$37:$Q$44,COLUMN()-COLUMN($B$102)+1)</f>
        <v>-30</v>
      </c>
      <c r="C109" s="22">
        <f>+INDEX(Sheet1!$Q$37:$Q$44,COLUMN()-COLUMN($B$102)+1)</f>
        <v>30</v>
      </c>
      <c r="D109" s="22">
        <f>+INDEX(Sheet1!$Q$37:$Q$44,COLUMN()-COLUMN($B$102)+1)</f>
        <v>0</v>
      </c>
      <c r="E109" s="22">
        <f>+INDEX(Sheet1!$Q$37:$Q$44,COLUMN()-COLUMN($B$102)+1)</f>
        <v>45</v>
      </c>
      <c r="F109" s="22">
        <f>+INDEX(Sheet1!$Q$37:$Q$44,COLUMN()-COLUMN($B$102)+1)</f>
        <v>0</v>
      </c>
      <c r="G109" s="22">
        <f>+INDEX(Sheet1!$Q$37:$Q$44,COLUMN()-COLUMN($B$102)+1)</f>
        <v>0</v>
      </c>
      <c r="H109" s="22">
        <f>+INDEX(Sheet1!$Q$37:$Q$44,COLUMN()-COLUMN($B$102)+1)</f>
        <v>40</v>
      </c>
      <c r="I109" s="22">
        <f>+INDEX(Sheet1!$Q$37:$Q$44,COLUMN()-COLUMN($B$102)+1)</f>
        <v>0</v>
      </c>
    </row>
    <row r="110" spans="1:9" x14ac:dyDescent="0.25">
      <c r="A110" t="s">
        <v>138</v>
      </c>
      <c r="B110" s="22">
        <f>+INDEX(Sheet1!$R$37:$R$44,COLUMN()-COLUMN($B$102)+1)</f>
        <v>10</v>
      </c>
      <c r="C110" s="22">
        <f>+INDEX(Sheet1!$R$37:$R$44,COLUMN()-COLUMN($B$102)+1)</f>
        <v>10</v>
      </c>
      <c r="D110" s="22">
        <f>+INDEX(Sheet1!$R$37:$R$44,COLUMN()-COLUMN($B$102)+1)</f>
        <v>10</v>
      </c>
      <c r="E110" s="22">
        <f>+INDEX(Sheet1!$R$37:$R$44,COLUMN()-COLUMN($B$102)+1)</f>
        <v>10</v>
      </c>
      <c r="F110" s="22">
        <f>+INDEX(Sheet1!$R$37:$R$44,COLUMN()-COLUMN($B$102)+1)</f>
        <v>30</v>
      </c>
      <c r="G110" s="22">
        <f>+INDEX(Sheet1!$R$37:$R$44,COLUMN()-COLUMN($B$102)+1)</f>
        <v>30</v>
      </c>
      <c r="H110" s="22">
        <f>+INDEX(Sheet1!$R$37:$R$44,COLUMN()-COLUMN($B$102)+1)</f>
        <v>30</v>
      </c>
      <c r="I110" s="22">
        <f>+INDEX(Sheet1!$R$37:$R$44,COLUMN()-COLUMN($B$102)+1)</f>
        <v>100</v>
      </c>
    </row>
    <row r="112" spans="1:9" x14ac:dyDescent="0.25">
      <c r="A112" t="s">
        <v>139</v>
      </c>
    </row>
    <row r="113" spans="1:1" x14ac:dyDescent="0.25">
      <c r="A113" t="s">
        <v>105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P84"/>
  <sheetViews>
    <sheetView zoomScale="85" zoomScaleNormal="85" workbookViewId="0">
      <selection activeCell="M28" sqref="M28"/>
    </sheetView>
  </sheetViews>
  <sheetFormatPr defaultRowHeight="15" x14ac:dyDescent="0.25"/>
  <cols>
    <col min="1" max="1" width="18.5703125" customWidth="1"/>
    <col min="2" max="2" width="11.42578125" customWidth="1"/>
  </cols>
  <sheetData>
    <row r="3" spans="1:6" x14ac:dyDescent="0.25">
      <c r="A3" s="16" t="s">
        <v>78</v>
      </c>
      <c r="B3" s="17">
        <v>1333</v>
      </c>
      <c r="D3" t="s">
        <v>79</v>
      </c>
      <c r="F3" t="s">
        <v>80</v>
      </c>
    </row>
    <row r="4" spans="1:6" x14ac:dyDescent="0.25">
      <c r="A4" s="18"/>
      <c r="B4" s="19"/>
    </row>
    <row r="5" spans="1:6" x14ac:dyDescent="0.25">
      <c r="B5">
        <v>7000</v>
      </c>
    </row>
    <row r="8" spans="1:6" x14ac:dyDescent="0.25">
      <c r="A8" t="s">
        <v>83</v>
      </c>
    </row>
    <row r="9" spans="1:6" x14ac:dyDescent="0.25">
      <c r="A9" t="s">
        <v>144</v>
      </c>
    </row>
    <row r="10" spans="1:6" x14ac:dyDescent="0.25">
      <c r="A10" t="s">
        <v>85</v>
      </c>
    </row>
    <row r="11" spans="1:6" x14ac:dyDescent="0.25">
      <c r="A11" t="s">
        <v>86</v>
      </c>
    </row>
    <row r="12" spans="1:6" x14ac:dyDescent="0.25">
      <c r="A12" t="s">
        <v>87</v>
      </c>
      <c r="B12" t="s">
        <v>145</v>
      </c>
    </row>
    <row r="13" spans="1:6" x14ac:dyDescent="0.25">
      <c r="A13" t="s">
        <v>89</v>
      </c>
      <c r="B13">
        <v>10</v>
      </c>
    </row>
    <row r="14" spans="1:6" x14ac:dyDescent="0.25">
      <c r="A14" t="s">
        <v>146</v>
      </c>
      <c r="B14" t="s">
        <v>147</v>
      </c>
    </row>
    <row r="15" spans="1:6" x14ac:dyDescent="0.25">
      <c r="A15" t="s">
        <v>90</v>
      </c>
      <c r="B15">
        <v>0</v>
      </c>
    </row>
    <row r="16" spans="1:6" x14ac:dyDescent="0.25">
      <c r="A16" t="s">
        <v>91</v>
      </c>
      <c r="B16">
        <v>10</v>
      </c>
    </row>
    <row r="17" spans="1:9" x14ac:dyDescent="0.25">
      <c r="A17" t="s">
        <v>92</v>
      </c>
      <c r="B17">
        <v>300</v>
      </c>
    </row>
    <row r="18" spans="1:9" x14ac:dyDescent="0.25">
      <c r="A18" t="s">
        <v>148</v>
      </c>
      <c r="B18">
        <v>500</v>
      </c>
    </row>
    <row r="19" spans="1:9" x14ac:dyDescent="0.25">
      <c r="A19" t="s">
        <v>149</v>
      </c>
      <c r="B19">
        <v>500</v>
      </c>
    </row>
    <row r="20" spans="1:9" x14ac:dyDescent="0.25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 x14ac:dyDescent="0.25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 x14ac:dyDescent="0.25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 x14ac:dyDescent="0.25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 x14ac:dyDescent="0.25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8" spans="1:9" x14ac:dyDescent="0.25">
      <c r="A28" t="s">
        <v>256</v>
      </c>
    </row>
    <row r="29" spans="1:9" x14ac:dyDescent="0.25">
      <c r="A29" t="s">
        <v>257</v>
      </c>
    </row>
    <row r="30" spans="1:9" x14ac:dyDescent="0.25">
      <c r="A30" t="s">
        <v>258</v>
      </c>
    </row>
    <row r="31" spans="1:9" x14ac:dyDescent="0.25">
      <c r="A31" t="s">
        <v>259</v>
      </c>
    </row>
    <row r="32" spans="1:9" x14ac:dyDescent="0.25">
      <c r="A32" t="s">
        <v>260</v>
      </c>
    </row>
    <row r="34" spans="1:9" x14ac:dyDescent="0.25">
      <c r="A34" t="s">
        <v>102</v>
      </c>
    </row>
    <row r="35" spans="1:9" x14ac:dyDescent="0.25">
      <c r="A35" t="s">
        <v>103</v>
      </c>
      <c r="B35">
        <v>8</v>
      </c>
      <c r="C35" t="s">
        <v>104</v>
      </c>
    </row>
    <row r="36" spans="1:9" x14ac:dyDescent="0.25">
      <c r="A36" t="s">
        <v>250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7" spans="1:9" x14ac:dyDescent="0.25">
      <c r="A37" t="s">
        <v>238</v>
      </c>
      <c r="B37">
        <v>100</v>
      </c>
      <c r="C37">
        <v>100</v>
      </c>
      <c r="D37">
        <v>100</v>
      </c>
      <c r="E37">
        <v>100</v>
      </c>
      <c r="F37">
        <v>100</v>
      </c>
      <c r="G37">
        <v>100</v>
      </c>
      <c r="H37">
        <v>100</v>
      </c>
      <c r="I37">
        <v>100</v>
      </c>
    </row>
    <row r="38" spans="1:9" x14ac:dyDescent="0.25">
      <c r="A38" t="s">
        <v>105</v>
      </c>
    </row>
    <row r="39" spans="1:9" x14ac:dyDescent="0.25">
      <c r="A39" t="s">
        <v>227</v>
      </c>
      <c r="B39">
        <v>0</v>
      </c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7</v>
      </c>
    </row>
    <row r="40" spans="1:9" x14ac:dyDescent="0.25">
      <c r="A40" t="s">
        <v>216</v>
      </c>
      <c r="B40">
        <v>0</v>
      </c>
      <c r="C40">
        <v>1</v>
      </c>
      <c r="D40">
        <v>2</v>
      </c>
      <c r="E40">
        <v>3</v>
      </c>
      <c r="F40">
        <v>4</v>
      </c>
      <c r="G40">
        <v>5</v>
      </c>
      <c r="H40">
        <v>6</v>
      </c>
      <c r="I40">
        <v>7</v>
      </c>
    </row>
    <row r="42" spans="1:9" x14ac:dyDescent="0.25">
      <c r="A42" t="s">
        <v>237</v>
      </c>
      <c r="B42" s="40">
        <f>+INDEX(Sheet1!$K$48:$K$56,COLUMN()-COLUMN($B$76)+1)</f>
        <v>-20.04</v>
      </c>
      <c r="C42" s="40">
        <f>+INDEX(Sheet1!$K$48:$K$56,COLUMN()-COLUMN($B$76)+1)</f>
        <v>-2.0555555555555554</v>
      </c>
      <c r="D42" s="40">
        <f>+INDEX(Sheet1!$K$48:$K$56,COLUMN()-COLUMN($B$76)+1)</f>
        <v>-2.4333333333333331</v>
      </c>
      <c r="E42" s="40">
        <f>+INDEX(Sheet1!$K$48:$K$56,COLUMN()-COLUMN($B$76)+1)</f>
        <v>-2.0555555555555554</v>
      </c>
      <c r="F42" s="40">
        <f>+INDEX(Sheet1!$K$48:$K$56,COLUMN()-COLUMN($B$76)+1)</f>
        <v>-2.5555555555555554</v>
      </c>
      <c r="G42" s="40">
        <f>+INDEX(Sheet1!$K$48:$K$56,COLUMN()-COLUMN($B$76)+1)</f>
        <v>-1.9777777777777779</v>
      </c>
      <c r="H42" s="40">
        <f>+INDEX(Sheet1!$K$48:$K$56,COLUMN()-COLUMN($B$76)+1)</f>
        <v>-2.5722222222222224</v>
      </c>
      <c r="I42" s="40">
        <f>+INDEX(Sheet1!$K$48:$K$56,COLUMN()-COLUMN($B$76)+1)</f>
        <v>-1.9962962962962962</v>
      </c>
    </row>
    <row r="43" spans="1:9" x14ac:dyDescent="0.25">
      <c r="A43" t="s">
        <v>224</v>
      </c>
      <c r="B43" s="40">
        <f>+INDEX(Sheet1!$D$48:$D$56,COLUMN()-COLUMN($B$76)+1)</f>
        <v>-174.13173652694613</v>
      </c>
      <c r="C43" s="40">
        <f>+INDEX(Sheet1!$D$48:$D$56,COLUMN()-COLUMN($B$76)+1)</f>
        <v>-114.32432432432434</v>
      </c>
      <c r="D43" s="40">
        <f>+INDEX(Sheet1!$D$48:$D$56,COLUMN()-COLUMN($B$76)+1)</f>
        <v>-192.32876712328769</v>
      </c>
      <c r="E43" s="40">
        <f>+INDEX(Sheet1!$D$48:$D$56,COLUMN()-COLUMN($B$76)+1)</f>
        <v>-114.32432432432434</v>
      </c>
      <c r="F43" s="40">
        <f>+INDEX(Sheet1!$D$48:$D$56,COLUMN()-COLUMN($B$76)+1)</f>
        <v>-183.91304347826087</v>
      </c>
      <c r="G43" s="40">
        <f>+INDEX(Sheet1!$D$48:$D$56,COLUMN()-COLUMN($B$76)+1)</f>
        <v>-115.28089887640449</v>
      </c>
      <c r="H43" s="40">
        <f>+INDEX(Sheet1!$D$48:$D$56,COLUMN()-COLUMN($B$76)+1)</f>
        <v>-182.33261339092871</v>
      </c>
      <c r="I43" s="40">
        <f>+INDEX(Sheet1!$D$48:$D$56,COLUMN()-COLUMN($B$76)+1)</f>
        <v>-350.14842300556586</v>
      </c>
    </row>
    <row r="45" spans="1:9" x14ac:dyDescent="0.25">
      <c r="A45" t="s">
        <v>106</v>
      </c>
      <c r="B45">
        <v>0</v>
      </c>
    </row>
    <row r="48" spans="1:9" x14ac:dyDescent="0.25">
      <c r="A48" t="s">
        <v>151</v>
      </c>
    </row>
    <row r="49" spans="1:9" x14ac:dyDescent="0.25">
      <c r="A49" t="s">
        <v>240</v>
      </c>
      <c r="B49">
        <v>8</v>
      </c>
      <c r="C49">
        <v>8</v>
      </c>
      <c r="D49">
        <v>8</v>
      </c>
      <c r="E49">
        <v>8</v>
      </c>
      <c r="F49">
        <v>8</v>
      </c>
      <c r="G49">
        <v>8</v>
      </c>
      <c r="H49">
        <v>8</v>
      </c>
      <c r="I49">
        <v>8</v>
      </c>
    </row>
    <row r="51" spans="1:9" x14ac:dyDescent="0.25">
      <c r="A51" t="s">
        <v>152</v>
      </c>
    </row>
    <row r="52" spans="1:9" x14ac:dyDescent="0.25">
      <c r="A52" t="s">
        <v>241</v>
      </c>
      <c r="B52">
        <v>0</v>
      </c>
      <c r="C52">
        <v>1</v>
      </c>
      <c r="D52">
        <v>2</v>
      </c>
      <c r="E52">
        <v>3</v>
      </c>
      <c r="F52">
        <v>4</v>
      </c>
      <c r="G52">
        <v>5</v>
      </c>
      <c r="H52">
        <v>6</v>
      </c>
      <c r="I52">
        <v>7</v>
      </c>
    </row>
    <row r="53" spans="1:9" x14ac:dyDescent="0.25">
      <c r="A53" t="s">
        <v>233</v>
      </c>
      <c r="B53" s="22">
        <f>+INDEX([1]Sheet1!$H$48:$H$77,COLUMN()-COLUMN($B$76)+1)</f>
        <v>90</v>
      </c>
      <c r="C53" s="22">
        <f>+INDEX([1]Sheet1!$H$48:$H$77,COLUMN()-COLUMN($B$76)+1)</f>
        <v>90</v>
      </c>
      <c r="D53" s="22">
        <f>+INDEX([1]Sheet1!$H$48:$H$77,COLUMN()-COLUMN($B$76)+1)</f>
        <v>180</v>
      </c>
      <c r="E53" s="22">
        <f>+INDEX([1]Sheet1!$H$48:$H$77,COLUMN()-COLUMN($B$76)+1)</f>
        <v>90</v>
      </c>
      <c r="F53" s="22">
        <f>+INDEX([1]Sheet1!$H$48:$H$77,COLUMN()-COLUMN($B$76)+1)</f>
        <v>180</v>
      </c>
      <c r="G53" s="22">
        <f>+INDEX([1]Sheet1!$H$48:$H$77,COLUMN()-COLUMN($B$76)+1)</f>
        <v>90</v>
      </c>
      <c r="H53" s="22">
        <f>+INDEX([1]Sheet1!$H$48:$H$77,COLUMN()-COLUMN($B$76)+1)</f>
        <v>180</v>
      </c>
      <c r="I53" s="22">
        <f>+INDEX([1]Sheet1!$H$48:$H$77,COLUMN()-COLUMN($B$76)+1)</f>
        <v>270</v>
      </c>
    </row>
    <row r="54" spans="1:9" x14ac:dyDescent="0.25">
      <c r="A54" t="s">
        <v>234</v>
      </c>
      <c r="B54" s="22">
        <f>+INDEX([1]Sheet1!$G$48:$G$77,COLUMN()-COLUMN($B$76)+1)</f>
        <v>-10</v>
      </c>
      <c r="C54" s="22">
        <f>+INDEX([1]Sheet1!$G$48:$G$77,COLUMN()-COLUMN($B$76)+1)</f>
        <v>0</v>
      </c>
      <c r="D54" s="22">
        <f>+INDEX([1]Sheet1!$G$48:$G$77,COLUMN()-COLUMN($B$76)+1)</f>
        <v>0</v>
      </c>
      <c r="E54" s="22">
        <f>+INDEX([1]Sheet1!$G$48:$G$77,COLUMN()-COLUMN($B$76)+1)</f>
        <v>0</v>
      </c>
      <c r="F54" s="22">
        <f>+INDEX([1]Sheet1!$G$48:$G$77,COLUMN()-COLUMN($B$76)+1)</f>
        <v>0</v>
      </c>
      <c r="G54" s="22">
        <f>+INDEX([1]Sheet1!$G$48:$G$77,COLUMN()-COLUMN($B$76)+1)</f>
        <v>0</v>
      </c>
      <c r="H54" s="22">
        <f>+INDEX([1]Sheet1!$G$48:$G$77,COLUMN()-COLUMN($B$76)+1)</f>
        <v>0</v>
      </c>
      <c r="I54" s="22">
        <f>+INDEX([1]Sheet1!$G$48:$G$77,COLUMN()-COLUMN($B$76)+1)</f>
        <v>0</v>
      </c>
    </row>
    <row r="56" spans="1:9" x14ac:dyDescent="0.25">
      <c r="A56" t="s">
        <v>235</v>
      </c>
      <c r="B56">
        <v>485</v>
      </c>
      <c r="C56">
        <v>485</v>
      </c>
      <c r="D56">
        <v>485</v>
      </c>
      <c r="E56">
        <v>485</v>
      </c>
      <c r="F56">
        <v>485</v>
      </c>
      <c r="G56">
        <v>485</v>
      </c>
      <c r="H56">
        <v>485</v>
      </c>
      <c r="I56">
        <v>485</v>
      </c>
    </row>
    <row r="58" spans="1:9" x14ac:dyDescent="0.25">
      <c r="A58" t="s">
        <v>116</v>
      </c>
    </row>
    <row r="59" spans="1:9" x14ac:dyDescent="0.25">
      <c r="A59" t="s">
        <v>108</v>
      </c>
      <c r="B59" t="s">
        <v>109</v>
      </c>
      <c r="C59" t="s">
        <v>110</v>
      </c>
      <c r="D59" t="s">
        <v>111</v>
      </c>
      <c r="E59" t="s">
        <v>112</v>
      </c>
      <c r="F59" t="s">
        <v>113</v>
      </c>
      <c r="G59" t="s">
        <v>114</v>
      </c>
      <c r="H59" t="s">
        <v>115</v>
      </c>
    </row>
    <row r="60" spans="1:9" x14ac:dyDescent="0.25">
      <c r="A60" t="s">
        <v>116</v>
      </c>
    </row>
    <row r="61" spans="1:9" x14ac:dyDescent="0.25">
      <c r="A61" t="s">
        <v>117</v>
      </c>
      <c r="B61">
        <v>8000</v>
      </c>
      <c r="C61">
        <v>32000</v>
      </c>
      <c r="D61">
        <v>5</v>
      </c>
      <c r="E61" s="22">
        <f t="shared" ref="E61:F68" si="0">+$B$3</f>
        <v>1333</v>
      </c>
      <c r="F61" s="22">
        <f t="shared" si="0"/>
        <v>1333</v>
      </c>
      <c r="G61">
        <v>10</v>
      </c>
      <c r="H61">
        <v>0</v>
      </c>
    </row>
    <row r="62" spans="1:9" x14ac:dyDescent="0.25">
      <c r="A62" t="s">
        <v>118</v>
      </c>
      <c r="B62">
        <v>-8000</v>
      </c>
      <c r="C62">
        <v>-32000</v>
      </c>
      <c r="D62">
        <v>-5</v>
      </c>
      <c r="E62" s="22">
        <f t="shared" si="0"/>
        <v>1333</v>
      </c>
      <c r="F62" s="22">
        <f t="shared" si="0"/>
        <v>1333</v>
      </c>
      <c r="G62">
        <v>10</v>
      </c>
      <c r="H62">
        <v>0</v>
      </c>
    </row>
    <row r="63" spans="1:9" x14ac:dyDescent="0.25">
      <c r="A63" t="s">
        <v>119</v>
      </c>
      <c r="B63">
        <v>8000</v>
      </c>
      <c r="C63">
        <v>32000</v>
      </c>
      <c r="D63">
        <v>5</v>
      </c>
      <c r="E63" s="22">
        <f t="shared" si="0"/>
        <v>1333</v>
      </c>
      <c r="F63" s="22">
        <f t="shared" si="0"/>
        <v>1333</v>
      </c>
      <c r="G63">
        <v>10</v>
      </c>
      <c r="H63">
        <v>0</v>
      </c>
    </row>
    <row r="64" spans="1:9" x14ac:dyDescent="0.25">
      <c r="A64" t="s">
        <v>120</v>
      </c>
      <c r="B64">
        <v>-8000</v>
      </c>
      <c r="C64">
        <v>-32000</v>
      </c>
      <c r="D64">
        <v>-5</v>
      </c>
      <c r="E64" s="22">
        <f t="shared" si="0"/>
        <v>1333</v>
      </c>
      <c r="F64" s="22">
        <f>+$B$3</f>
        <v>1333</v>
      </c>
      <c r="G64">
        <v>10</v>
      </c>
      <c r="H64">
        <v>0</v>
      </c>
    </row>
    <row r="65" spans="1:16" x14ac:dyDescent="0.25">
      <c r="A65" t="s">
        <v>121</v>
      </c>
      <c r="B65">
        <v>8000</v>
      </c>
      <c r="C65">
        <v>32000</v>
      </c>
      <c r="D65">
        <v>5</v>
      </c>
      <c r="E65" s="22">
        <f t="shared" si="0"/>
        <v>1333</v>
      </c>
      <c r="F65" s="22">
        <f t="shared" si="0"/>
        <v>1333</v>
      </c>
      <c r="G65">
        <v>10</v>
      </c>
      <c r="H65">
        <v>0</v>
      </c>
    </row>
    <row r="66" spans="1:16" x14ac:dyDescent="0.25">
      <c r="A66" t="s">
        <v>122</v>
      </c>
      <c r="B66">
        <v>-8000</v>
      </c>
      <c r="C66">
        <v>-32000</v>
      </c>
      <c r="D66">
        <v>-5</v>
      </c>
      <c r="E66" s="22">
        <f t="shared" si="0"/>
        <v>1333</v>
      </c>
      <c r="F66" s="22">
        <f t="shared" si="0"/>
        <v>1333</v>
      </c>
      <c r="G66">
        <v>10</v>
      </c>
      <c r="H66">
        <v>0</v>
      </c>
    </row>
    <row r="67" spans="1:16" x14ac:dyDescent="0.25">
      <c r="A67" t="s">
        <v>123</v>
      </c>
      <c r="B67">
        <v>-8000</v>
      </c>
      <c r="C67">
        <v>-32000</v>
      </c>
      <c r="D67">
        <v>-5</v>
      </c>
      <c r="E67" s="22">
        <f t="shared" si="0"/>
        <v>1333</v>
      </c>
      <c r="F67" s="22">
        <f t="shared" si="0"/>
        <v>1333</v>
      </c>
      <c r="G67">
        <v>10</v>
      </c>
      <c r="H67">
        <v>0</v>
      </c>
    </row>
    <row r="68" spans="1:16" x14ac:dyDescent="0.25">
      <c r="A68" t="s">
        <v>124</v>
      </c>
      <c r="B68">
        <v>-120</v>
      </c>
      <c r="C68">
        <v>-1250</v>
      </c>
      <c r="D68">
        <v>0</v>
      </c>
      <c r="E68" s="22">
        <f t="shared" si="0"/>
        <v>1333</v>
      </c>
      <c r="F68" s="22">
        <f t="shared" si="0"/>
        <v>1333</v>
      </c>
      <c r="G68">
        <v>5</v>
      </c>
      <c r="H68">
        <v>0</v>
      </c>
    </row>
    <row r="70" spans="1:16" x14ac:dyDescent="0.25">
      <c r="A70" t="s">
        <v>129</v>
      </c>
      <c r="O70" s="22"/>
      <c r="P70" s="22"/>
    </row>
    <row r="71" spans="1:16" x14ac:dyDescent="0.25">
      <c r="A71" t="s">
        <v>236</v>
      </c>
      <c r="B71">
        <v>0</v>
      </c>
      <c r="C71">
        <v>1</v>
      </c>
      <c r="D71">
        <v>2</v>
      </c>
      <c r="E71">
        <v>3</v>
      </c>
      <c r="F71">
        <v>4</v>
      </c>
      <c r="G71">
        <v>5</v>
      </c>
      <c r="H71">
        <v>6</v>
      </c>
      <c r="I71">
        <v>7</v>
      </c>
      <c r="O71" s="22"/>
      <c r="P71" s="22"/>
    </row>
    <row r="72" spans="1:16" x14ac:dyDescent="0.25">
      <c r="A72" t="s">
        <v>130</v>
      </c>
      <c r="B72">
        <v>3</v>
      </c>
      <c r="C72">
        <v>4</v>
      </c>
      <c r="D72">
        <v>4</v>
      </c>
      <c r="E72">
        <v>4</v>
      </c>
      <c r="F72">
        <v>4</v>
      </c>
      <c r="G72">
        <v>4</v>
      </c>
      <c r="H72">
        <v>4</v>
      </c>
      <c r="I72">
        <v>4</v>
      </c>
      <c r="O72" s="22"/>
      <c r="P72" s="22"/>
    </row>
    <row r="73" spans="1:16" x14ac:dyDescent="0.25">
      <c r="A73" t="s">
        <v>131</v>
      </c>
      <c r="B73" s="22">
        <f>+INDEX(Sheet1!$L$48:$L$56,COLUMN()-COLUMN($B$74)+1)</f>
        <v>3489.6000000000004</v>
      </c>
      <c r="C73" s="22">
        <f>+INDEX(Sheet1!$L$48:$L$56,COLUMN()-COLUMN($B$74)+1)</f>
        <v>235</v>
      </c>
      <c r="D73" s="22">
        <f>+INDEX(Sheet1!$L$48:$L$56,COLUMN()-COLUMN($B$74)+1)</f>
        <v>30</v>
      </c>
      <c r="E73" s="22">
        <f>+INDEX(Sheet1!$L$48:$L$56,COLUMN()-COLUMN($B$74)+1)</f>
        <v>235</v>
      </c>
      <c r="F73" s="22">
        <f>+INDEX(Sheet1!$L$48:$L$56,COLUMN()-COLUMN($B$74)+1)</f>
        <v>10</v>
      </c>
      <c r="G73" s="22">
        <f>+INDEX(Sheet1!$L$48:$L$56,COLUMN()-COLUMN($B$74)+1)</f>
        <v>228</v>
      </c>
      <c r="H73" s="22">
        <f>+INDEX(Sheet1!$L$48:$L$56,COLUMN()-COLUMN($B$74)+1)</f>
        <v>6</v>
      </c>
      <c r="I73" s="22">
        <f>+INDEX(Sheet1!$L$48:$L$56,COLUMN()-COLUMN($B$74)+1)</f>
        <v>699</v>
      </c>
      <c r="O73" s="22"/>
      <c r="P73" s="22"/>
    </row>
    <row r="74" spans="1:16" x14ac:dyDescent="0.25">
      <c r="A74" t="s">
        <v>132</v>
      </c>
      <c r="B74" s="22">
        <f>+INDEX(Sheet1!$M$48:$M$56,COLUMN()-COLUMN($B$74)+1)</f>
        <v>10</v>
      </c>
      <c r="C74" s="22">
        <f>+INDEX(Sheet1!$M$48:$M$56,COLUMN()-COLUMN($B$74)+1)</f>
        <v>10</v>
      </c>
      <c r="D74" s="22">
        <f>+INDEX(Sheet1!$M$48:$M$56,COLUMN()-COLUMN($B$74)+1)</f>
        <v>10</v>
      </c>
      <c r="E74" s="22">
        <f>+INDEX(Sheet1!$M$48:$M$56,COLUMN()-COLUMN($B$74)+1)</f>
        <v>10</v>
      </c>
      <c r="F74" s="22">
        <f>+INDEX(Sheet1!$M$48:$M$56,COLUMN()-COLUMN($B$74)+1)</f>
        <v>10</v>
      </c>
      <c r="G74" s="22">
        <f>+INDEX(Sheet1!$M$48:$M$56,COLUMN()-COLUMN($B$74)+1)</f>
        <v>10</v>
      </c>
      <c r="H74" s="22">
        <f>+INDEX(Sheet1!$M$48:$M$56,COLUMN()-COLUMN($B$74)+1)</f>
        <v>10</v>
      </c>
      <c r="I74" s="22">
        <f>+INDEX(Sheet1!$M$48:$M$56,COLUMN()-COLUMN($B$74)+1)</f>
        <v>10</v>
      </c>
      <c r="O74" s="22"/>
      <c r="P74" s="22"/>
    </row>
    <row r="75" spans="1:16" x14ac:dyDescent="0.25">
      <c r="A75" t="s">
        <v>133</v>
      </c>
      <c r="B75" s="22">
        <f>+INDEX(Sheet1!$N$48:$N$56,COLUMN()-COLUMN($B$74)+1)</f>
        <v>0</v>
      </c>
      <c r="C75" s="22">
        <f>+INDEX(Sheet1!$N$48:$N$56,COLUMN()-COLUMN($B$74)+1)</f>
        <v>6000</v>
      </c>
      <c r="D75" s="22">
        <f>+INDEX(Sheet1!$N$48:$N$56,COLUMN()-COLUMN($B$74)+1)</f>
        <v>6600</v>
      </c>
      <c r="E75" s="22">
        <f>+INDEX(Sheet1!$N$48:$N$56,COLUMN()-COLUMN($B$74)+1)</f>
        <v>6000</v>
      </c>
      <c r="F75" s="22">
        <f>+INDEX(Sheet1!$N$48:$N$56,COLUMN()-COLUMN($B$74)+1)</f>
        <v>6600</v>
      </c>
      <c r="G75" s="22">
        <f>+INDEX(Sheet1!$N$48:$N$56,COLUMN()-COLUMN($B$74)+1)</f>
        <v>6000</v>
      </c>
      <c r="H75" s="22">
        <f>+INDEX(Sheet1!$N$48:$N$56,COLUMN()-COLUMN($B$74)+1)</f>
        <v>-6600</v>
      </c>
      <c r="I75" s="22">
        <f>+INDEX(Sheet1!$N$48:$N$56,COLUMN()-COLUMN($B$74)+1)</f>
        <v>26000</v>
      </c>
      <c r="O75" s="22"/>
      <c r="P75" s="22"/>
    </row>
    <row r="76" spans="1:16" x14ac:dyDescent="0.25">
      <c r="A76" t="s">
        <v>134</v>
      </c>
      <c r="B76" s="22">
        <f>+INDEX(Sheet1!$O$48:$O$56,COLUMN()-COLUMN($B$74)+1)</f>
        <v>0</v>
      </c>
      <c r="C76" s="22">
        <f>+INDEX(Sheet1!$O$48:$O$56,COLUMN()-COLUMN($B$74)+1)</f>
        <v>0</v>
      </c>
      <c r="D76" s="22">
        <f>+INDEX(Sheet1!$O$48:$O$56,COLUMN()-COLUMN($B$74)+1)</f>
        <v>0</v>
      </c>
      <c r="E76" s="22">
        <f>+INDEX(Sheet1!$O$48:$O$56,COLUMN()-COLUMN($B$74)+1)</f>
        <v>0</v>
      </c>
      <c r="F76" s="22">
        <f>+INDEX(Sheet1!$O$48:$O$56,COLUMN()-COLUMN($B$74)+1)</f>
        <v>0</v>
      </c>
      <c r="G76" s="22">
        <f>+INDEX(Sheet1!$O$48:$O$56,COLUMN()-COLUMN($B$74)+1)</f>
        <v>0</v>
      </c>
      <c r="H76" s="22">
        <f>+INDEX(Sheet1!$O$48:$O$56,COLUMN()-COLUMN($B$74)+1)</f>
        <v>0</v>
      </c>
      <c r="I76" s="22">
        <f>+INDEX(Sheet1!$O$48:$O$56,COLUMN()-COLUMN($B$74)+1)</f>
        <v>0</v>
      </c>
      <c r="O76" s="22"/>
      <c r="P76" s="22"/>
    </row>
    <row r="77" spans="1:16" x14ac:dyDescent="0.25">
      <c r="A77" t="s">
        <v>135</v>
      </c>
      <c r="B77" s="22">
        <f>+INDEX(Sheet1!$P$48:$P$56,COLUMN()-COLUMN($B$74)+1)</f>
        <v>100</v>
      </c>
      <c r="C77" s="22">
        <f>+INDEX(Sheet1!$P$48:$P$56,COLUMN()-COLUMN($B$74)+1)</f>
        <v>100</v>
      </c>
      <c r="D77" s="22">
        <f>+INDEX(Sheet1!$P$48:$P$56,COLUMN()-COLUMN($B$74)+1)</f>
        <v>100</v>
      </c>
      <c r="E77" s="22">
        <f>+INDEX(Sheet1!$P$48:$P$56,COLUMN()-COLUMN($B$74)+1)</f>
        <v>100</v>
      </c>
      <c r="F77" s="22">
        <f>+INDEX(Sheet1!$P$48:$P$56,COLUMN()-COLUMN($B$74)+1)</f>
        <v>100</v>
      </c>
      <c r="G77" s="22">
        <f>+INDEX(Sheet1!$P$48:$P$56,COLUMN()-COLUMN($B$74)+1)</f>
        <v>100</v>
      </c>
      <c r="H77" s="22">
        <f>+INDEX(Sheet1!$P$48:$P$56,COLUMN()-COLUMN($B$74)+1)</f>
        <v>100</v>
      </c>
      <c r="I77" s="22">
        <f>+INDEX(Sheet1!$P$48:$P$56,COLUMN()-COLUMN($B$74)+1)</f>
        <v>100</v>
      </c>
      <c r="O77" s="22"/>
      <c r="P77" s="22"/>
    </row>
    <row r="79" spans="1:16" x14ac:dyDescent="0.25">
      <c r="A79" t="s">
        <v>136</v>
      </c>
    </row>
    <row r="80" spans="1:16" x14ac:dyDescent="0.25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 x14ac:dyDescent="0.25">
      <c r="A81" t="s">
        <v>137</v>
      </c>
      <c r="B81" s="22">
        <f>+INDEX(Sheet1!$Q$48:$Q$56,COLUMN()-COLUMN($B$74)+1)</f>
        <v>0</v>
      </c>
      <c r="C81" s="22">
        <f>+INDEX(Sheet1!$Q$48:$Q$56,COLUMN()-COLUMN($B$74)+1)</f>
        <v>0</v>
      </c>
      <c r="D81" s="22">
        <f>+INDEX(Sheet1!$Q$48:$Q$56,COLUMN()-COLUMN($B$74)+1)</f>
        <v>0</v>
      </c>
      <c r="E81" s="22">
        <f>+INDEX(Sheet1!$Q$48:$Q$56,COLUMN()-COLUMN($B$74)+1)</f>
        <v>0</v>
      </c>
      <c r="F81" s="22">
        <f>+INDEX(Sheet1!$Q$48:$Q$56,COLUMN()-COLUMN($B$74)+1)</f>
        <v>0</v>
      </c>
      <c r="G81" s="22">
        <f>+INDEX(Sheet1!$Q$48:$Q$56,COLUMN()-COLUMN($B$74)+1)</f>
        <v>0</v>
      </c>
      <c r="H81" s="22">
        <f>+INDEX(Sheet1!$Q$48:$Q$56,COLUMN()-COLUMN($B$74)+1)</f>
        <v>0</v>
      </c>
      <c r="I81" s="22">
        <f>+INDEX(Sheet1!$Q$48:$Q$56,COLUMN()-COLUMN($B$74)+1)</f>
        <v>0</v>
      </c>
    </row>
    <row r="82" spans="1:9" x14ac:dyDescent="0.25">
      <c r="A82" t="s">
        <v>138</v>
      </c>
      <c r="B82" s="22">
        <f>+INDEX(Sheet1!$R$48:$R$56,COLUMN()-COLUMN($B$74)+1)</f>
        <v>10</v>
      </c>
      <c r="C82" s="22">
        <f>+INDEX(Sheet1!$R$48:$R$56,COLUMN()-COLUMN($B$74)+1)</f>
        <v>10</v>
      </c>
      <c r="D82" s="22">
        <f>+INDEX(Sheet1!$R$48:$R$56,COLUMN()-COLUMN($B$74)+1)</f>
        <v>10</v>
      </c>
      <c r="E82" s="22">
        <f>+INDEX(Sheet1!$R$48:$R$56,COLUMN()-COLUMN($B$74)+1)</f>
        <v>10</v>
      </c>
      <c r="F82" s="22">
        <f>+INDEX(Sheet1!$R$48:$R$56,COLUMN()-COLUMN($B$74)+1)</f>
        <v>10</v>
      </c>
      <c r="G82" s="22">
        <f>+INDEX(Sheet1!$R$48:$R$56,COLUMN()-COLUMN($B$74)+1)</f>
        <v>10</v>
      </c>
      <c r="H82" s="22">
        <f>+INDEX(Sheet1!$R$48:$R$56,COLUMN()-COLUMN($B$74)+1)</f>
        <v>10</v>
      </c>
      <c r="I82" s="22">
        <f>+INDEX(Sheet1!$R$48:$R$56,COLUMN()-COLUMN($B$74)+1)</f>
        <v>10</v>
      </c>
    </row>
    <row r="83" spans="1:9" x14ac:dyDescent="0.25">
      <c r="A83" t="s">
        <v>105</v>
      </c>
    </row>
    <row r="84" spans="1:9" x14ac:dyDescent="0.25">
      <c r="A8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I113"/>
  <sheetViews>
    <sheetView topLeftCell="A71" zoomScale="55" zoomScaleNormal="55" workbookViewId="0">
      <selection activeCell="B71" sqref="B1:I1048576"/>
    </sheetView>
  </sheetViews>
  <sheetFormatPr defaultRowHeight="15" x14ac:dyDescent="0.25"/>
  <cols>
    <col min="1" max="1" width="21" customWidth="1"/>
    <col min="2" max="9" width="16.7109375" customWidth="1"/>
  </cols>
  <sheetData>
    <row r="2" spans="1:6" x14ac:dyDescent="0.25">
      <c r="A2" s="16" t="s">
        <v>78</v>
      </c>
      <c r="B2" s="17">
        <v>1333</v>
      </c>
      <c r="D2" t="s">
        <v>79</v>
      </c>
      <c r="F2" t="s">
        <v>80</v>
      </c>
    </row>
    <row r="3" spans="1:6" x14ac:dyDescent="0.25">
      <c r="A3" s="18"/>
      <c r="B3" s="19"/>
    </row>
    <row r="5" spans="1:6" x14ac:dyDescent="0.25">
      <c r="A5" s="20" t="s">
        <v>81</v>
      </c>
      <c r="B5" s="21">
        <v>7000</v>
      </c>
      <c r="D5" t="s">
        <v>82</v>
      </c>
    </row>
    <row r="9" spans="1:6" x14ac:dyDescent="0.25">
      <c r="A9" t="s">
        <v>83</v>
      </c>
    </row>
    <row r="10" spans="1:6" x14ac:dyDescent="0.25">
      <c r="A10" t="s">
        <v>153</v>
      </c>
    </row>
    <row r="11" spans="1:6" x14ac:dyDescent="0.25">
      <c r="A11" t="s">
        <v>85</v>
      </c>
    </row>
    <row r="12" spans="1:6" x14ac:dyDescent="0.25">
      <c r="A12" t="s">
        <v>86</v>
      </c>
    </row>
    <row r="13" spans="1:6" x14ac:dyDescent="0.25">
      <c r="A13" t="s">
        <v>154</v>
      </c>
      <c r="B13" t="s">
        <v>155</v>
      </c>
    </row>
    <row r="14" spans="1:6" x14ac:dyDescent="0.25">
      <c r="A14" t="s">
        <v>89</v>
      </c>
      <c r="B14">
        <v>2</v>
      </c>
    </row>
    <row r="15" spans="1:6" x14ac:dyDescent="0.25">
      <c r="A15" t="s">
        <v>90</v>
      </c>
      <c r="B15">
        <v>0</v>
      </c>
    </row>
    <row r="16" spans="1:6" x14ac:dyDescent="0.25">
      <c r="A16" t="s">
        <v>91</v>
      </c>
      <c r="B16">
        <v>10</v>
      </c>
    </row>
    <row r="17" spans="1:9" x14ac:dyDescent="0.25">
      <c r="A17" t="s">
        <v>92</v>
      </c>
      <c r="B17">
        <v>300</v>
      </c>
    </row>
    <row r="18" spans="1:9" x14ac:dyDescent="0.25">
      <c r="A18" t="s">
        <v>142</v>
      </c>
      <c r="B18">
        <v>500</v>
      </c>
    </row>
    <row r="19" spans="1:9" x14ac:dyDescent="0.25">
      <c r="A19" t="s">
        <v>143</v>
      </c>
      <c r="B19">
        <v>500</v>
      </c>
    </row>
    <row r="20" spans="1:9" x14ac:dyDescent="0.25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 x14ac:dyDescent="0.25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 x14ac:dyDescent="0.25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 x14ac:dyDescent="0.25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 x14ac:dyDescent="0.25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s="76" t="s">
        <v>294</v>
      </c>
      <c r="B27" s="87">
        <v>0</v>
      </c>
      <c r="C27" s="87">
        <v>0</v>
      </c>
      <c r="D27" s="87">
        <v>0</v>
      </c>
      <c r="E27" s="87">
        <v>0</v>
      </c>
      <c r="F27" s="87">
        <v>0</v>
      </c>
      <c r="G27" s="87">
        <v>0</v>
      </c>
      <c r="H27" s="88">
        <v>0</v>
      </c>
      <c r="I27" s="88">
        <v>0</v>
      </c>
    </row>
    <row r="28" spans="1:9" x14ac:dyDescent="0.25">
      <c r="A28" s="76"/>
      <c r="B28" s="87"/>
      <c r="C28" s="87"/>
      <c r="D28" s="87"/>
      <c r="E28" s="87"/>
      <c r="F28" s="87"/>
      <c r="G28" s="87"/>
      <c r="H28" s="88"/>
      <c r="I28" s="88"/>
    </row>
    <row r="30" spans="1:9" x14ac:dyDescent="0.25">
      <c r="A30" t="s">
        <v>295</v>
      </c>
    </row>
    <row r="31" spans="1:9" x14ac:dyDescent="0.25">
      <c r="A31" t="s">
        <v>264</v>
      </c>
      <c r="B31" t="s">
        <v>263</v>
      </c>
    </row>
    <row r="32" spans="1:9" x14ac:dyDescent="0.25">
      <c r="A32" t="s">
        <v>265</v>
      </c>
      <c r="B32">
        <v>16</v>
      </c>
    </row>
    <row r="33" spans="1:9" x14ac:dyDescent="0.25">
      <c r="A33" t="s">
        <v>266</v>
      </c>
      <c r="B33">
        <v>6</v>
      </c>
    </row>
    <row r="34" spans="1:9" x14ac:dyDescent="0.25">
      <c r="A34" t="s">
        <v>267</v>
      </c>
      <c r="B34">
        <v>2</v>
      </c>
    </row>
    <row r="35" spans="1:9" x14ac:dyDescent="0.25">
      <c r="A35" t="s">
        <v>268</v>
      </c>
      <c r="B35">
        <v>1</v>
      </c>
    </row>
    <row r="38" spans="1:9" x14ac:dyDescent="0.25">
      <c r="A38" s="80" t="s">
        <v>296</v>
      </c>
      <c r="B38" s="80"/>
      <c r="C38" s="80"/>
      <c r="D38" s="80"/>
      <c r="E38" s="80"/>
      <c r="F38" s="80"/>
      <c r="G38" s="80"/>
      <c r="H38" s="80"/>
      <c r="I38" s="80"/>
    </row>
    <row r="39" spans="1:9" x14ac:dyDescent="0.25">
      <c r="A39" s="80" t="s">
        <v>270</v>
      </c>
      <c r="B39" s="80" t="s">
        <v>271</v>
      </c>
      <c r="C39" s="80" t="s">
        <v>272</v>
      </c>
      <c r="D39" s="80"/>
      <c r="E39" s="80"/>
      <c r="F39" s="80"/>
      <c r="G39" s="80"/>
      <c r="H39" s="80"/>
      <c r="I39" s="80"/>
    </row>
    <row r="40" spans="1:9" x14ac:dyDescent="0.25">
      <c r="A40" s="80" t="s">
        <v>265</v>
      </c>
      <c r="B40" s="80">
        <v>16</v>
      </c>
      <c r="C40" s="80"/>
      <c r="D40" s="80"/>
      <c r="E40" s="80"/>
      <c r="F40" s="80"/>
      <c r="G40" s="80"/>
      <c r="H40" s="80"/>
      <c r="I40" s="80"/>
    </row>
    <row r="41" spans="1:9" x14ac:dyDescent="0.25">
      <c r="A41" s="80" t="s">
        <v>273</v>
      </c>
      <c r="B41" s="80">
        <v>6</v>
      </c>
      <c r="C41" s="80"/>
      <c r="D41" s="80"/>
      <c r="E41" s="80"/>
      <c r="F41" s="80"/>
      <c r="G41" s="80"/>
      <c r="H41" s="80"/>
      <c r="I41" s="80"/>
    </row>
    <row r="42" spans="1:9" x14ac:dyDescent="0.25">
      <c r="A42" s="80" t="s">
        <v>274</v>
      </c>
      <c r="B42" s="80">
        <v>2</v>
      </c>
      <c r="C42" s="80"/>
      <c r="D42" s="80"/>
      <c r="E42" s="80"/>
      <c r="F42" s="80"/>
      <c r="G42" s="80"/>
      <c r="H42" s="80"/>
      <c r="I42" s="80"/>
    </row>
    <row r="43" spans="1:9" x14ac:dyDescent="0.25">
      <c r="A43" s="80" t="s">
        <v>275</v>
      </c>
      <c r="B43" s="80">
        <v>1</v>
      </c>
      <c r="C43" s="80"/>
      <c r="D43" s="80"/>
      <c r="E43" s="80"/>
      <c r="F43" s="80"/>
      <c r="G43" s="80"/>
      <c r="H43" s="80"/>
      <c r="I43" s="80"/>
    </row>
    <row r="44" spans="1:9" x14ac:dyDescent="0.25">
      <c r="A44" s="80" t="s">
        <v>276</v>
      </c>
      <c r="B44" s="80">
        <v>1</v>
      </c>
      <c r="C44" s="80"/>
      <c r="D44" s="80"/>
      <c r="E44" s="80"/>
      <c r="F44" s="80"/>
      <c r="G44" s="80"/>
      <c r="H44" s="80"/>
      <c r="I44" s="80"/>
    </row>
    <row r="45" spans="1:9" x14ac:dyDescent="0.25">
      <c r="A45" s="80" t="s">
        <v>277</v>
      </c>
      <c r="B45" s="80" t="s">
        <v>297</v>
      </c>
      <c r="C45" s="80"/>
      <c r="D45" s="80"/>
      <c r="E45" s="80"/>
      <c r="F45" s="80"/>
      <c r="G45" s="80"/>
      <c r="H45" s="80"/>
      <c r="I45" s="80"/>
    </row>
    <row r="46" spans="1:9" x14ac:dyDescent="0.25">
      <c r="A46" s="3"/>
      <c r="B46" s="3"/>
      <c r="C46" s="3"/>
      <c r="D46" s="3"/>
      <c r="E46" s="3"/>
      <c r="F46" s="3"/>
      <c r="G46" s="3"/>
      <c r="H46" s="3"/>
      <c r="I46" s="3"/>
    </row>
    <row r="47" spans="1:9" x14ac:dyDescent="0.25">
      <c r="A47" s="3"/>
      <c r="B47" s="3"/>
      <c r="C47" s="3"/>
      <c r="D47" s="3"/>
      <c r="E47" s="3"/>
      <c r="F47" s="3"/>
      <c r="G47" s="3"/>
      <c r="H47" s="3"/>
      <c r="I47" s="3"/>
    </row>
    <row r="48" spans="1:9" x14ac:dyDescent="0.25">
      <c r="A48" t="s">
        <v>102</v>
      </c>
    </row>
    <row r="49" spans="1:9" x14ac:dyDescent="0.25">
      <c r="A49" t="s">
        <v>103</v>
      </c>
      <c r="B49">
        <v>8</v>
      </c>
      <c r="C49" t="s">
        <v>104</v>
      </c>
    </row>
    <row r="50" spans="1:9" x14ac:dyDescent="0.25">
      <c r="A50" t="s">
        <v>228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 x14ac:dyDescent="0.25">
      <c r="A51" t="s">
        <v>229</v>
      </c>
      <c r="B51">
        <v>100</v>
      </c>
      <c r="C51">
        <v>100</v>
      </c>
      <c r="D51">
        <v>100</v>
      </c>
      <c r="E51">
        <v>100</v>
      </c>
      <c r="F51">
        <v>100</v>
      </c>
      <c r="G51">
        <v>100</v>
      </c>
      <c r="H51">
        <v>100</v>
      </c>
      <c r="I51">
        <v>100</v>
      </c>
    </row>
    <row r="52" spans="1:9" x14ac:dyDescent="0.25">
      <c r="A52" t="s">
        <v>105</v>
      </c>
    </row>
    <row r="53" spans="1:9" x14ac:dyDescent="0.25">
      <c r="A53" t="s">
        <v>227</v>
      </c>
      <c r="B53">
        <v>0</v>
      </c>
      <c r="C53">
        <v>1</v>
      </c>
      <c r="D53">
        <v>2</v>
      </c>
      <c r="E53">
        <v>3</v>
      </c>
      <c r="F53">
        <v>4</v>
      </c>
      <c r="G53">
        <v>5</v>
      </c>
      <c r="H53">
        <v>6</v>
      </c>
      <c r="I53">
        <v>7</v>
      </c>
    </row>
    <row r="54" spans="1:9" x14ac:dyDescent="0.25">
      <c r="A54" t="s">
        <v>232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</row>
    <row r="56" spans="1:9" x14ac:dyDescent="0.25">
      <c r="A56" t="s">
        <v>225</v>
      </c>
      <c r="B56" s="22">
        <f>+INDEX(Sheet1!$K$59:$K$67,COLUMN()-COLUMN($B$104)+1)</f>
        <v>11.375</v>
      </c>
      <c r="C56" s="22">
        <f>+INDEX(Sheet1!$K$59:$K$67,COLUMN()-COLUMN($B$104)+1)</f>
        <v>11.375</v>
      </c>
      <c r="D56" s="22">
        <f>+INDEX(Sheet1!$K$59:$K$67,COLUMN()-COLUMN($B$104)+1)</f>
        <v>11.375</v>
      </c>
      <c r="E56" s="22">
        <f>+INDEX(Sheet1!$K$59:$K$67,COLUMN()-COLUMN($B$104)+1)</f>
        <v>11.375</v>
      </c>
      <c r="F56" s="22">
        <f>+INDEX(Sheet1!$K$59:$K$67,COLUMN()-COLUMN($B$104)+1)</f>
        <v>706.67</v>
      </c>
      <c r="G56" s="22">
        <f>+INDEX(Sheet1!$K$59:$K$67,COLUMN()-COLUMN($B$104)+1)</f>
        <v>978.46</v>
      </c>
      <c r="H56" s="22">
        <f>+INDEX(Sheet1!$K$59:$K$67,COLUMN()-COLUMN($B$104)+1)</f>
        <v>978.46</v>
      </c>
      <c r="I56" s="22">
        <f>+INDEX(Sheet1!$K$59:$K$67,COLUMN()-COLUMN($B$104)+1)</f>
        <v>2.5</v>
      </c>
    </row>
    <row r="57" spans="1:9" x14ac:dyDescent="0.25">
      <c r="A57" t="s">
        <v>224</v>
      </c>
      <c r="B57" s="22">
        <f>+INDEX(Sheet1!$D$59:$D$66,COLUMN()-COLUMN($B$104)+1)</f>
        <v>180</v>
      </c>
      <c r="C57" s="22">
        <f>+INDEX(Sheet1!$D$59:$D$66,COLUMN()-COLUMN($B$104)+1)</f>
        <v>45</v>
      </c>
      <c r="D57" s="22">
        <f>+INDEX(Sheet1!$D$59:$D$66,COLUMN()-COLUMN($B$104)+1)</f>
        <v>245.74218089602704</v>
      </c>
      <c r="E57" s="22">
        <f>+INDEX(Sheet1!$D$59:$D$66,COLUMN()-COLUMN($B$104)+1)</f>
        <v>180</v>
      </c>
      <c r="F57" s="22">
        <f>+INDEX(Sheet1!$D$59:$D$66,COLUMN()-COLUMN($B$104)+1)</f>
        <v>90</v>
      </c>
      <c r="G57" s="22">
        <f>+INDEX(Sheet1!$D$59:$D$66,COLUMN()-COLUMN($B$104)+1)</f>
        <v>-20</v>
      </c>
      <c r="H57" s="22">
        <f>+INDEX(Sheet1!$D$59:$D$66,COLUMN()-COLUMN($B$104)+1)</f>
        <v>-52</v>
      </c>
      <c r="I57" s="22">
        <f>+INDEX(Sheet1!$D$59:$D$66,COLUMN()-COLUMN($B$104)+1)</f>
        <v>744</v>
      </c>
    </row>
    <row r="58" spans="1:9" x14ac:dyDescent="0.25">
      <c r="A58" s="81" t="s">
        <v>279</v>
      </c>
      <c r="B58" s="82" t="s">
        <v>271</v>
      </c>
      <c r="C58" s="82" t="s">
        <v>271</v>
      </c>
      <c r="D58" s="82" t="s">
        <v>271</v>
      </c>
      <c r="E58" s="82" t="s">
        <v>271</v>
      </c>
      <c r="F58" s="83" t="s">
        <v>271</v>
      </c>
      <c r="G58" s="83">
        <v>0</v>
      </c>
      <c r="H58" s="83">
        <v>0</v>
      </c>
      <c r="I58" s="83">
        <v>0</v>
      </c>
    </row>
    <row r="59" spans="1:9" x14ac:dyDescent="0.25">
      <c r="A59" s="81" t="s">
        <v>280</v>
      </c>
      <c r="B59" s="83">
        <v>0</v>
      </c>
      <c r="C59" s="83">
        <v>1</v>
      </c>
      <c r="D59" s="83">
        <v>2</v>
      </c>
      <c r="E59" s="83">
        <v>3</v>
      </c>
      <c r="F59" s="83" t="s">
        <v>281</v>
      </c>
      <c r="G59" s="83">
        <v>0</v>
      </c>
      <c r="H59" s="83">
        <v>0</v>
      </c>
      <c r="I59" s="83">
        <v>0</v>
      </c>
    </row>
    <row r="60" spans="1:9" x14ac:dyDescent="0.25">
      <c r="A60" s="84" t="s">
        <v>282</v>
      </c>
      <c r="B60" s="85" t="s">
        <v>283</v>
      </c>
      <c r="C60" s="85" t="s">
        <v>283</v>
      </c>
      <c r="D60" s="85" t="s">
        <v>283</v>
      </c>
      <c r="E60" s="85" t="s">
        <v>283</v>
      </c>
      <c r="F60" s="85" t="s">
        <v>284</v>
      </c>
      <c r="G60" s="85" t="s">
        <v>284</v>
      </c>
      <c r="H60" s="83" t="s">
        <v>284</v>
      </c>
      <c r="I60" s="83" t="s">
        <v>284</v>
      </c>
    </row>
    <row r="62" spans="1:9" x14ac:dyDescent="0.25">
      <c r="A62" t="s">
        <v>106</v>
      </c>
      <c r="B62">
        <v>0</v>
      </c>
    </row>
    <row r="64" spans="1:9" x14ac:dyDescent="0.25">
      <c r="A64" t="s">
        <v>151</v>
      </c>
    </row>
    <row r="65" spans="1:9" x14ac:dyDescent="0.25">
      <c r="A65" t="s">
        <v>240</v>
      </c>
      <c r="B65">
        <v>8</v>
      </c>
      <c r="C65">
        <v>8</v>
      </c>
      <c r="D65">
        <v>8</v>
      </c>
      <c r="E65">
        <v>8</v>
      </c>
      <c r="F65">
        <v>8</v>
      </c>
      <c r="G65">
        <v>8</v>
      </c>
      <c r="H65">
        <v>8</v>
      </c>
      <c r="I65">
        <v>8</v>
      </c>
    </row>
    <row r="66" spans="1:9" x14ac:dyDescent="0.25">
      <c r="A66" t="s">
        <v>298</v>
      </c>
      <c r="B66">
        <v>100</v>
      </c>
      <c r="C66">
        <v>100</v>
      </c>
      <c r="D66">
        <v>100</v>
      </c>
      <c r="E66">
        <v>100</v>
      </c>
      <c r="F66">
        <v>100</v>
      </c>
      <c r="G66">
        <v>100</v>
      </c>
      <c r="H66">
        <v>100</v>
      </c>
      <c r="I66">
        <v>100</v>
      </c>
    </row>
    <row r="68" spans="1:9" x14ac:dyDescent="0.25">
      <c r="A68" t="s">
        <v>227</v>
      </c>
      <c r="B68">
        <v>0</v>
      </c>
      <c r="C68">
        <v>1</v>
      </c>
      <c r="D68">
        <v>2</v>
      </c>
      <c r="E68">
        <v>3</v>
      </c>
      <c r="F68">
        <v>4</v>
      </c>
      <c r="G68">
        <v>5</v>
      </c>
      <c r="H68">
        <v>6</v>
      </c>
      <c r="I68">
        <v>7</v>
      </c>
    </row>
    <row r="69" spans="1:9" x14ac:dyDescent="0.25">
      <c r="A69" t="s">
        <v>107</v>
      </c>
    </row>
    <row r="70" spans="1:9" x14ac:dyDescent="0.25">
      <c r="A70" t="s">
        <v>230</v>
      </c>
      <c r="B70" s="22">
        <f>+INDEX(Sheet1!$H$59:$H$67,COLUMN()-COLUMN($B$104)+1)</f>
        <v>10</v>
      </c>
      <c r="C70" s="22">
        <f>+INDEX(Sheet1!$H$59:$H$67,COLUMN()-COLUMN($B$104)+1)</f>
        <v>161</v>
      </c>
      <c r="D70" s="22">
        <f>+INDEX(Sheet1!$H$59:$H$67,COLUMN()-COLUMN($B$104)+1)</f>
        <v>80</v>
      </c>
      <c r="E70" s="22">
        <f>+INDEX(Sheet1!$H$59:$H$67,COLUMN()-COLUMN($B$104)+1)</f>
        <v>106</v>
      </c>
      <c r="F70" s="22">
        <f>+INDEX(Sheet1!$H$59:$H$67,COLUMN()-COLUMN($B$104)+1)</f>
        <v>90</v>
      </c>
      <c r="G70" s="22">
        <f>+INDEX(Sheet1!$H$59:$H$67,COLUMN()-COLUMN($B$104)+1)</f>
        <v>0</v>
      </c>
      <c r="H70" s="22">
        <f>+INDEX(Sheet1!$H$59:$H$67,COLUMN()-COLUMN($B$104)+1)</f>
        <v>40</v>
      </c>
      <c r="I70" s="22">
        <f>+INDEX(Sheet1!$H$59:$H$67,COLUMN()-COLUMN($B$104)+1)</f>
        <v>60</v>
      </c>
    </row>
    <row r="71" spans="1:9" x14ac:dyDescent="0.25">
      <c r="A71" t="s">
        <v>231</v>
      </c>
      <c r="B71" s="22">
        <f>+INDEX(Sheet1!$G$59:$G$66,COLUMN()-COLUMN($B$104)+1)</f>
        <v>-95.5</v>
      </c>
      <c r="C71" s="22">
        <f>+INDEX(Sheet1!$G$59:$G$66,COLUMN()-COLUMN($B$104)+1)</f>
        <v>0</v>
      </c>
      <c r="D71" s="22">
        <f>+INDEX(Sheet1!$G$59:$G$66,COLUMN()-COLUMN($B$104)+1)</f>
        <v>-37</v>
      </c>
      <c r="E71" s="22">
        <f>+INDEX(Sheet1!$G$59:$G$66,COLUMN()-COLUMN($B$104)+1)</f>
        <v>5.5</v>
      </c>
      <c r="F71" s="22">
        <f>+INDEX(Sheet1!$G$59:$G$66,COLUMN()-COLUMN($B$104)+1)</f>
        <v>-90</v>
      </c>
      <c r="G71" s="22">
        <f>+INDEX(Sheet1!$G$59:$G$66,COLUMN()-COLUMN($B$104)+1)</f>
        <v>-90</v>
      </c>
      <c r="H71" s="22">
        <f>+INDEX(Sheet1!$G$59:$G$66,COLUMN()-COLUMN($B$104)+1)</f>
        <v>-20</v>
      </c>
      <c r="I71" s="22">
        <f>+INDEX(Sheet1!$G$59:$G$66,COLUMN()-COLUMN($B$104)+1)</f>
        <v>0</v>
      </c>
    </row>
    <row r="74" spans="1:9" x14ac:dyDescent="0.25">
      <c r="A74" t="s">
        <v>226</v>
      </c>
    </row>
    <row r="75" spans="1:9" x14ac:dyDescent="0.25">
      <c r="A75" t="s">
        <v>220</v>
      </c>
      <c r="B75" s="22">
        <f>$B$5</f>
        <v>7000</v>
      </c>
      <c r="C75" s="22">
        <f>$B$5</f>
        <v>7000</v>
      </c>
      <c r="D75" s="22">
        <f>$B$5</f>
        <v>7000</v>
      </c>
      <c r="E75" s="22">
        <f>$B$5</f>
        <v>7000</v>
      </c>
      <c r="F75">
        <v>400</v>
      </c>
      <c r="G75">
        <v>400</v>
      </c>
      <c r="H75">
        <v>400</v>
      </c>
      <c r="I75">
        <v>400</v>
      </c>
    </row>
    <row r="77" spans="1:9" x14ac:dyDescent="0.25">
      <c r="A77" t="s">
        <v>108</v>
      </c>
      <c r="B77" t="s">
        <v>109</v>
      </c>
      <c r="C77" t="s">
        <v>110</v>
      </c>
      <c r="D77" t="s">
        <v>111</v>
      </c>
      <c r="E77" t="s">
        <v>112</v>
      </c>
      <c r="F77" t="s">
        <v>113</v>
      </c>
      <c r="G77" t="s">
        <v>114</v>
      </c>
      <c r="H77" t="s">
        <v>115</v>
      </c>
    </row>
    <row r="78" spans="1:9" x14ac:dyDescent="0.25">
      <c r="A78" t="s">
        <v>116</v>
      </c>
    </row>
    <row r="79" spans="1:9" x14ac:dyDescent="0.25">
      <c r="A79" t="s">
        <v>117</v>
      </c>
      <c r="B79">
        <v>32000</v>
      </c>
      <c r="C79">
        <v>50</v>
      </c>
      <c r="D79">
        <v>60</v>
      </c>
      <c r="E79" s="22">
        <f t="shared" ref="E79:F86" si="0">+$B$2</f>
        <v>1333</v>
      </c>
      <c r="F79" s="22">
        <f t="shared" si="0"/>
        <v>1333</v>
      </c>
      <c r="G79">
        <v>13</v>
      </c>
      <c r="H79">
        <v>0</v>
      </c>
    </row>
    <row r="80" spans="1:9" x14ac:dyDescent="0.25">
      <c r="A80" t="s">
        <v>118</v>
      </c>
      <c r="B80">
        <v>32000</v>
      </c>
      <c r="C80">
        <v>50</v>
      </c>
      <c r="D80">
        <v>60</v>
      </c>
      <c r="E80" s="22">
        <f t="shared" si="0"/>
        <v>1333</v>
      </c>
      <c r="F80" s="22">
        <f t="shared" si="0"/>
        <v>1333</v>
      </c>
      <c r="G80">
        <v>13</v>
      </c>
      <c r="H80">
        <v>0</v>
      </c>
    </row>
    <row r="81" spans="1:9" x14ac:dyDescent="0.25">
      <c r="A81" t="s">
        <v>119</v>
      </c>
      <c r="B81">
        <v>10000</v>
      </c>
      <c r="C81">
        <v>0</v>
      </c>
      <c r="D81">
        <v>10</v>
      </c>
      <c r="E81" s="22">
        <f t="shared" si="0"/>
        <v>1333</v>
      </c>
      <c r="F81" s="22">
        <f t="shared" si="0"/>
        <v>1333</v>
      </c>
      <c r="G81">
        <v>13</v>
      </c>
      <c r="H81">
        <v>0</v>
      </c>
    </row>
    <row r="82" spans="1:9" x14ac:dyDescent="0.25">
      <c r="A82" t="s">
        <v>120</v>
      </c>
      <c r="B82">
        <v>32000</v>
      </c>
      <c r="C82">
        <v>20</v>
      </c>
      <c r="D82">
        <v>60</v>
      </c>
      <c r="E82" s="22">
        <f t="shared" si="0"/>
        <v>1333</v>
      </c>
      <c r="F82" s="22">
        <f t="shared" si="0"/>
        <v>1333</v>
      </c>
      <c r="G82">
        <v>13</v>
      </c>
      <c r="H82">
        <v>0</v>
      </c>
    </row>
    <row r="83" spans="1:9" x14ac:dyDescent="0.25">
      <c r="A83" t="s">
        <v>121</v>
      </c>
      <c r="B83">
        <v>200</v>
      </c>
      <c r="C83">
        <v>1000</v>
      </c>
      <c r="D83">
        <v>1</v>
      </c>
      <c r="E83" s="22">
        <f t="shared" si="0"/>
        <v>1333</v>
      </c>
      <c r="F83" s="22">
        <f t="shared" si="0"/>
        <v>1333</v>
      </c>
      <c r="G83">
        <v>6</v>
      </c>
      <c r="H83">
        <v>0</v>
      </c>
    </row>
    <row r="84" spans="1:9" x14ac:dyDescent="0.25">
      <c r="A84" t="s">
        <v>122</v>
      </c>
      <c r="B84">
        <v>100</v>
      </c>
      <c r="C84">
        <v>100</v>
      </c>
      <c r="D84">
        <v>2</v>
      </c>
      <c r="E84" s="22">
        <f t="shared" si="0"/>
        <v>1333</v>
      </c>
      <c r="F84" s="22">
        <f t="shared" si="0"/>
        <v>1333</v>
      </c>
      <c r="G84">
        <v>6</v>
      </c>
      <c r="H84">
        <v>0</v>
      </c>
    </row>
    <row r="85" spans="1:9" x14ac:dyDescent="0.25">
      <c r="A85" t="s">
        <v>123</v>
      </c>
      <c r="B85">
        <v>100</v>
      </c>
      <c r="C85">
        <v>100</v>
      </c>
      <c r="D85">
        <v>2</v>
      </c>
      <c r="E85" s="22">
        <f t="shared" si="0"/>
        <v>1333</v>
      </c>
      <c r="F85" s="22">
        <f t="shared" si="0"/>
        <v>1333</v>
      </c>
      <c r="G85">
        <v>6</v>
      </c>
      <c r="H85">
        <v>0</v>
      </c>
    </row>
    <row r="86" spans="1:9" x14ac:dyDescent="0.25">
      <c r="A86" t="s">
        <v>124</v>
      </c>
      <c r="B86">
        <v>200</v>
      </c>
      <c r="C86">
        <v>200</v>
      </c>
      <c r="D86">
        <v>1</v>
      </c>
      <c r="E86" s="22">
        <f t="shared" si="0"/>
        <v>1333</v>
      </c>
      <c r="F86" s="22">
        <f t="shared" si="0"/>
        <v>1333</v>
      </c>
      <c r="G86">
        <v>4</v>
      </c>
      <c r="H86">
        <v>0</v>
      </c>
    </row>
    <row r="88" spans="1:9" x14ac:dyDescent="0.25">
      <c r="A88" s="80" t="s">
        <v>285</v>
      </c>
      <c r="B88" s="80"/>
      <c r="C88" s="80"/>
      <c r="D88" s="80"/>
      <c r="E88" s="80"/>
      <c r="F88" s="80"/>
      <c r="G88" s="80"/>
      <c r="H88" s="80"/>
      <c r="I88" s="80"/>
    </row>
    <row r="89" spans="1:9" x14ac:dyDescent="0.25">
      <c r="A89" s="80" t="s">
        <v>286</v>
      </c>
      <c r="B89" s="80">
        <v>7</v>
      </c>
      <c r="C89" s="80">
        <v>0</v>
      </c>
      <c r="D89" s="80">
        <v>0</v>
      </c>
      <c r="E89" s="86">
        <f t="shared" ref="E89:F96" si="1">+$B$2</f>
        <v>1333</v>
      </c>
      <c r="F89" s="86">
        <f t="shared" si="1"/>
        <v>1333</v>
      </c>
      <c r="G89" s="80">
        <v>10</v>
      </c>
      <c r="H89" s="80">
        <v>0</v>
      </c>
      <c r="I89" s="80"/>
    </row>
    <row r="90" spans="1:9" x14ac:dyDescent="0.25">
      <c r="A90" s="80" t="s">
        <v>287</v>
      </c>
      <c r="B90" s="80">
        <v>7</v>
      </c>
      <c r="C90" s="80">
        <v>0</v>
      </c>
      <c r="D90" s="80">
        <v>0</v>
      </c>
      <c r="E90" s="86">
        <f t="shared" si="1"/>
        <v>1333</v>
      </c>
      <c r="F90" s="86">
        <f t="shared" si="1"/>
        <v>1333</v>
      </c>
      <c r="G90" s="80">
        <v>10</v>
      </c>
      <c r="H90" s="80">
        <v>0</v>
      </c>
      <c r="I90" s="80"/>
    </row>
    <row r="91" spans="1:9" x14ac:dyDescent="0.25">
      <c r="A91" s="80" t="s">
        <v>288</v>
      </c>
      <c r="B91" s="80">
        <v>30</v>
      </c>
      <c r="C91" s="80">
        <v>0</v>
      </c>
      <c r="D91" s="80">
        <v>0</v>
      </c>
      <c r="E91" s="86">
        <f t="shared" si="1"/>
        <v>1333</v>
      </c>
      <c r="F91" s="86">
        <f t="shared" si="1"/>
        <v>1333</v>
      </c>
      <c r="G91" s="80">
        <v>10</v>
      </c>
      <c r="H91" s="80">
        <v>0</v>
      </c>
      <c r="I91" s="80"/>
    </row>
    <row r="92" spans="1:9" x14ac:dyDescent="0.25">
      <c r="A92" s="80" t="s">
        <v>289</v>
      </c>
      <c r="B92" s="80">
        <v>30</v>
      </c>
      <c r="C92" s="80">
        <v>0</v>
      </c>
      <c r="D92" s="80">
        <v>0</v>
      </c>
      <c r="E92" s="86">
        <f t="shared" si="1"/>
        <v>1333</v>
      </c>
      <c r="F92" s="86">
        <f t="shared" si="1"/>
        <v>1333</v>
      </c>
      <c r="G92" s="80">
        <v>10</v>
      </c>
      <c r="H92" s="80">
        <v>0</v>
      </c>
      <c r="I92" s="80"/>
    </row>
    <row r="93" spans="1:9" x14ac:dyDescent="0.25">
      <c r="A93" s="80" t="s">
        <v>290</v>
      </c>
      <c r="B93" s="80">
        <v>50</v>
      </c>
      <c r="C93" s="80">
        <v>0</v>
      </c>
      <c r="D93" s="80">
        <v>0</v>
      </c>
      <c r="E93" s="86">
        <f t="shared" si="1"/>
        <v>1333</v>
      </c>
      <c r="F93" s="86">
        <f t="shared" si="1"/>
        <v>1333</v>
      </c>
      <c r="G93" s="80">
        <v>10</v>
      </c>
      <c r="H93" s="80">
        <v>0</v>
      </c>
      <c r="I93" s="80"/>
    </row>
    <row r="94" spans="1:9" x14ac:dyDescent="0.25">
      <c r="A94" s="80" t="s">
        <v>291</v>
      </c>
      <c r="B94" s="80">
        <v>0</v>
      </c>
      <c r="C94" s="80">
        <v>0</v>
      </c>
      <c r="D94" s="80">
        <v>0</v>
      </c>
      <c r="E94" s="86">
        <f t="shared" si="1"/>
        <v>1333</v>
      </c>
      <c r="F94" s="86">
        <f t="shared" si="1"/>
        <v>1333</v>
      </c>
      <c r="G94" s="80">
        <v>10</v>
      </c>
      <c r="H94" s="80">
        <v>0</v>
      </c>
      <c r="I94" s="80"/>
    </row>
    <row r="95" spans="1:9" x14ac:dyDescent="0.25">
      <c r="A95" s="80" t="s">
        <v>292</v>
      </c>
      <c r="B95" s="80">
        <v>0</v>
      </c>
      <c r="C95" s="80">
        <v>0</v>
      </c>
      <c r="D95" s="80">
        <v>0</v>
      </c>
      <c r="E95" s="86">
        <f t="shared" si="1"/>
        <v>1333</v>
      </c>
      <c r="F95" s="86">
        <f t="shared" si="1"/>
        <v>1333</v>
      </c>
      <c r="G95" s="80">
        <v>10</v>
      </c>
      <c r="H95" s="80">
        <v>0</v>
      </c>
      <c r="I95" s="80"/>
    </row>
    <row r="96" spans="1:9" x14ac:dyDescent="0.25">
      <c r="A96" s="80" t="s">
        <v>293</v>
      </c>
      <c r="B96" s="80">
        <v>0</v>
      </c>
      <c r="C96" s="80">
        <v>0</v>
      </c>
      <c r="D96" s="80">
        <v>0</v>
      </c>
      <c r="E96" s="86">
        <f t="shared" si="1"/>
        <v>1333</v>
      </c>
      <c r="F96" s="86">
        <f t="shared" si="1"/>
        <v>1333</v>
      </c>
      <c r="G96" s="80">
        <v>10</v>
      </c>
      <c r="H96" s="80">
        <v>0</v>
      </c>
      <c r="I96" s="80"/>
    </row>
    <row r="97" spans="1:9" x14ac:dyDescent="0.25">
      <c r="A97" s="3"/>
      <c r="B97" s="3"/>
      <c r="C97" s="3"/>
      <c r="D97" s="3"/>
      <c r="E97" s="89"/>
      <c r="F97" s="89"/>
      <c r="G97" s="3"/>
      <c r="H97" s="3"/>
      <c r="I97" s="3"/>
    </row>
    <row r="98" spans="1:9" x14ac:dyDescent="0.25">
      <c r="A98" t="s">
        <v>129</v>
      </c>
    </row>
    <row r="99" spans="1:9" x14ac:dyDescent="0.25">
      <c r="A99" t="s">
        <v>226</v>
      </c>
      <c r="B99">
        <v>0</v>
      </c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</row>
    <row r="100" spans="1:9" x14ac:dyDescent="0.25">
      <c r="A100" t="s">
        <v>130</v>
      </c>
      <c r="B100">
        <v>3</v>
      </c>
      <c r="C100">
        <v>3</v>
      </c>
      <c r="D100">
        <v>3</v>
      </c>
      <c r="E100">
        <v>3</v>
      </c>
      <c r="F100">
        <v>0</v>
      </c>
      <c r="G100">
        <v>2</v>
      </c>
      <c r="H100">
        <v>2</v>
      </c>
      <c r="I100">
        <v>3</v>
      </c>
    </row>
    <row r="101" spans="1:9" x14ac:dyDescent="0.25">
      <c r="A101" t="s">
        <v>131</v>
      </c>
      <c r="B101" s="22">
        <f>+INDEX(Sheet1!$L$59:$L$66,COLUMN()-COLUMN($B$104)+1)</f>
        <v>1706.25</v>
      </c>
      <c r="C101" s="22">
        <f>+INDEX(Sheet1!$L$59:$L$66,COLUMN()-COLUMN($B$104)+1)</f>
        <v>853.125</v>
      </c>
      <c r="D101" s="22">
        <f>+INDEX(Sheet1!$L$59:$L$66,COLUMN()-COLUMN($B$104)+1)</f>
        <v>2795.3173076923076</v>
      </c>
      <c r="E101" s="22">
        <f>+INDEX(Sheet1!$L$59:$L$66,COLUMN()-COLUMN($B$104)+1)</f>
        <v>2558</v>
      </c>
      <c r="F101" s="22">
        <v>550</v>
      </c>
      <c r="G101" s="22">
        <f>+INDEX(Sheet1!$L$59:$L$66,COLUMN()-COLUMN($B$104)+1)</f>
        <v>650</v>
      </c>
      <c r="H101" s="22">
        <f>+INDEX(Sheet1!$L$59:$L$66,COLUMN()-COLUMN($B$104)+1)</f>
        <v>650</v>
      </c>
      <c r="I101" s="22">
        <f>+INDEX(Sheet1!$L$59:$L$66,COLUMN()-COLUMN($B$104)+1)</f>
        <v>1860</v>
      </c>
    </row>
    <row r="102" spans="1:9" x14ac:dyDescent="0.25">
      <c r="A102" t="s">
        <v>132</v>
      </c>
      <c r="B102" s="22">
        <f>+INDEX(Sheet1!$M$59:$M$66,COLUMN()-COLUMN($B$104)+1)</f>
        <v>10</v>
      </c>
      <c r="C102" s="22">
        <f>+INDEX(Sheet1!$M$59:$M$66,COLUMN()-COLUMN($B$104)+1)</f>
        <v>10</v>
      </c>
      <c r="D102" s="22">
        <f>+INDEX(Sheet1!$M$59:$M$66,COLUMN()-COLUMN($B$104)+1)</f>
        <v>10</v>
      </c>
      <c r="E102" s="22">
        <f>+INDEX(Sheet1!$M$59:$M$66,COLUMN()-COLUMN($B$104)+1)</f>
        <v>10</v>
      </c>
      <c r="F102" s="22">
        <f>+INDEX(Sheet1!$M$59:$M$66,COLUMN()-COLUMN($B$104)+1)</f>
        <v>-20</v>
      </c>
      <c r="G102" s="22">
        <f>+INDEX(Sheet1!$M$59:$M$66,COLUMN()-COLUMN($B$104)+1)</f>
        <v>10</v>
      </c>
      <c r="H102" s="22">
        <f>+INDEX(Sheet1!$M$59:$M$66,COLUMN()-COLUMN($B$104)+1)</f>
        <v>10</v>
      </c>
      <c r="I102" s="22">
        <f>+INDEX(Sheet1!$M$59:$M$66,COLUMN()-COLUMN($B$104)+1)</f>
        <v>100</v>
      </c>
    </row>
    <row r="103" spans="1:9" x14ac:dyDescent="0.25">
      <c r="A103" t="s">
        <v>133</v>
      </c>
      <c r="B103" s="22">
        <f>+INDEX(Sheet1!$N$59:$N$66,COLUMN()-COLUMN($B$104)+1)</f>
        <v>3412.5</v>
      </c>
      <c r="C103" s="22">
        <f>+INDEX(Sheet1!$N$59:$N$66,COLUMN()-COLUMN($B$104)+1)</f>
        <v>2711.7999999999997</v>
      </c>
      <c r="D103" s="22">
        <f>+INDEX(Sheet1!$N$59:$N$66,COLUMN()-COLUMN($B$104)+1)</f>
        <v>695.58124999999905</v>
      </c>
      <c r="E103" s="22">
        <f>+INDEX(Sheet1!$N$59:$N$66,COLUMN()-COLUMN($B$104)+1)</f>
        <v>2536.625</v>
      </c>
      <c r="F103" s="22">
        <f>+INDEX(Sheet1!$N$59:$N$66,COLUMN()-COLUMN($B$104)+1)</f>
        <v>0</v>
      </c>
      <c r="G103" s="22">
        <f>+INDEX(Sheet1!$N$59:$N$66,COLUMN()-COLUMN($B$104)+1)</f>
        <v>0</v>
      </c>
      <c r="H103" s="22">
        <f>+INDEX(Sheet1!$N$59:$N$66,COLUMN()-COLUMN($B$104)+1)</f>
        <v>0</v>
      </c>
      <c r="I103" s="22">
        <f>+INDEX(Sheet1!$N$59:$N$66,COLUMN()-COLUMN($B$104)+1)</f>
        <v>0</v>
      </c>
    </row>
    <row r="104" spans="1:9" x14ac:dyDescent="0.25">
      <c r="A104" t="s">
        <v>134</v>
      </c>
      <c r="B104" s="22">
        <f>+INDEX(Sheet1!$O$59:$O$66,COLUMN()-COLUMN($B$104)+1)</f>
        <v>-30</v>
      </c>
      <c r="C104" s="22">
        <f>+INDEX(Sheet1!$O$59:$O$66,COLUMN()-COLUMN($B$104)+1)</f>
        <v>30</v>
      </c>
      <c r="D104" s="22">
        <f>+INDEX(Sheet1!$O$59:$O$66,COLUMN()-COLUMN($B$104)+1)</f>
        <v>0</v>
      </c>
      <c r="E104" s="22">
        <f>+INDEX(Sheet1!$O$59:$O$66,COLUMN()-COLUMN($B$104)+1)</f>
        <v>45</v>
      </c>
      <c r="F104" s="22">
        <f>+INDEX(Sheet1!$O$59:$O$66,COLUMN()-COLUMN($B$104)+1)</f>
        <v>0</v>
      </c>
      <c r="G104" s="22">
        <f>+INDEX(Sheet1!$O$59:$O$66,COLUMN()-COLUMN($B$104)+1)</f>
        <v>0</v>
      </c>
      <c r="H104" s="22">
        <f>+INDEX(Sheet1!$O$59:$O$66,COLUMN()-COLUMN($B$104)+1)</f>
        <v>0</v>
      </c>
      <c r="I104" s="22">
        <f>+INDEX(Sheet1!$O$59:$O$66,COLUMN()-COLUMN($B$104)+1)</f>
        <v>0</v>
      </c>
    </row>
    <row r="105" spans="1:9" x14ac:dyDescent="0.25">
      <c r="A105" t="s">
        <v>135</v>
      </c>
      <c r="B105" s="22">
        <f>+INDEX(Sheet1!$P$59:$P$66,COLUMN()-COLUMN($B$104)+1)</f>
        <v>10</v>
      </c>
      <c r="C105" s="22">
        <f>+INDEX(Sheet1!$P$59:$P$66,COLUMN()-COLUMN($B$104)+1)</f>
        <v>10</v>
      </c>
      <c r="D105" s="22">
        <f>+INDEX(Sheet1!$P$59:$P$66,COLUMN()-COLUMN($B$104)+1)</f>
        <v>10</v>
      </c>
      <c r="E105" s="22">
        <f>+INDEX(Sheet1!$P$59:$P$66,COLUMN()-COLUMN($B$104)+1)</f>
        <v>10</v>
      </c>
      <c r="F105" s="22">
        <f>+INDEX(Sheet1!$P$59:$P$66,COLUMN()-COLUMN($B$104)+1)</f>
        <v>30</v>
      </c>
      <c r="G105" s="22">
        <f>+INDEX(Sheet1!$P$59:$P$66,COLUMN()-COLUMN($B$104)+1)</f>
        <v>30</v>
      </c>
      <c r="H105" s="22">
        <f>+INDEX(Sheet1!$P$59:$P$66,COLUMN()-COLUMN($B$104)+1)</f>
        <v>30</v>
      </c>
      <c r="I105" s="22">
        <f>+INDEX(Sheet1!$P$59:$P$66,COLUMN()-COLUMN($B$104)+1)</f>
        <v>100</v>
      </c>
    </row>
    <row r="106" spans="1:9" x14ac:dyDescent="0.25">
      <c r="A106" t="s">
        <v>299</v>
      </c>
      <c r="B106" s="22">
        <v>60</v>
      </c>
      <c r="C106" s="22">
        <v>60</v>
      </c>
      <c r="D106" s="22">
        <v>60</v>
      </c>
      <c r="E106" s="22">
        <v>60</v>
      </c>
      <c r="F106" s="22">
        <v>0</v>
      </c>
      <c r="G106" s="22">
        <v>0</v>
      </c>
      <c r="H106" s="22">
        <v>0</v>
      </c>
      <c r="I106" s="22">
        <v>0</v>
      </c>
    </row>
    <row r="108" spans="1:9" x14ac:dyDescent="0.25">
      <c r="A108" t="s">
        <v>136</v>
      </c>
    </row>
    <row r="109" spans="1:9" x14ac:dyDescent="0.25">
      <c r="A109" t="s">
        <v>226</v>
      </c>
      <c r="B109">
        <v>0</v>
      </c>
      <c r="C109">
        <v>1</v>
      </c>
      <c r="D109">
        <v>2</v>
      </c>
      <c r="E109">
        <v>3</v>
      </c>
      <c r="F109">
        <v>4</v>
      </c>
      <c r="G109">
        <v>5</v>
      </c>
      <c r="H109">
        <v>6</v>
      </c>
      <c r="I109">
        <v>7</v>
      </c>
    </row>
    <row r="110" spans="1:9" x14ac:dyDescent="0.25">
      <c r="A110" t="s">
        <v>137</v>
      </c>
      <c r="B110" s="22">
        <f>+INDEX(Sheet1!$Q$59:$Q$66,COLUMN()-COLUMN($B$104)+1)</f>
        <v>-30</v>
      </c>
      <c r="C110" s="22">
        <f>+INDEX(Sheet1!$Q$59:$Q$66,COLUMN()-COLUMN($B$104)+1)</f>
        <v>30</v>
      </c>
      <c r="D110" s="22">
        <f>+INDEX(Sheet1!$Q$59:$Q$66,COLUMN()-COLUMN($B$104)+1)</f>
        <v>0</v>
      </c>
      <c r="E110" s="22">
        <f>+INDEX(Sheet1!$Q$59:$Q$66,COLUMN()-COLUMN($B$104)+1)</f>
        <v>45</v>
      </c>
      <c r="F110" s="22">
        <f>+INDEX(Sheet1!$Q$59:$Q$66,COLUMN()-COLUMN($B$104)+1)</f>
        <v>0</v>
      </c>
      <c r="G110" s="22">
        <f>+INDEX(Sheet1!$Q$59:$Q$66,COLUMN()-COLUMN($B$104)+1)</f>
        <v>0</v>
      </c>
      <c r="H110" s="22">
        <f>+INDEX(Sheet1!$Q$59:$Q$66,COLUMN()-COLUMN($B$104)+1)</f>
        <v>40</v>
      </c>
      <c r="I110" s="22">
        <f>+INDEX(Sheet1!$Q$59:$Q$66,COLUMN()-COLUMN($B$104)+1)</f>
        <v>0</v>
      </c>
    </row>
    <row r="111" spans="1:9" x14ac:dyDescent="0.25">
      <c r="A111" t="s">
        <v>138</v>
      </c>
      <c r="B111" s="22">
        <f>+INDEX(Sheet1!$R$59:$R$66,COLUMN()-COLUMN($B$104)+1)</f>
        <v>10</v>
      </c>
      <c r="C111" s="22">
        <f>+INDEX(Sheet1!$R$59:$R$66,COLUMN()-COLUMN($B$104)+1)</f>
        <v>10</v>
      </c>
      <c r="D111" s="22">
        <f>+INDEX(Sheet1!$R$59:$R$66,COLUMN()-COLUMN($B$104)+1)</f>
        <v>10</v>
      </c>
      <c r="E111" s="22">
        <f>+INDEX(Sheet1!$R$59:$R$66,COLUMN()-COLUMN($B$104)+1)</f>
        <v>10</v>
      </c>
      <c r="F111" s="22">
        <f>+INDEX(Sheet1!$R$59:$R$66,COLUMN()-COLUMN($B$104)+1)</f>
        <v>30</v>
      </c>
      <c r="G111" s="22">
        <f>+INDEX(Sheet1!$R$59:$R$66,COLUMN()-COLUMN($B$104)+1)</f>
        <v>30</v>
      </c>
      <c r="H111" s="22">
        <f>+INDEX(Sheet1!$R$59:$R$66,COLUMN()-COLUMN($B$104)+1)</f>
        <v>30</v>
      </c>
      <c r="I111" s="22">
        <f>+INDEX(Sheet1!$R$59:$R$66,COLUMN()-COLUMN($B$104)+1)</f>
        <v>100</v>
      </c>
    </row>
    <row r="112" spans="1:9" x14ac:dyDescent="0.25">
      <c r="A112" t="s">
        <v>105</v>
      </c>
    </row>
    <row r="113" spans="1:1" x14ac:dyDescent="0.25">
      <c r="A11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I88"/>
  <sheetViews>
    <sheetView topLeftCell="A27" zoomScale="75" zoomScaleNormal="75" workbookViewId="0">
      <selection activeCell="A38" sqref="A38:P41"/>
    </sheetView>
  </sheetViews>
  <sheetFormatPr defaultRowHeight="15" x14ac:dyDescent="0.2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 x14ac:dyDescent="0.3"/>
    <row r="4" spans="1:6" ht="15.75" thickBot="1" x14ac:dyDescent="0.3">
      <c r="A4" s="16" t="s">
        <v>78</v>
      </c>
      <c r="B4" s="17">
        <v>1333</v>
      </c>
      <c r="D4" t="s">
        <v>79</v>
      </c>
      <c r="F4" t="s">
        <v>80</v>
      </c>
    </row>
    <row r="7" spans="1:6" x14ac:dyDescent="0.25">
      <c r="A7" s="18"/>
      <c r="B7" s="19"/>
    </row>
    <row r="11" spans="1:6" x14ac:dyDescent="0.25">
      <c r="A11" t="s">
        <v>83</v>
      </c>
    </row>
    <row r="12" spans="1:6" x14ac:dyDescent="0.25">
      <c r="A12" t="s">
        <v>156</v>
      </c>
    </row>
    <row r="13" spans="1:6" x14ac:dyDescent="0.25">
      <c r="A13" t="s">
        <v>85</v>
      </c>
    </row>
    <row r="14" spans="1:6" x14ac:dyDescent="0.25">
      <c r="A14" t="s">
        <v>86</v>
      </c>
    </row>
    <row r="15" spans="1:6" x14ac:dyDescent="0.25">
      <c r="A15" t="s">
        <v>87</v>
      </c>
      <c r="B15" t="s">
        <v>145</v>
      </c>
    </row>
    <row r="16" spans="1:6" x14ac:dyDescent="0.25">
      <c r="A16" t="s">
        <v>89</v>
      </c>
      <c r="B16">
        <v>11</v>
      </c>
    </row>
    <row r="17" spans="1:9" x14ac:dyDescent="0.25">
      <c r="A17" t="s">
        <v>146</v>
      </c>
      <c r="B17" t="s">
        <v>157</v>
      </c>
    </row>
    <row r="18" spans="1:9" x14ac:dyDescent="0.25">
      <c r="A18" t="s">
        <v>90</v>
      </c>
      <c r="B18">
        <v>0</v>
      </c>
    </row>
    <row r="19" spans="1:9" x14ac:dyDescent="0.25">
      <c r="A19" t="s">
        <v>91</v>
      </c>
      <c r="B19">
        <v>10</v>
      </c>
    </row>
    <row r="20" spans="1:9" x14ac:dyDescent="0.25">
      <c r="A20" t="s">
        <v>92</v>
      </c>
      <c r="B20">
        <v>300</v>
      </c>
    </row>
    <row r="21" spans="1:9" x14ac:dyDescent="0.25">
      <c r="A21" t="s">
        <v>148</v>
      </c>
      <c r="B21">
        <v>500</v>
      </c>
    </row>
    <row r="22" spans="1:9" x14ac:dyDescent="0.25">
      <c r="A22" t="s">
        <v>149</v>
      </c>
      <c r="B22">
        <v>500</v>
      </c>
    </row>
    <row r="23" spans="1:9" x14ac:dyDescent="0.25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 x14ac:dyDescent="0.25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 x14ac:dyDescent="0.25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 x14ac:dyDescent="0.25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 x14ac:dyDescent="0.25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 x14ac:dyDescent="0.25">
      <c r="A32" t="s">
        <v>261</v>
      </c>
    </row>
    <row r="33" spans="1:9" x14ac:dyDescent="0.25">
      <c r="A33" t="s">
        <v>254</v>
      </c>
    </row>
    <row r="34" spans="1:9" x14ac:dyDescent="0.25">
      <c r="A34" t="s">
        <v>258</v>
      </c>
    </row>
    <row r="35" spans="1:9" x14ac:dyDescent="0.25">
      <c r="A35" t="s">
        <v>259</v>
      </c>
    </row>
    <row r="36" spans="1:9" x14ac:dyDescent="0.25">
      <c r="A36" t="s">
        <v>260</v>
      </c>
    </row>
    <row r="38" spans="1:9" x14ac:dyDescent="0.25">
      <c r="A38" t="s">
        <v>102</v>
      </c>
    </row>
    <row r="39" spans="1:9" x14ac:dyDescent="0.25">
      <c r="A39" t="s">
        <v>103</v>
      </c>
      <c r="B39">
        <v>8</v>
      </c>
      <c r="C39" t="s">
        <v>104</v>
      </c>
    </row>
    <row r="40" spans="1:9" x14ac:dyDescent="0.25">
      <c r="A40" t="s">
        <v>239</v>
      </c>
      <c r="B40">
        <v>0</v>
      </c>
      <c r="C40">
        <v>1</v>
      </c>
      <c r="D40">
        <v>2</v>
      </c>
      <c r="E40">
        <v>3</v>
      </c>
      <c r="F40">
        <v>4</v>
      </c>
      <c r="G40">
        <v>5</v>
      </c>
      <c r="H40">
        <v>6</v>
      </c>
      <c r="I40">
        <v>7</v>
      </c>
    </row>
    <row r="41" spans="1:9" x14ac:dyDescent="0.25">
      <c r="A41" t="s">
        <v>238</v>
      </c>
      <c r="B41">
        <v>100</v>
      </c>
      <c r="C41">
        <v>100</v>
      </c>
      <c r="D41">
        <v>100</v>
      </c>
      <c r="E41">
        <v>100</v>
      </c>
      <c r="F41">
        <v>100</v>
      </c>
      <c r="G41">
        <v>100</v>
      </c>
      <c r="H41">
        <v>100</v>
      </c>
      <c r="I41">
        <v>100</v>
      </c>
    </row>
    <row r="42" spans="1:9" x14ac:dyDescent="0.25">
      <c r="A42" t="s">
        <v>105</v>
      </c>
    </row>
    <row r="43" spans="1:9" x14ac:dyDescent="0.25">
      <c r="A43" t="s">
        <v>227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 x14ac:dyDescent="0.25">
      <c r="A44" t="s">
        <v>216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6" spans="1:9" x14ac:dyDescent="0.25">
      <c r="A46" t="s">
        <v>237</v>
      </c>
      <c r="B46" s="40">
        <f>+INDEX(Sheet1!$K$70:$K$77,COLUMN()-COLUMN($B$77)+1)</f>
        <v>13.62</v>
      </c>
      <c r="C46" s="40">
        <f>+INDEX(Sheet1!$K$70:$K$77,COLUMN()-COLUMN($B$77)+1)</f>
        <v>-2.4444444444444446</v>
      </c>
      <c r="D46" s="40">
        <f>+INDEX(Sheet1!$K$70:$K$77,COLUMN()-COLUMN($B$77)+1)</f>
        <v>-2.4666666666666668</v>
      </c>
      <c r="E46" s="40">
        <f>+INDEX(Sheet1!$K$70:$K$77,COLUMN()-COLUMN($B$77)+1)</f>
        <v>-2.0555555555555554</v>
      </c>
      <c r="F46" s="40">
        <f>+INDEX(Sheet1!$K$70:$K$77,COLUMN()-COLUMN($B$77)+1)</f>
        <v>-2.6333333333333333</v>
      </c>
      <c r="G46" s="40">
        <f>+INDEX(Sheet1!$K$70:$K$77,COLUMN()-COLUMN($B$77)+1)</f>
        <v>-2.0555555555555554</v>
      </c>
      <c r="H46" s="40">
        <f>+INDEX(Sheet1!$K$70:$K$77,COLUMN()-COLUMN($B$77)+1)</f>
        <v>-2.5277777777777777</v>
      </c>
      <c r="I46" s="40">
        <f>+INDEX(Sheet1!$K$70:$K$77,COLUMN()-COLUMN($B$77)+1)</f>
        <v>-1.962962962962963</v>
      </c>
    </row>
    <row r="47" spans="1:9" x14ac:dyDescent="0.25">
      <c r="A47" t="s">
        <v>224</v>
      </c>
      <c r="B47" s="40">
        <f>+INDEX(Sheet1!$D$70:$D$77,COLUMN()-COLUMN($B$77)+1)</f>
        <v>50.969162995594715</v>
      </c>
      <c r="C47" s="40">
        <f>+INDEX(Sheet1!$D$70:$D$77,COLUMN()-COLUMN($B$77)+1)</f>
        <v>-94.090909090909079</v>
      </c>
      <c r="D47" s="40">
        <f>+INDEX(Sheet1!$D$70:$D$77,COLUMN()-COLUMN($B$77)+1)</f>
        <v>-185.27027027027026</v>
      </c>
      <c r="E47" s="40">
        <f>+INDEX(Sheet1!$D$70:$D$77,COLUMN()-COLUMN($B$77)+1)</f>
        <v>-114.32432432432434</v>
      </c>
      <c r="F47" s="40">
        <f>+INDEX(Sheet1!$D$70:$D$77,COLUMN()-COLUMN($B$77)+1)</f>
        <v>-180</v>
      </c>
      <c r="G47" s="40">
        <f>+INDEX(Sheet1!$D$70:$D$77,COLUMN()-COLUMN($B$77)+1)</f>
        <v>-114.32432432432434</v>
      </c>
      <c r="H47" s="40">
        <f>+INDEX(Sheet1!$D$70:$D$77,COLUMN()-COLUMN($B$77)+1)</f>
        <v>-180</v>
      </c>
      <c r="I47" s="40">
        <f>+INDEX(Sheet1!$D$70:$D$77,COLUMN()-COLUMN($B$77)+1)</f>
        <v>-351.50943396226415</v>
      </c>
    </row>
    <row r="49" spans="1:9" x14ac:dyDescent="0.25">
      <c r="A49" t="s">
        <v>106</v>
      </c>
      <c r="B49">
        <v>0</v>
      </c>
    </row>
    <row r="52" spans="1:9" x14ac:dyDescent="0.25">
      <c r="A52" t="s">
        <v>151</v>
      </c>
    </row>
    <row r="53" spans="1:9" x14ac:dyDescent="0.25">
      <c r="A53" t="s">
        <v>240</v>
      </c>
      <c r="B53">
        <v>8</v>
      </c>
      <c r="C53">
        <v>8</v>
      </c>
      <c r="D53">
        <v>8</v>
      </c>
      <c r="E53">
        <v>8</v>
      </c>
      <c r="F53">
        <v>8</v>
      </c>
      <c r="G53">
        <v>8</v>
      </c>
      <c r="H53">
        <v>8</v>
      </c>
      <c r="I53">
        <v>8</v>
      </c>
    </row>
    <row r="55" spans="1:9" x14ac:dyDescent="0.25">
      <c r="A55" t="s">
        <v>152</v>
      </c>
    </row>
    <row r="56" spans="1:9" x14ac:dyDescent="0.25">
      <c r="A56" t="s">
        <v>241</v>
      </c>
      <c r="B56">
        <v>0</v>
      </c>
      <c r="C56">
        <v>1</v>
      </c>
      <c r="D56">
        <v>2</v>
      </c>
      <c r="E56">
        <v>3</v>
      </c>
      <c r="F56">
        <v>4</v>
      </c>
      <c r="G56">
        <v>5</v>
      </c>
      <c r="H56">
        <v>6</v>
      </c>
      <c r="I56">
        <v>7</v>
      </c>
    </row>
    <row r="57" spans="1:9" x14ac:dyDescent="0.25">
      <c r="A57" t="s">
        <v>233</v>
      </c>
      <c r="B57" s="22">
        <f>+INDEX([1]Sheet1!$H$70:$H$77,COLUMN()-COLUMN($B$77)+1)</f>
        <v>90</v>
      </c>
      <c r="C57" s="22">
        <f>+INDEX([1]Sheet1!$H$70:$H$77,COLUMN()-COLUMN($B$77)+1)</f>
        <v>90</v>
      </c>
      <c r="D57" s="22">
        <f>+INDEX([1]Sheet1!$H$70:$H$77,COLUMN()-COLUMN($B$77)+1)</f>
        <v>180</v>
      </c>
      <c r="E57" s="22">
        <f>+INDEX([1]Sheet1!$H$70:$H$77,COLUMN()-COLUMN($B$77)+1)</f>
        <v>90</v>
      </c>
      <c r="F57" s="22">
        <f>+INDEX([1]Sheet1!$H$70:$H$77,COLUMN()-COLUMN($B$77)+1)</f>
        <v>180</v>
      </c>
      <c r="G57" s="22">
        <f>+INDEX([1]Sheet1!$H$70:$H$77,COLUMN()-COLUMN($B$77)+1)</f>
        <v>90</v>
      </c>
      <c r="H57" s="22">
        <f>+INDEX([1]Sheet1!$H$70:$H$77,COLUMN()-COLUMN($B$77)+1)</f>
        <v>180</v>
      </c>
      <c r="I57" s="22">
        <f>+INDEX([1]Sheet1!$H$70:$H$77,COLUMN()-COLUMN($B$77)+1)</f>
        <v>270</v>
      </c>
    </row>
    <row r="58" spans="1:9" x14ac:dyDescent="0.25">
      <c r="A58" t="s">
        <v>234</v>
      </c>
      <c r="B58" s="22">
        <f>+INDEX([1]Sheet1!$G$70:$G$77,COLUMN()-COLUMN($B$77)+1)</f>
        <v>-10</v>
      </c>
      <c r="C58" s="22">
        <f>+INDEX([1]Sheet1!$G$70:$G$77,COLUMN()-COLUMN($B$77)+1)</f>
        <v>0</v>
      </c>
      <c r="D58" s="22">
        <f>+INDEX([1]Sheet1!$G$70:$G$77,COLUMN()-COLUMN($B$77)+1)</f>
        <v>0</v>
      </c>
      <c r="E58" s="22">
        <f>+INDEX([1]Sheet1!$G$70:$G$77,COLUMN()-COLUMN($B$77)+1)</f>
        <v>0</v>
      </c>
      <c r="F58" s="22">
        <f>+INDEX([1]Sheet1!$G$70:$G$77,COLUMN()-COLUMN($B$77)+1)</f>
        <v>0</v>
      </c>
      <c r="G58" s="22">
        <f>+INDEX([1]Sheet1!$G$70:$G$77,COLUMN()-COLUMN($B$77)+1)</f>
        <v>0</v>
      </c>
      <c r="H58" s="22">
        <f>+INDEX([1]Sheet1!$G$70:$G$77,COLUMN()-COLUMN($B$77)+1)</f>
        <v>0</v>
      </c>
      <c r="I58" s="22">
        <f>+INDEX([1]Sheet1!$G$70:$G$77,COLUMN()-COLUMN($B$77)+1)</f>
        <v>0</v>
      </c>
    </row>
    <row r="60" spans="1:9" x14ac:dyDescent="0.25">
      <c r="A60" t="s">
        <v>235</v>
      </c>
      <c r="B60">
        <v>485</v>
      </c>
      <c r="C60">
        <v>485</v>
      </c>
      <c r="D60">
        <v>485</v>
      </c>
      <c r="E60">
        <v>485</v>
      </c>
      <c r="F60">
        <v>485</v>
      </c>
      <c r="G60">
        <v>485</v>
      </c>
      <c r="H60">
        <v>485</v>
      </c>
      <c r="I60">
        <v>485</v>
      </c>
    </row>
    <row r="62" spans="1:9" x14ac:dyDescent="0.25">
      <c r="A62" t="s">
        <v>116</v>
      </c>
    </row>
    <row r="63" spans="1:9" x14ac:dyDescent="0.25">
      <c r="A63" t="s">
        <v>108</v>
      </c>
      <c r="B63" t="s">
        <v>109</v>
      </c>
      <c r="C63" t="s">
        <v>110</v>
      </c>
      <c r="D63" t="s">
        <v>111</v>
      </c>
      <c r="E63" t="s">
        <v>112</v>
      </c>
      <c r="F63" t="s">
        <v>113</v>
      </c>
      <c r="G63" t="s">
        <v>114</v>
      </c>
      <c r="H63" t="s">
        <v>115</v>
      </c>
    </row>
    <row r="64" spans="1:9" x14ac:dyDescent="0.25">
      <c r="A64" t="s">
        <v>116</v>
      </c>
    </row>
    <row r="65" spans="1:9" x14ac:dyDescent="0.25">
      <c r="A65" t="s">
        <v>117</v>
      </c>
      <c r="B65">
        <v>-8000</v>
      </c>
      <c r="C65">
        <v>-32000</v>
      </c>
      <c r="D65">
        <v>-5</v>
      </c>
      <c r="E65" s="22">
        <f t="shared" ref="E65:F72" si="0">+$B$4</f>
        <v>1333</v>
      </c>
      <c r="F65" s="22">
        <f t="shared" si="0"/>
        <v>1333</v>
      </c>
      <c r="G65">
        <v>10</v>
      </c>
      <c r="H65">
        <v>0</v>
      </c>
    </row>
    <row r="66" spans="1:9" x14ac:dyDescent="0.25">
      <c r="A66" t="s">
        <v>118</v>
      </c>
      <c r="B66">
        <v>-8000</v>
      </c>
      <c r="C66">
        <v>-32000</v>
      </c>
      <c r="D66">
        <v>-5</v>
      </c>
      <c r="E66" s="22">
        <f t="shared" si="0"/>
        <v>1333</v>
      </c>
      <c r="F66" s="22">
        <f t="shared" si="0"/>
        <v>1333</v>
      </c>
      <c r="G66">
        <v>10</v>
      </c>
      <c r="H66">
        <v>0</v>
      </c>
    </row>
    <row r="67" spans="1:9" x14ac:dyDescent="0.25">
      <c r="A67" t="s">
        <v>119</v>
      </c>
      <c r="B67">
        <v>8000</v>
      </c>
      <c r="C67">
        <v>32000</v>
      </c>
      <c r="D67">
        <v>5</v>
      </c>
      <c r="E67" s="22">
        <f t="shared" si="0"/>
        <v>1333</v>
      </c>
      <c r="F67" s="22">
        <f t="shared" si="0"/>
        <v>1333</v>
      </c>
      <c r="G67">
        <v>10</v>
      </c>
      <c r="H67">
        <v>0</v>
      </c>
    </row>
    <row r="68" spans="1:9" x14ac:dyDescent="0.25">
      <c r="A68" t="s">
        <v>120</v>
      </c>
      <c r="B68">
        <v>-8000</v>
      </c>
      <c r="C68">
        <v>-32000</v>
      </c>
      <c r="D68">
        <v>-5</v>
      </c>
      <c r="E68" s="22">
        <f t="shared" si="0"/>
        <v>1333</v>
      </c>
      <c r="F68" s="22">
        <f t="shared" si="0"/>
        <v>1333</v>
      </c>
      <c r="G68">
        <v>10</v>
      </c>
      <c r="H68">
        <v>0</v>
      </c>
    </row>
    <row r="69" spans="1:9" x14ac:dyDescent="0.25">
      <c r="A69" t="s">
        <v>121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 x14ac:dyDescent="0.25">
      <c r="A70" t="s">
        <v>122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 x14ac:dyDescent="0.25">
      <c r="A71" t="s">
        <v>123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 x14ac:dyDescent="0.25">
      <c r="A72" t="s">
        <v>124</v>
      </c>
      <c r="B72">
        <v>-120</v>
      </c>
      <c r="C72">
        <v>-1250</v>
      </c>
      <c r="D72">
        <v>0</v>
      </c>
      <c r="E72" s="22">
        <f t="shared" si="0"/>
        <v>1333</v>
      </c>
      <c r="F72" s="22">
        <f t="shared" si="0"/>
        <v>1333</v>
      </c>
      <c r="G72">
        <v>5</v>
      </c>
      <c r="H72">
        <v>0</v>
      </c>
    </row>
    <row r="74" spans="1:9" x14ac:dyDescent="0.25">
      <c r="A74" t="s">
        <v>129</v>
      </c>
    </row>
    <row r="75" spans="1:9" x14ac:dyDescent="0.25">
      <c r="A75" t="s">
        <v>236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 x14ac:dyDescent="0.25">
      <c r="A76" t="s">
        <v>130</v>
      </c>
      <c r="B76">
        <v>3</v>
      </c>
      <c r="C76">
        <v>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</row>
    <row r="77" spans="1:9" x14ac:dyDescent="0.25">
      <c r="A77" t="s">
        <v>131</v>
      </c>
      <c r="B77" s="22">
        <f>+INDEX(Sheet1!$L$70:$L$77,COLUMN()-COLUMN($B$75)+1)</f>
        <v>694.19999999999993</v>
      </c>
      <c r="C77" s="22">
        <f>+INDEX(Sheet1!$L$70:$L$77,COLUMN()-COLUMN($B$75)+1)</f>
        <v>230</v>
      </c>
      <c r="D77" s="22">
        <f>+INDEX(Sheet1!$L$70:$L$77,COLUMN()-COLUMN($B$75)+1)</f>
        <v>13</v>
      </c>
      <c r="E77" s="22">
        <f>+INDEX(Sheet1!$L$70:$L$77,COLUMN()-COLUMN($B$75)+1)</f>
        <v>235</v>
      </c>
      <c r="F77" s="22">
        <f>+INDEX(Sheet1!$L$70:$L$77,COLUMN()-COLUMN($B$75)+1)</f>
        <v>0</v>
      </c>
      <c r="G77" s="22">
        <f>+INDEX(Sheet1!$L$70:$L$77,COLUMN()-COLUMN($B$75)+1)</f>
        <v>235</v>
      </c>
      <c r="H77" s="22">
        <f>+INDEX(Sheet1!$L$70:$L$77,COLUMN()-COLUMN($B$75)+1)</f>
        <v>0</v>
      </c>
      <c r="I77" s="22">
        <f>+INDEX(Sheet1!$L$70:$L$77,COLUMN()-COLUMN($B$75)+1)</f>
        <v>738</v>
      </c>
    </row>
    <row r="78" spans="1:9" x14ac:dyDescent="0.25">
      <c r="A78" t="s">
        <v>132</v>
      </c>
      <c r="B78" s="22">
        <f>+INDEX(Sheet1!$M$70:$M$77,COLUMN()-COLUMN($B$75)+1)</f>
        <v>10</v>
      </c>
      <c r="C78" s="22">
        <f>+INDEX(Sheet1!$M$70:$M$77,COLUMN()-COLUMN($B$75)+1)</f>
        <v>10</v>
      </c>
      <c r="D78" s="22">
        <f>+INDEX(Sheet1!$M$70:$M$77,COLUMN()-COLUMN($B$75)+1)</f>
        <v>10</v>
      </c>
      <c r="E78" s="22">
        <f>+INDEX(Sheet1!$M$70:$M$77,COLUMN()-COLUMN($B$75)+1)</f>
        <v>10</v>
      </c>
      <c r="F78" s="22">
        <f>+INDEX(Sheet1!$M$70:$M$77,COLUMN()-COLUMN($B$75)+1)</f>
        <v>10</v>
      </c>
      <c r="G78" s="22">
        <f>+INDEX(Sheet1!$M$70:$M$77,COLUMN()-COLUMN($B$75)+1)</f>
        <v>10</v>
      </c>
      <c r="H78" s="22">
        <f>+INDEX(Sheet1!$M$70:$M$77,COLUMN()-COLUMN($B$75)+1)</f>
        <v>10</v>
      </c>
      <c r="I78" s="22">
        <f>+INDEX(Sheet1!$M$70:$M$77,COLUMN()-COLUMN($B$75)+1)</f>
        <v>10</v>
      </c>
    </row>
    <row r="79" spans="1:9" x14ac:dyDescent="0.25">
      <c r="A79" t="s">
        <v>133</v>
      </c>
      <c r="B79" s="22">
        <f>+INDEX(Sheet1!$N$70:$N$77,COLUMN()-COLUMN($B$75)+1)</f>
        <v>0</v>
      </c>
      <c r="C79" s="22">
        <f>+INDEX(Sheet1!$N$70:$N$77,COLUMN()-COLUMN($B$75)+1)</f>
        <v>6000</v>
      </c>
      <c r="D79" s="22">
        <f>+INDEX(Sheet1!$N$70:$N$77,COLUMN()-COLUMN($B$75)+1)</f>
        <v>6600</v>
      </c>
      <c r="E79" s="22">
        <f>+INDEX(Sheet1!$N$70:$N$77,COLUMN()-COLUMN($B$75)+1)</f>
        <v>6000</v>
      </c>
      <c r="F79" s="22">
        <f>+INDEX(Sheet1!$N$70:$N$77,COLUMN()-COLUMN($B$75)+1)</f>
        <v>-6600</v>
      </c>
      <c r="G79" s="22">
        <f>+INDEX(Sheet1!$N$70:$N$77,COLUMN()-COLUMN($B$75)+1)</f>
        <v>6000</v>
      </c>
      <c r="H79" s="22">
        <f>+INDEX(Sheet1!$N$70:$N$77,COLUMN()-COLUMN($B$75)+1)</f>
        <v>6500</v>
      </c>
      <c r="I79" s="22">
        <f>+INDEX(Sheet1!$N$70:$N$77,COLUMN()-COLUMN($B$75)+1)</f>
        <v>26000</v>
      </c>
    </row>
    <row r="80" spans="1:9" x14ac:dyDescent="0.25">
      <c r="A80" t="s">
        <v>134</v>
      </c>
      <c r="B80" s="22">
        <f>+INDEX(Sheet1!$O$70:$O$77,COLUMN()-COLUMN($B$75)+1)</f>
        <v>0</v>
      </c>
      <c r="C80" s="22">
        <f>+INDEX(Sheet1!$O$70:$O$77,COLUMN()-COLUMN($B$75)+1)</f>
        <v>0</v>
      </c>
      <c r="D80" s="22">
        <f>+INDEX(Sheet1!$O$70:$O$77,COLUMN()-COLUMN($B$75)+1)</f>
        <v>0</v>
      </c>
      <c r="E80" s="22">
        <f>+INDEX(Sheet1!$O$70:$O$77,COLUMN()-COLUMN($B$75)+1)</f>
        <v>0</v>
      </c>
      <c r="F80" s="22">
        <f>+INDEX(Sheet1!$O$70:$O$77,COLUMN()-COLUMN($B$75)+1)</f>
        <v>0</v>
      </c>
      <c r="G80" s="22">
        <f>+INDEX(Sheet1!$O$70:$O$77,COLUMN()-COLUMN($B$75)+1)</f>
        <v>0</v>
      </c>
      <c r="H80" s="22">
        <f>+INDEX(Sheet1!$O$70:$O$77,COLUMN()-COLUMN($B$75)+1)</f>
        <v>0</v>
      </c>
      <c r="I80" s="22">
        <f>+INDEX(Sheet1!$O$70:$O$77,COLUMN()-COLUMN($B$75)+1)</f>
        <v>0</v>
      </c>
    </row>
    <row r="81" spans="1:9" x14ac:dyDescent="0.25">
      <c r="A81" t="s">
        <v>135</v>
      </c>
      <c r="B81" s="22">
        <f>+INDEX(Sheet1!$P$70:$P$77,COLUMN()-COLUMN($B$75)+1)</f>
        <v>100</v>
      </c>
      <c r="C81" s="22">
        <f>+INDEX(Sheet1!$P$70:$P$77,COLUMN()-COLUMN($B$75)+1)</f>
        <v>100</v>
      </c>
      <c r="D81" s="22">
        <f>+INDEX(Sheet1!$P$70:$P$77,COLUMN()-COLUMN($B$75)+1)</f>
        <v>100</v>
      </c>
      <c r="E81" s="22">
        <f>+INDEX(Sheet1!$P$70:$P$77,COLUMN()-COLUMN($B$75)+1)</f>
        <v>100</v>
      </c>
      <c r="F81" s="22">
        <f>+INDEX(Sheet1!$P$70:$P$77,COLUMN()-COLUMN($B$75)+1)</f>
        <v>100</v>
      </c>
      <c r="G81" s="22">
        <f>+INDEX(Sheet1!$P$70:$P$77,COLUMN()-COLUMN($B$75)+1)</f>
        <v>100</v>
      </c>
      <c r="H81" s="22">
        <f>+INDEX(Sheet1!$P$70:$P$77,COLUMN()-COLUMN($B$75)+1)</f>
        <v>100</v>
      </c>
      <c r="I81" s="22">
        <f>+INDEX(Sheet1!$P$70:$P$77,COLUMN()-COLUMN($B$75)+1)</f>
        <v>100</v>
      </c>
    </row>
    <row r="83" spans="1:9" x14ac:dyDescent="0.25">
      <c r="A83" t="s">
        <v>136</v>
      </c>
    </row>
    <row r="84" spans="1:9" x14ac:dyDescent="0.25">
      <c r="A84" t="s">
        <v>236</v>
      </c>
      <c r="B84">
        <v>0</v>
      </c>
      <c r="C84">
        <v>1</v>
      </c>
      <c r="D84">
        <v>2</v>
      </c>
      <c r="E84">
        <v>3</v>
      </c>
      <c r="F84">
        <v>4</v>
      </c>
      <c r="G84">
        <v>5</v>
      </c>
      <c r="H84">
        <v>6</v>
      </c>
      <c r="I84">
        <v>7</v>
      </c>
    </row>
    <row r="85" spans="1:9" x14ac:dyDescent="0.25">
      <c r="A85" t="s">
        <v>137</v>
      </c>
      <c r="B85" s="22">
        <f>+INDEX(Sheet1!$Q$70:$Q$77,COLUMN()-COLUMN($B$75)+1)</f>
        <v>0</v>
      </c>
      <c r="C85" s="22">
        <f>+INDEX(Sheet1!$Q$70:$Q$77,COLUMN()-COLUMN($B$75)+1)</f>
        <v>0</v>
      </c>
      <c r="D85" s="22">
        <f>+INDEX(Sheet1!$Q$70:$Q$77,COLUMN()-COLUMN($B$75)+1)</f>
        <v>0</v>
      </c>
      <c r="E85" s="22">
        <f>+INDEX(Sheet1!$Q$70:$Q$77,COLUMN()-COLUMN($B$75)+1)</f>
        <v>0</v>
      </c>
      <c r="F85" s="22">
        <f>+INDEX(Sheet1!$Q$70:$Q$77,COLUMN()-COLUMN($B$75)+1)</f>
        <v>0</v>
      </c>
      <c r="G85" s="22">
        <f>+INDEX(Sheet1!$Q$70:$Q$77,COLUMN()-COLUMN($B$75)+1)</f>
        <v>0</v>
      </c>
      <c r="H85" s="22">
        <f>+INDEX(Sheet1!$Q$70:$Q$77,COLUMN()-COLUMN($B$75)+1)</f>
        <v>0</v>
      </c>
      <c r="I85" s="22">
        <f>+INDEX(Sheet1!$Q$70:$Q$77,COLUMN()-COLUMN($B$75)+1)</f>
        <v>0</v>
      </c>
    </row>
    <row r="86" spans="1:9" x14ac:dyDescent="0.25">
      <c r="A86" t="s">
        <v>138</v>
      </c>
      <c r="B86" s="22">
        <f>+INDEX(Sheet1!$R$70:$R$77,COLUMN()-COLUMN($B$75)+1)</f>
        <v>10</v>
      </c>
      <c r="C86" s="22">
        <f>+INDEX(Sheet1!$R$70:$R$77,COLUMN()-COLUMN($B$75)+1)</f>
        <v>10</v>
      </c>
      <c r="D86" s="22">
        <f>+INDEX(Sheet1!$R$70:$R$77,COLUMN()-COLUMN($B$75)+1)</f>
        <v>10</v>
      </c>
      <c r="E86" s="22">
        <f>+INDEX(Sheet1!$R$70:$R$77,COLUMN()-COLUMN($B$75)+1)</f>
        <v>10</v>
      </c>
      <c r="F86" s="22">
        <f>+INDEX(Sheet1!$R$70:$R$77,COLUMN()-COLUMN($B$75)+1)</f>
        <v>10</v>
      </c>
      <c r="G86" s="22">
        <f>+INDEX(Sheet1!$R$70:$R$77,COLUMN()-COLUMN($B$75)+1)</f>
        <v>10</v>
      </c>
      <c r="H86" s="22">
        <f>+INDEX(Sheet1!$R$70:$R$77,COLUMN()-COLUMN($B$75)+1)</f>
        <v>10</v>
      </c>
      <c r="I86" s="22">
        <f>+INDEX(Sheet1!$R$70:$R$77,COLUMN()-COLUMN($B$75)+1)</f>
        <v>10</v>
      </c>
    </row>
    <row r="87" spans="1:9" x14ac:dyDescent="0.25">
      <c r="A87" t="s">
        <v>105</v>
      </c>
    </row>
    <row r="88" spans="1:9" x14ac:dyDescent="0.25">
      <c r="A8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 x14ac:dyDescent="0.2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 x14ac:dyDescent="0.25">
      <c r="A3" s="16" t="s">
        <v>78</v>
      </c>
      <c r="B3" s="17">
        <v>1333</v>
      </c>
      <c r="D3" t="s">
        <v>79</v>
      </c>
      <c r="F3" t="s">
        <v>80</v>
      </c>
    </row>
    <row r="4" spans="1:6" x14ac:dyDescent="0.25">
      <c r="A4" s="18"/>
      <c r="B4" s="19"/>
    </row>
    <row r="5" spans="1:6" x14ac:dyDescent="0.25">
      <c r="A5" s="20" t="s">
        <v>81</v>
      </c>
      <c r="B5" s="21">
        <v>7000</v>
      </c>
      <c r="D5" t="s">
        <v>82</v>
      </c>
    </row>
    <row r="10" spans="1:6" x14ac:dyDescent="0.25">
      <c r="A10" t="s">
        <v>85</v>
      </c>
    </row>
    <row r="11" spans="1:6" x14ac:dyDescent="0.25">
      <c r="A11" t="s">
        <v>158</v>
      </c>
    </row>
    <row r="12" spans="1:6" x14ac:dyDescent="0.25">
      <c r="A12" t="s">
        <v>85</v>
      </c>
    </row>
    <row r="13" spans="1:6" x14ac:dyDescent="0.25">
      <c r="A13" t="s">
        <v>86</v>
      </c>
    </row>
    <row r="14" spans="1:6" x14ac:dyDescent="0.25">
      <c r="A14" t="s">
        <v>87</v>
      </c>
      <c r="B14" t="s">
        <v>159</v>
      </c>
    </row>
    <row r="15" spans="1:6" x14ac:dyDescent="0.25">
      <c r="A15" t="s">
        <v>89</v>
      </c>
      <c r="B15">
        <v>0</v>
      </c>
    </row>
    <row r="16" spans="1:6" x14ac:dyDescent="0.25">
      <c r="A16" t="s">
        <v>90</v>
      </c>
      <c r="B16">
        <v>0</v>
      </c>
    </row>
    <row r="17" spans="1:11" x14ac:dyDescent="0.25">
      <c r="A17" t="s">
        <v>91</v>
      </c>
      <c r="B17">
        <v>10</v>
      </c>
    </row>
    <row r="18" spans="1:11" x14ac:dyDescent="0.25">
      <c r="A18" t="s">
        <v>92</v>
      </c>
      <c r="B18">
        <v>300</v>
      </c>
    </row>
    <row r="19" spans="1:11" x14ac:dyDescent="0.25">
      <c r="A19" t="s">
        <v>142</v>
      </c>
      <c r="B19">
        <v>500</v>
      </c>
    </row>
    <row r="20" spans="1:11" x14ac:dyDescent="0.25">
      <c r="A20" t="s">
        <v>143</v>
      </c>
      <c r="B20">
        <v>500</v>
      </c>
    </row>
    <row r="21" spans="1:11" x14ac:dyDescent="0.25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 x14ac:dyDescent="0.25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 x14ac:dyDescent="0.25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 x14ac:dyDescent="0.25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 x14ac:dyDescent="0.25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 x14ac:dyDescent="0.25">
      <c r="A29" t="s">
        <v>102</v>
      </c>
    </row>
    <row r="30" spans="1:11" x14ac:dyDescent="0.25">
      <c r="A30" t="s">
        <v>103</v>
      </c>
      <c r="B30">
        <v>10</v>
      </c>
      <c r="C30" t="s">
        <v>104</v>
      </c>
    </row>
    <row r="31" spans="1:11" x14ac:dyDescent="0.25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 x14ac:dyDescent="0.25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 x14ac:dyDescent="0.25">
      <c r="A33" t="s">
        <v>105</v>
      </c>
    </row>
    <row r="34" spans="1:11" x14ac:dyDescent="0.25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 x14ac:dyDescent="0.25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 x14ac:dyDescent="0.25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 x14ac:dyDescent="0.25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 x14ac:dyDescent="0.25">
      <c r="A40" t="s">
        <v>106</v>
      </c>
      <c r="B40">
        <v>0</v>
      </c>
    </row>
    <row r="42" spans="1:11" x14ac:dyDescent="0.25">
      <c r="A42" t="s">
        <v>151</v>
      </c>
    </row>
    <row r="43" spans="1:11" x14ac:dyDescent="0.25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 x14ac:dyDescent="0.25">
      <c r="A45" t="s">
        <v>152</v>
      </c>
    </row>
    <row r="46" spans="1:11" x14ac:dyDescent="0.25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 x14ac:dyDescent="0.25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 x14ac:dyDescent="0.25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 x14ac:dyDescent="0.25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 x14ac:dyDescent="0.25">
      <c r="A51" t="s">
        <v>160</v>
      </c>
    </row>
    <row r="52" spans="1:11" x14ac:dyDescent="0.25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 x14ac:dyDescent="0.25">
      <c r="A53" t="s">
        <v>116</v>
      </c>
    </row>
    <row r="54" spans="1:11" x14ac:dyDescent="0.25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 x14ac:dyDescent="0.25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 x14ac:dyDescent="0.25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 x14ac:dyDescent="0.25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 x14ac:dyDescent="0.25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 x14ac:dyDescent="0.25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 x14ac:dyDescent="0.25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 x14ac:dyDescent="0.25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 x14ac:dyDescent="0.25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 x14ac:dyDescent="0.25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 x14ac:dyDescent="0.25">
      <c r="A65" t="s">
        <v>129</v>
      </c>
    </row>
    <row r="66" spans="1:11" x14ac:dyDescent="0.25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 x14ac:dyDescent="0.25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 x14ac:dyDescent="0.25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 x14ac:dyDescent="0.25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 x14ac:dyDescent="0.25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 x14ac:dyDescent="0.25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 x14ac:dyDescent="0.25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 x14ac:dyDescent="0.25">
      <c r="A74" t="s">
        <v>136</v>
      </c>
    </row>
    <row r="75" spans="1:11" x14ac:dyDescent="0.25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 x14ac:dyDescent="0.25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 x14ac:dyDescent="0.25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 x14ac:dyDescent="0.25">
      <c r="A78" t="s">
        <v>105</v>
      </c>
    </row>
    <row r="79" spans="1:11" x14ac:dyDescent="0.25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 x14ac:dyDescent="0.25"/>
  <cols>
    <col min="1" max="1" width="18" customWidth="1"/>
  </cols>
  <sheetData>
    <row r="1" spans="1:7" x14ac:dyDescent="0.25">
      <c r="A1" t="s">
        <v>167</v>
      </c>
    </row>
    <row r="2" spans="1:7" x14ac:dyDescent="0.25">
      <c r="A2" t="s">
        <v>168</v>
      </c>
    </row>
    <row r="3" spans="1:7" x14ac:dyDescent="0.25">
      <c r="A3" t="s">
        <v>169</v>
      </c>
    </row>
    <row r="4" spans="1:7" x14ac:dyDescent="0.25">
      <c r="A4" t="s">
        <v>170</v>
      </c>
    </row>
    <row r="7" spans="1:7" x14ac:dyDescent="0.25">
      <c r="A7" t="s">
        <v>172</v>
      </c>
    </row>
    <row r="8" spans="1:7" x14ac:dyDescent="0.25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 x14ac:dyDescent="0.25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 x14ac:dyDescent="0.25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 x14ac:dyDescent="0.25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 x14ac:dyDescent="0.25">
      <c r="A14" t="s">
        <v>171</v>
      </c>
    </row>
    <row r="15" spans="1:7" x14ac:dyDescent="0.25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 x14ac:dyDescent="0.25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 x14ac:dyDescent="0.25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 x14ac:dyDescent="0.25">
      <c r="A20" t="s">
        <v>174</v>
      </c>
    </row>
    <row r="21" spans="1:7" x14ac:dyDescent="0.25">
      <c r="A21" t="s">
        <v>186</v>
      </c>
      <c r="B21">
        <v>0</v>
      </c>
      <c r="C21">
        <v>1</v>
      </c>
      <c r="D21">
        <v>2</v>
      </c>
    </row>
    <row r="22" spans="1:7" x14ac:dyDescent="0.25">
      <c r="A22" t="s">
        <v>175</v>
      </c>
      <c r="B22">
        <v>3</v>
      </c>
      <c r="C22">
        <v>3</v>
      </c>
      <c r="D22">
        <v>3</v>
      </c>
    </row>
    <row r="23" spans="1:7" x14ac:dyDescent="0.25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 x14ac:dyDescent="0.25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 x14ac:dyDescent="0.25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 x14ac:dyDescent="0.25">
      <c r="A27" t="s">
        <v>173</v>
      </c>
    </row>
    <row r="28" spans="1:7" x14ac:dyDescent="0.25">
      <c r="A28" t="s">
        <v>186</v>
      </c>
      <c r="B28">
        <v>0</v>
      </c>
      <c r="C28">
        <v>1</v>
      </c>
      <c r="D28">
        <v>2</v>
      </c>
    </row>
    <row r="29" spans="1:7" x14ac:dyDescent="0.25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 x14ac:dyDescent="0.25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 x14ac:dyDescent="0.25">
      <c r="A33" t="s">
        <v>176</v>
      </c>
    </row>
    <row r="34" spans="1:17" x14ac:dyDescent="0.25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 x14ac:dyDescent="0.25">
      <c r="A35" t="s">
        <v>188</v>
      </c>
      <c r="B35">
        <f>Left_arm!B99</f>
        <v>3</v>
      </c>
      <c r="C35">
        <f>Left_arm!C99</f>
        <v>3</v>
      </c>
      <c r="D35">
        <f>Left_arm!D99</f>
        <v>3</v>
      </c>
      <c r="E35">
        <f>Left_arm!E99</f>
        <v>3</v>
      </c>
      <c r="F35">
        <f>Left_arm!F99</f>
        <v>0</v>
      </c>
      <c r="G35">
        <f>Left_arm!G99</f>
        <v>2</v>
      </c>
      <c r="H35">
        <f>Left_arm!H99</f>
        <v>2</v>
      </c>
      <c r="I35">
        <f>Left_arm!I99</f>
        <v>3</v>
      </c>
      <c r="J35">
        <f>Left_hand!B72</f>
        <v>3</v>
      </c>
      <c r="K35">
        <f>Left_hand!C72</f>
        <v>4</v>
      </c>
      <c r="L35">
        <f>Left_hand!D72</f>
        <v>4</v>
      </c>
      <c r="M35">
        <f>Left_hand!E72</f>
        <v>4</v>
      </c>
      <c r="N35">
        <f>Left_hand!F72</f>
        <v>4</v>
      </c>
      <c r="O35">
        <f>Left_hand!G72</f>
        <v>4</v>
      </c>
      <c r="P35">
        <f>Left_hand!H72</f>
        <v>4</v>
      </c>
      <c r="Q35">
        <f>Left_hand!I72</f>
        <v>4</v>
      </c>
    </row>
    <row r="36" spans="1:17" x14ac:dyDescent="0.25">
      <c r="A36" t="s">
        <v>196</v>
      </c>
      <c r="B36">
        <f>Left_arm!B100</f>
        <v>2388.75</v>
      </c>
      <c r="C36">
        <f>Left_arm!C100</f>
        <v>3241.875</v>
      </c>
      <c r="D36">
        <f>Left_arm!D100</f>
        <v>-275.93269230769238</v>
      </c>
      <c r="E36">
        <f>Left_arm!E100</f>
        <v>1532</v>
      </c>
      <c r="F36">
        <f>Left_arm!F100</f>
        <v>550</v>
      </c>
      <c r="G36">
        <f>Left_arm!G100</f>
        <v>650</v>
      </c>
      <c r="H36">
        <f>Left_arm!H100</f>
        <v>650</v>
      </c>
      <c r="I36">
        <f>Left_arm!I100</f>
        <v>2080</v>
      </c>
      <c r="J36">
        <f>Left_hand!B73</f>
        <v>3489.6000000000004</v>
      </c>
      <c r="K36">
        <f>Left_hand!C73</f>
        <v>235</v>
      </c>
      <c r="L36">
        <f>Left_hand!D73</f>
        <v>30</v>
      </c>
      <c r="M36">
        <f>Left_hand!E73</f>
        <v>235</v>
      </c>
      <c r="N36">
        <f>Left_hand!F73</f>
        <v>10</v>
      </c>
      <c r="O36">
        <f>Left_hand!G73</f>
        <v>228</v>
      </c>
      <c r="P36">
        <f>Left_hand!H73</f>
        <v>6</v>
      </c>
      <c r="Q36">
        <f>Left_hand!I73</f>
        <v>699</v>
      </c>
    </row>
    <row r="37" spans="1:17" x14ac:dyDescent="0.25">
      <c r="A37" t="s">
        <v>197</v>
      </c>
      <c r="B37">
        <f>Left_arm!B101</f>
        <v>10</v>
      </c>
      <c r="C37">
        <f>Left_arm!C101</f>
        <v>10</v>
      </c>
      <c r="D37">
        <f>Left_arm!D101</f>
        <v>10</v>
      </c>
      <c r="E37">
        <f>Left_arm!E101</f>
        <v>10</v>
      </c>
      <c r="F37">
        <f>Left_arm!F101</f>
        <v>20</v>
      </c>
      <c r="G37">
        <f>Left_arm!G101</f>
        <v>-10</v>
      </c>
      <c r="H37">
        <f>Left_arm!H101</f>
        <v>-10</v>
      </c>
      <c r="I37">
        <f>Left_arm!I101</f>
        <v>100</v>
      </c>
      <c r="J37">
        <f>Left_hand!B74</f>
        <v>10</v>
      </c>
      <c r="K37">
        <f>Left_hand!C74</f>
        <v>10</v>
      </c>
      <c r="L37">
        <f>Left_hand!D74</f>
        <v>10</v>
      </c>
      <c r="M37">
        <f>Left_hand!E74</f>
        <v>10</v>
      </c>
      <c r="N37">
        <f>Left_hand!F74</f>
        <v>10</v>
      </c>
      <c r="O37">
        <f>Left_hand!G74</f>
        <v>10</v>
      </c>
      <c r="P37">
        <f>Left_hand!H74</f>
        <v>10</v>
      </c>
      <c r="Q37">
        <f>Left_hand!I74</f>
        <v>10</v>
      </c>
    </row>
    <row r="38" spans="1:17" x14ac:dyDescent="0.25">
      <c r="A38" t="s">
        <v>194</v>
      </c>
      <c r="B38">
        <f>Left_arm!B102</f>
        <v>641.55000000000007</v>
      </c>
      <c r="C38">
        <f>Left_arm!C102</f>
        <v>2482.0250000000001</v>
      </c>
      <c r="D38">
        <f>Left_arm!D102</f>
        <v>998.72499999999945</v>
      </c>
      <c r="E38">
        <f>Left_arm!E102</f>
        <v>341.25</v>
      </c>
      <c r="F38">
        <f>Left_arm!F102</f>
        <v>0</v>
      </c>
      <c r="G38">
        <f>Left_arm!G102</f>
        <v>0</v>
      </c>
      <c r="H38">
        <f>Left_arm!H102</f>
        <v>0</v>
      </c>
      <c r="I38">
        <f>Left_arm!I102</f>
        <v>0</v>
      </c>
      <c r="J38">
        <f>Left_hand!B75</f>
        <v>0</v>
      </c>
      <c r="K38">
        <f>Left_hand!C75</f>
        <v>6000</v>
      </c>
      <c r="L38">
        <f>Left_hand!D75</f>
        <v>6600</v>
      </c>
      <c r="M38">
        <f>Left_hand!E75</f>
        <v>6000</v>
      </c>
      <c r="N38">
        <f>Left_hand!F75</f>
        <v>6600</v>
      </c>
      <c r="O38">
        <f>Left_hand!G75</f>
        <v>6000</v>
      </c>
      <c r="P38">
        <f>Left_hand!H75</f>
        <v>-6600</v>
      </c>
      <c r="Q38">
        <f>Left_hand!I75</f>
        <v>26000</v>
      </c>
    </row>
    <row r="40" spans="1:17" x14ac:dyDescent="0.25">
      <c r="A40" t="s">
        <v>177</v>
      </c>
    </row>
    <row r="41" spans="1:17" x14ac:dyDescent="0.25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 x14ac:dyDescent="0.25">
      <c r="A42" t="s">
        <v>192</v>
      </c>
      <c r="B42">
        <f>Left_arm!B103</f>
        <v>-30</v>
      </c>
      <c r="C42">
        <f>Left_arm!C103</f>
        <v>30</v>
      </c>
      <c r="D42">
        <f>Left_arm!D103</f>
        <v>0</v>
      </c>
      <c r="E42">
        <f>Left_arm!E103</f>
        <v>45</v>
      </c>
      <c r="F42">
        <f>Left_arm!F103</f>
        <v>0</v>
      </c>
      <c r="G42">
        <f>Left_arm!G103</f>
        <v>0</v>
      </c>
      <c r="H42">
        <f>Left_arm!H103</f>
        <v>0</v>
      </c>
      <c r="I42">
        <f>Left_arm!I103</f>
        <v>0</v>
      </c>
      <c r="J42">
        <f>Left_hand!B76</f>
        <v>0</v>
      </c>
      <c r="K42">
        <f>Left_hand!C76</f>
        <v>0</v>
      </c>
      <c r="L42">
        <f>Left_hand!D76</f>
        <v>0</v>
      </c>
      <c r="M42">
        <f>Left_hand!E76</f>
        <v>0</v>
      </c>
      <c r="N42">
        <f>Left_hand!F76</f>
        <v>0</v>
      </c>
      <c r="O42">
        <f>Left_hand!G76</f>
        <v>0</v>
      </c>
      <c r="P42">
        <f>Left_hand!H76</f>
        <v>0</v>
      </c>
      <c r="Q42">
        <f>Left_hand!I76</f>
        <v>0</v>
      </c>
    </row>
    <row r="43" spans="1:17" x14ac:dyDescent="0.25">
      <c r="A43" t="s">
        <v>135</v>
      </c>
      <c r="B43">
        <f>Left_arm!B104</f>
        <v>10</v>
      </c>
      <c r="C43">
        <f>Left_arm!C104</f>
        <v>10</v>
      </c>
      <c r="D43">
        <f>Left_arm!D104</f>
        <v>10</v>
      </c>
      <c r="E43">
        <f>Left_arm!E104</f>
        <v>10</v>
      </c>
      <c r="F43">
        <f>Left_arm!F104</f>
        <v>30</v>
      </c>
      <c r="G43">
        <f>Left_arm!G104</f>
        <v>30</v>
      </c>
      <c r="H43">
        <f>Left_arm!H104</f>
        <v>30</v>
      </c>
      <c r="I43">
        <f>Left_arm!I104</f>
        <v>100</v>
      </c>
      <c r="J43">
        <f>Left_hand!B77</f>
        <v>100</v>
      </c>
      <c r="K43">
        <f>Left_hand!C77</f>
        <v>100</v>
      </c>
      <c r="L43">
        <f>Left_hand!D77</f>
        <v>100</v>
      </c>
      <c r="M43">
        <f>Left_hand!E77</f>
        <v>100</v>
      </c>
      <c r="N43">
        <f>Left_hand!F77</f>
        <v>100</v>
      </c>
      <c r="O43">
        <f>Left_hand!G77</f>
        <v>100</v>
      </c>
      <c r="P43">
        <f>Left_hand!H77</f>
        <v>100</v>
      </c>
      <c r="Q43">
        <f>Left_hand!I77</f>
        <v>100</v>
      </c>
    </row>
    <row r="46" spans="1:17" x14ac:dyDescent="0.25">
      <c r="A46" t="s">
        <v>178</v>
      </c>
    </row>
    <row r="47" spans="1:17" x14ac:dyDescent="0.25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 x14ac:dyDescent="0.25">
      <c r="A48" t="s">
        <v>130</v>
      </c>
      <c r="B48">
        <f>Right_arm!B100</f>
        <v>3</v>
      </c>
      <c r="C48">
        <f>Right_arm!C100</f>
        <v>3</v>
      </c>
      <c r="D48">
        <f>Right_arm!D100</f>
        <v>3</v>
      </c>
      <c r="E48">
        <f>Right_arm!E100</f>
        <v>3</v>
      </c>
      <c r="F48">
        <f>Right_arm!F100</f>
        <v>0</v>
      </c>
      <c r="G48">
        <f>Right_arm!G100</f>
        <v>2</v>
      </c>
      <c r="H48">
        <f>Right_arm!H100</f>
        <v>2</v>
      </c>
      <c r="I48">
        <f>Right_arm!I100</f>
        <v>3</v>
      </c>
      <c r="J48">
        <f>Right_hand!B76</f>
        <v>3</v>
      </c>
      <c r="K48">
        <f>Right_hand!C76</f>
        <v>4</v>
      </c>
      <c r="L48">
        <f>Right_hand!D76</f>
        <v>4</v>
      </c>
      <c r="M48">
        <f>Right_hand!E76</f>
        <v>4</v>
      </c>
      <c r="N48">
        <f>Right_hand!F76</f>
        <v>4</v>
      </c>
      <c r="O48">
        <f>Right_hand!G76</f>
        <v>4</v>
      </c>
      <c r="P48">
        <f>Right_hand!H76</f>
        <v>4</v>
      </c>
      <c r="Q48">
        <f>Right_hand!I76</f>
        <v>4</v>
      </c>
    </row>
    <row r="49" spans="1:17" x14ac:dyDescent="0.25">
      <c r="A49" t="s">
        <v>187</v>
      </c>
      <c r="B49">
        <f>Right_arm!B101</f>
        <v>1706.25</v>
      </c>
      <c r="C49">
        <f>Right_arm!C101</f>
        <v>853.125</v>
      </c>
      <c r="D49">
        <f>Right_arm!D101</f>
        <v>2795.3173076923076</v>
      </c>
      <c r="E49">
        <f>Right_arm!E101</f>
        <v>2558</v>
      </c>
      <c r="F49">
        <f>Right_arm!F101</f>
        <v>550</v>
      </c>
      <c r="G49">
        <f>Right_arm!G101</f>
        <v>650</v>
      </c>
      <c r="H49">
        <f>Right_arm!H101</f>
        <v>650</v>
      </c>
      <c r="I49">
        <f>Right_arm!I101</f>
        <v>1860</v>
      </c>
      <c r="J49">
        <f>Right_hand!B77</f>
        <v>694.19999999999993</v>
      </c>
      <c r="K49">
        <f>Right_hand!C77</f>
        <v>230</v>
      </c>
      <c r="L49">
        <f>Right_hand!D77</f>
        <v>13</v>
      </c>
      <c r="M49">
        <f>Right_hand!E77</f>
        <v>235</v>
      </c>
      <c r="N49">
        <f>Right_hand!F77</f>
        <v>0</v>
      </c>
      <c r="O49">
        <f>Right_hand!G77</f>
        <v>235</v>
      </c>
      <c r="P49">
        <f>Right_hand!H77</f>
        <v>0</v>
      </c>
      <c r="Q49">
        <f>Right_hand!I77</f>
        <v>738</v>
      </c>
    </row>
    <row r="50" spans="1:17" x14ac:dyDescent="0.25">
      <c r="A50" t="s">
        <v>190</v>
      </c>
      <c r="B50">
        <f>Right_arm!B102</f>
        <v>10</v>
      </c>
      <c r="C50">
        <f>Right_arm!C102</f>
        <v>10</v>
      </c>
      <c r="D50">
        <f>Right_arm!D102</f>
        <v>10</v>
      </c>
      <c r="E50">
        <f>Right_arm!E102</f>
        <v>10</v>
      </c>
      <c r="F50">
        <f>Right_arm!F102</f>
        <v>-20</v>
      </c>
      <c r="G50">
        <f>Right_arm!G102</f>
        <v>10</v>
      </c>
      <c r="H50">
        <f>Right_arm!H102</f>
        <v>10</v>
      </c>
      <c r="I50">
        <f>Right_arm!I102</f>
        <v>100</v>
      </c>
      <c r="J50">
        <f>Right_hand!B78</f>
        <v>10</v>
      </c>
      <c r="K50">
        <f>Right_hand!C78</f>
        <v>10</v>
      </c>
      <c r="L50">
        <f>Right_hand!D78</f>
        <v>10</v>
      </c>
      <c r="M50">
        <f>Right_hand!E78</f>
        <v>10</v>
      </c>
      <c r="N50">
        <f>Right_hand!F78</f>
        <v>10</v>
      </c>
      <c r="O50">
        <f>Right_hand!G78</f>
        <v>10</v>
      </c>
      <c r="P50">
        <f>Right_hand!H78</f>
        <v>10</v>
      </c>
      <c r="Q50">
        <f>Right_hand!I78</f>
        <v>10</v>
      </c>
    </row>
    <row r="51" spans="1:17" x14ac:dyDescent="0.25">
      <c r="A51" t="s">
        <v>189</v>
      </c>
      <c r="B51">
        <f>Right_arm!B103</f>
        <v>3412.5</v>
      </c>
      <c r="C51">
        <f>Right_arm!C103</f>
        <v>2711.7999999999997</v>
      </c>
      <c r="D51">
        <f>Right_arm!D103</f>
        <v>695.58124999999905</v>
      </c>
      <c r="E51">
        <f>Right_arm!E103</f>
        <v>2536.625</v>
      </c>
      <c r="F51">
        <f>Right_arm!F103</f>
        <v>0</v>
      </c>
      <c r="G51">
        <f>Right_arm!G103</f>
        <v>0</v>
      </c>
      <c r="H51">
        <f>Right_arm!H103</f>
        <v>0</v>
      </c>
      <c r="I51">
        <f>Right_arm!I103</f>
        <v>0</v>
      </c>
      <c r="J51">
        <f>Right_hand!B79</f>
        <v>0</v>
      </c>
      <c r="K51">
        <f>Right_hand!C79</f>
        <v>6000</v>
      </c>
      <c r="L51">
        <f>Right_hand!D79</f>
        <v>6600</v>
      </c>
      <c r="M51">
        <f>Right_hand!E79</f>
        <v>6000</v>
      </c>
      <c r="N51">
        <f>Right_hand!F79</f>
        <v>-6600</v>
      </c>
      <c r="O51">
        <f>Right_hand!G79</f>
        <v>6000</v>
      </c>
      <c r="P51">
        <f>Right_hand!H79</f>
        <v>6500</v>
      </c>
      <c r="Q51">
        <f>Right_hand!I79</f>
        <v>26000</v>
      </c>
    </row>
    <row r="53" spans="1:17" x14ac:dyDescent="0.25">
      <c r="A53" t="s">
        <v>179</v>
      </c>
    </row>
    <row r="54" spans="1:17" x14ac:dyDescent="0.25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 x14ac:dyDescent="0.25">
      <c r="A55" t="s">
        <v>200</v>
      </c>
      <c r="B55">
        <f>Right_arm!B104</f>
        <v>-30</v>
      </c>
      <c r="C55">
        <f>Right_arm!C104</f>
        <v>30</v>
      </c>
      <c r="D55">
        <f>Right_arm!D104</f>
        <v>0</v>
      </c>
      <c r="E55">
        <f>Right_arm!E104</f>
        <v>45</v>
      </c>
      <c r="F55">
        <f>Right_arm!F104</f>
        <v>0</v>
      </c>
      <c r="G55">
        <f>Right_arm!G104</f>
        <v>0</v>
      </c>
      <c r="H55">
        <f>Right_arm!H104</f>
        <v>0</v>
      </c>
      <c r="I55">
        <f>Right_arm!I104</f>
        <v>0</v>
      </c>
      <c r="J55">
        <f>Right_hand!B80</f>
        <v>0</v>
      </c>
      <c r="K55">
        <f>Right_hand!C80</f>
        <v>0</v>
      </c>
      <c r="L55">
        <f>Right_hand!D80</f>
        <v>0</v>
      </c>
      <c r="M55">
        <f>Right_hand!E80</f>
        <v>0</v>
      </c>
      <c r="N55">
        <f>Right_hand!F80</f>
        <v>0</v>
      </c>
      <c r="O55">
        <f>Right_hand!G80</f>
        <v>0</v>
      </c>
      <c r="P55">
        <f>Right_hand!H80</f>
        <v>0</v>
      </c>
      <c r="Q55">
        <f>Right_hand!I80</f>
        <v>0</v>
      </c>
    </row>
    <row r="56" spans="1:17" x14ac:dyDescent="0.25">
      <c r="A56" t="s">
        <v>135</v>
      </c>
      <c r="B56">
        <f>Right_arm!B105</f>
        <v>10</v>
      </c>
      <c r="C56">
        <f>Right_arm!C105</f>
        <v>10</v>
      </c>
      <c r="D56">
        <f>Right_arm!D105</f>
        <v>10</v>
      </c>
      <c r="E56">
        <f>Right_arm!E105</f>
        <v>10</v>
      </c>
      <c r="F56">
        <f>Right_arm!F105</f>
        <v>30</v>
      </c>
      <c r="G56">
        <f>Right_arm!G105</f>
        <v>30</v>
      </c>
      <c r="H56">
        <f>Right_arm!H105</f>
        <v>30</v>
      </c>
      <c r="I56">
        <f>Right_arm!I105</f>
        <v>100</v>
      </c>
      <c r="J56">
        <f>Right_hand!B81</f>
        <v>100</v>
      </c>
      <c r="K56">
        <f>Right_hand!C81</f>
        <v>100</v>
      </c>
      <c r="L56">
        <f>Right_hand!D81</f>
        <v>100</v>
      </c>
      <c r="M56">
        <f>Right_hand!E81</f>
        <v>100</v>
      </c>
      <c r="N56">
        <f>Right_hand!F81</f>
        <v>100</v>
      </c>
      <c r="O56">
        <f>Right_hand!G81</f>
        <v>100</v>
      </c>
      <c r="P56">
        <f>Right_hand!H81</f>
        <v>100</v>
      </c>
      <c r="Q56">
        <f>Right_hand!I81</f>
        <v>100</v>
      </c>
    </row>
    <row r="59" spans="1:17" x14ac:dyDescent="0.25">
      <c r="A59" t="s">
        <v>180</v>
      </c>
    </row>
    <row r="60" spans="1:17" x14ac:dyDescent="0.25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 x14ac:dyDescent="0.25">
      <c r="A61" t="s">
        <v>201</v>
      </c>
      <c r="B61">
        <f>Legs!H121</f>
        <v>3</v>
      </c>
      <c r="C61">
        <f>Legs!I121</f>
        <v>3</v>
      </c>
      <c r="D61">
        <f>Legs!J121</f>
        <v>3</v>
      </c>
      <c r="E61">
        <f>Legs!K121</f>
        <v>3</v>
      </c>
      <c r="F61">
        <f>Legs!L121</f>
        <v>3</v>
      </c>
      <c r="G61">
        <f>Legs!M121</f>
        <v>3</v>
      </c>
    </row>
    <row r="62" spans="1:17" x14ac:dyDescent="0.25">
      <c r="A62" t="s">
        <v>131</v>
      </c>
      <c r="B62">
        <f>Legs!H122</f>
        <v>2047.5</v>
      </c>
      <c r="C62">
        <f>Legs!I122</f>
        <v>2047.5</v>
      </c>
      <c r="D62">
        <f>Legs!J122</f>
        <v>2047.5</v>
      </c>
      <c r="E62">
        <f>Legs!K122</f>
        <v>2047.5</v>
      </c>
      <c r="F62">
        <f>Legs!L122</f>
        <v>2047.5</v>
      </c>
      <c r="G62">
        <f>Legs!M122</f>
        <v>2047.5</v>
      </c>
    </row>
    <row r="63" spans="1:17" x14ac:dyDescent="0.25">
      <c r="A63" t="s">
        <v>132</v>
      </c>
      <c r="B63">
        <f>Legs!H123</f>
        <v>10</v>
      </c>
      <c r="C63">
        <f>Legs!I123</f>
        <v>10</v>
      </c>
      <c r="D63">
        <f>Legs!J123</f>
        <v>10</v>
      </c>
      <c r="E63">
        <f>Legs!K123</f>
        <v>10</v>
      </c>
      <c r="F63">
        <f>Legs!L123</f>
        <v>10</v>
      </c>
      <c r="G63">
        <f>Legs!M123</f>
        <v>10</v>
      </c>
    </row>
    <row r="64" spans="1:17" x14ac:dyDescent="0.25">
      <c r="A64" t="s">
        <v>202</v>
      </c>
      <c r="B64">
        <f>Legs!H124</f>
        <v>3756.0250000000001</v>
      </c>
      <c r="C64">
        <f>Legs!I124</f>
        <v>393.57499999999993</v>
      </c>
      <c r="D64">
        <f>Legs!J124</f>
        <v>1797.25</v>
      </c>
      <c r="E64">
        <f>Legs!K124</f>
        <v>401.53750000000014</v>
      </c>
      <c r="F64">
        <f>Legs!L124</f>
        <v>2520.6999999999998</v>
      </c>
      <c r="G64">
        <f>Legs!M124</f>
        <v>513.01249999999993</v>
      </c>
    </row>
    <row r="66" spans="1:7" x14ac:dyDescent="0.25">
      <c r="A66" t="s">
        <v>181</v>
      </c>
    </row>
    <row r="67" spans="1:7" x14ac:dyDescent="0.25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 x14ac:dyDescent="0.25">
      <c r="A68" t="s">
        <v>134</v>
      </c>
      <c r="B68">
        <f>Legs!H125</f>
        <v>0</v>
      </c>
      <c r="C68">
        <f>Legs!I125</f>
        <v>0</v>
      </c>
      <c r="D68">
        <f>Legs!J125</f>
        <v>0</v>
      </c>
      <c r="E68">
        <f>Legs!K125</f>
        <v>0</v>
      </c>
      <c r="F68">
        <f>Legs!L125</f>
        <v>0</v>
      </c>
      <c r="G68">
        <f>Legs!M125</f>
        <v>0</v>
      </c>
    </row>
    <row r="69" spans="1:7" x14ac:dyDescent="0.25">
      <c r="A69" t="s">
        <v>203</v>
      </c>
      <c r="B69">
        <f>Legs!H126</f>
        <v>10</v>
      </c>
      <c r="C69">
        <f>Legs!I126</f>
        <v>10</v>
      </c>
      <c r="D69">
        <f>Legs!J126</f>
        <v>10</v>
      </c>
      <c r="E69">
        <f>Legs!K126</f>
        <v>10</v>
      </c>
      <c r="F69">
        <f>Legs!L126</f>
        <v>10</v>
      </c>
      <c r="G69">
        <f>Legs!M126</f>
        <v>10</v>
      </c>
    </row>
    <row r="71" spans="1:7" x14ac:dyDescent="0.25">
      <c r="A71" t="s">
        <v>182</v>
      </c>
    </row>
    <row r="72" spans="1:7" x14ac:dyDescent="0.25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 x14ac:dyDescent="0.25">
      <c r="A73" t="s">
        <v>130</v>
      </c>
      <c r="B73">
        <f>Legs!B121</f>
        <v>3</v>
      </c>
      <c r="C73">
        <f>Legs!C121</f>
        <v>3</v>
      </c>
      <c r="D73">
        <f>Legs!D121</f>
        <v>3</v>
      </c>
      <c r="E73">
        <f>Legs!E121</f>
        <v>3</v>
      </c>
      <c r="F73">
        <f>Legs!F121</f>
        <v>3</v>
      </c>
      <c r="G73">
        <f>Legs!G121</f>
        <v>3</v>
      </c>
    </row>
    <row r="74" spans="1:7" x14ac:dyDescent="0.25">
      <c r="A74" t="s">
        <v>131</v>
      </c>
      <c r="B74">
        <f>Legs!B122</f>
        <v>2047.5</v>
      </c>
      <c r="C74">
        <f>Legs!C122</f>
        <v>2047.5</v>
      </c>
      <c r="D74">
        <f>Legs!D122</f>
        <v>2047.5</v>
      </c>
      <c r="E74">
        <f>Legs!E122</f>
        <v>2047.5</v>
      </c>
      <c r="F74">
        <f>Legs!F122</f>
        <v>2047.5</v>
      </c>
      <c r="G74">
        <f>Legs!G122</f>
        <v>2047.5</v>
      </c>
    </row>
    <row r="75" spans="1:7" x14ac:dyDescent="0.25">
      <c r="A75" t="s">
        <v>205</v>
      </c>
      <c r="B75">
        <f>Legs!B123</f>
        <v>10</v>
      </c>
      <c r="C75">
        <f>Legs!C123</f>
        <v>10</v>
      </c>
      <c r="D75">
        <f>Legs!D123</f>
        <v>10</v>
      </c>
      <c r="E75">
        <f>Legs!E123</f>
        <v>10</v>
      </c>
      <c r="F75">
        <f>Legs!F123</f>
        <v>10</v>
      </c>
      <c r="G75">
        <f>Legs!G123</f>
        <v>10</v>
      </c>
    </row>
    <row r="76" spans="1:7" x14ac:dyDescent="0.25">
      <c r="A76" t="s">
        <v>194</v>
      </c>
      <c r="B76">
        <f>Legs!B124</f>
        <v>3068.9749999999999</v>
      </c>
      <c r="C76">
        <f>Legs!C124</f>
        <v>1922.375</v>
      </c>
      <c r="D76">
        <f>Legs!D124</f>
        <v>3042.8125</v>
      </c>
      <c r="E76">
        <f>Legs!E124</f>
        <v>2664.0250000000001</v>
      </c>
      <c r="F76">
        <f>Legs!F124</f>
        <v>1556.1000000000001</v>
      </c>
      <c r="G76">
        <f>Legs!G124</f>
        <v>3086.0374999999999</v>
      </c>
    </row>
    <row r="78" spans="1:7" x14ac:dyDescent="0.25">
      <c r="A78" t="s">
        <v>183</v>
      </c>
    </row>
    <row r="79" spans="1:7" x14ac:dyDescent="0.25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 x14ac:dyDescent="0.25">
      <c r="A80" t="s">
        <v>192</v>
      </c>
      <c r="B80">
        <f>Legs!B125</f>
        <v>0</v>
      </c>
      <c r="C80">
        <f>Legs!C125</f>
        <v>0</v>
      </c>
      <c r="D80">
        <f>Legs!D125</f>
        <v>0</v>
      </c>
      <c r="E80">
        <f>Legs!E125</f>
        <v>0</v>
      </c>
      <c r="F80">
        <f>Legs!F125</f>
        <v>0</v>
      </c>
      <c r="G80">
        <f>Legs!G125</f>
        <v>0</v>
      </c>
    </row>
    <row r="81" spans="1:7" x14ac:dyDescent="0.25">
      <c r="A81" t="s">
        <v>193</v>
      </c>
      <c r="B81">
        <f>Legs!B126</f>
        <v>10</v>
      </c>
      <c r="C81">
        <f>Legs!C126</f>
        <v>10</v>
      </c>
      <c r="D81">
        <f>Legs!D126</f>
        <v>10</v>
      </c>
      <c r="E81">
        <f>Legs!E126</f>
        <v>10</v>
      </c>
      <c r="F81">
        <f>Legs!F126</f>
        <v>10</v>
      </c>
      <c r="G81">
        <f>Legs!G126</f>
        <v>10</v>
      </c>
    </row>
    <row r="83" spans="1:7" x14ac:dyDescent="0.25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Randaz</cp:lastModifiedBy>
  <dcterms:created xsi:type="dcterms:W3CDTF">2009-11-13T07:16:58Z</dcterms:created>
  <dcterms:modified xsi:type="dcterms:W3CDTF">2010-10-06T10:25:53Z</dcterms:modified>
</cp:coreProperties>
</file>