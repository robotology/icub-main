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F80" i="5"/>
  <c r="F80" i="3"/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<sst xmlns="http://schemas.openxmlformats.org/spreadsheetml/2006/main" count="873" uniqueCount="302">
  <si>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</si>
  <si>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</si>
  <si>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</si>
  <si>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</si>
  <si>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</si>
  <si>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</si>
  <si>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</si>
  <si>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</si>
  <si>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</si>
  <si>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</si>
  <si>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</si>
  <si>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</si>
  <si>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</si>
  <si>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</si>
  <si>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</si>
  <si>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</si>
  <si>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</si>
  <si>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</si>
  <si>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</si>
  <si>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</si>
  <si>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</si>
  <si>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</si>
  <si>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</si>
  <si>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</si>
  <si>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</si>
  <si>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</si>
  <si>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</si>
  <si>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</si>
  <si>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</si>
  <si>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</si>
  <si>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</si>
  <si>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</si>
  <si>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</si>
  <si>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</si>
  <si>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</si>
  <si>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</si>
  <si>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</si>
  <si>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</si>
  <si>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</si>
  <si>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</si>
  <si>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</si>
  <si>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</si>
  <si>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</si>
  <si>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</si>
  <si>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</si>
  <si>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</si>
  <si>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</si>
  <si>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</si>
  <si>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</si>
  <si>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</si>
  <si>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</si>
  <si>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</si>
  <si>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</si>
  <si>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</si>
  <si>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</si>
  <si>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</si>
  <si>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</si>
  <si>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</si>
  <si>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</si>
  <si>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</si>
  <si>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</si>
  <si>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</si>
  <si>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</si>
  <si>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</si>
  <si>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</si>
  <si>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</si>
  <si>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</si>
  <si>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</si>
  <si>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</si>
  <si>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</si>
  <si>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</si>
  <si>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</si>
  <si>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</si>
  <si>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</si>
  <si>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</si>
  <si>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</si>
  <si>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</si>
  <si>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</si>
  <si>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</si>
  <si>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</si>
  <si>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</si>
  <si>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</si>
  <si>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</si>
  <si>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</si>
  <si>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</si>
  <si>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</si>
  <si>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</si>
  <si>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</si>
  <si>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</si>
  <si>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</si>
  <si>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</si>
  <si>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</si>
  <si>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</si>
  <si>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</si>
  <si>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</si>
  <si>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</si>
  <si>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</si>
  <si>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</si>
  <si>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</si>
  <si>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</si>
  <si>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</si>
  <si>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</si>
  <si>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</si>
  <si>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</si>
  <si>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</si>
  <si>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</si>
  <si>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</si>
  <si>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</si>
  <si>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</si>
  <si>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</si>
  <si>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</si>
  <si>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</si>
  <si>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</si>
  <si>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</si>
  <si>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</si>
  <si>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</si>
  <si>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</si>
  <si>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</si>
  <si>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</si>
  <si>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</si>
  <si>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</si>
  <si>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</si>
  <si>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</si>
  <si>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</si>
  <si>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</si>
  <si>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</si>
  <si>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</si>
  <si>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</si>
  <si>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</si>
  <si>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</si>
  <si>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</si>
  <si>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</si>
  <si>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</si>
  <si>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</si>
  <si>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</si>
  <si>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</si>
  <si>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</si>
  <si>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</si>
  <si>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</si>
  <si>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</si>
  <si>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</si>
  <si>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</si>
  <si>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</si>
  <si>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</si>
  <si>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</si>
  <si>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</si>
  <si>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</si>
  <si>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</si>
  <si>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</si>
  <si>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</si>
  <si>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</si>
  <si>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</si>
  <si>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</si>
  <si>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</si>
  <si>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</si>
  <si>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</si>
  <si>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</si>
  <si>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</si>
  <si>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</si>
  <si>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</si>
  <si>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</si>
  <si>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</si>
  <si>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</si>
  <si>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</si>
  <si>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</si>
  <si>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</si>
  <si>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</si>
  <si>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</si>
  <si>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</si>
  <si>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</si>
  <si>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</si>
  <si>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</si>
  <si>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</si>
  <si>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</si>
  <si>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</si>
  <si>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</si>
  <si>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</si>
  <si>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</si>
  <si>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</si>
  <si>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</si>
  <si>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</si>
  <si>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</si>
  <si>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</si>
  <si>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</si>
  <si>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</si>
  <si>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</si>
  <si>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</si>
  <si>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</si>
  <si>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</si>
  <si>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</si>
  <si>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</si>
  <si>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</si>
  <si>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</si>
  <si>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</si>
  <si>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</si>
  <si>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</si>
  <si>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</si>
  <si>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</si>
  <si>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</si>
  <si>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</si>
  <si>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</si>
  <si>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</si>
  <si>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</si>
  <si>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</si>
  <si>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</si>
  <si>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</si>
  <si>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</si>
  <si>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</si>
  <si>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</si>
  <si>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</si>
  <si>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</si>
  <si>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</si>
  <si>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</si>
  <si>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</si>
  <si>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</si>
  <si>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</si>
  <si>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</si>
  <si>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</si>
  <si>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</si>
  <si>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</si>
  <si>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</si>
  <si>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</si>
  <si>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</si>
  <si>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</si>
  <si>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</si>
  <si>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</si>
  <si>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</si>
  <si>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</si>
  <si>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</si>
  <si>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</si>
  <si>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</si>
  <si>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</si>
  <si>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</si>
  <si>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</si>
  <si>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</si>
  <si>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</si>
  <si>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</si>
  <si>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</si>
  <si>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</si>
  <si>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</si>
  <si>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</si>
  <si>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</si>
  <si>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</si>
  <si>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</si>
  <si>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</si>
  <si>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</si>
  <si>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</si>
  <si>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</si>
  <si>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</si>
  <si>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</si>
  <si>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</si>
  <si>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</si>
  <si>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</si>
  <si>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</si>
  <si>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</si>
  <si>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</si>
  <si>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</si>
  <si>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</si>
  <si>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</si>
  <si>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</si>
  <si>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</si>
  <si>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</si>
  <si>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</si>
  <si>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</si>
  <si>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</si>
  <si>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</si>
  <si>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</si>
  <si>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</si>
  <si>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</si>
  <si>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</si>
  <si>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</si>
  <si>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</si>
  <si>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</si>
  <si>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</si>
  <si>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</si>
  <si>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</si>
  <si>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</si>
  <si>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</si>
  <si>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</si>
  <si>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</si>
  <si>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</si>
  <si>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</si>
  <si>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</si>
  <si>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</si>
  <si>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</si>
  <si>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</si>
  <si>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</si>
  <si>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</si>
  <si>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</si>
  <si>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</si>
  <si>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</si>
  <si>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</si>
  <si>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</si>
  <si>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</si>
  <si>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</si>
  <si>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</si>
  <si>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</si>
  <si>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</si>
  <si>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</si>
  <si>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</si>
  <si>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</si>
  <si>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SpeedMessage (0x20E 0x08 0x0A)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</si>
</sst>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59" zoomScale="55" zoomScaleNormal="55" workbookViewId="0">
      <selection activeCell="Q91" sqref="Q9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298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273</v>
      </c>
      <c r="P6" s="41" t="s">
        <v>242</v>
      </c>
      <c r="Q6" s="41" t="s">
        <v>198</v>
      </c>
      <c r="R6" s="41" t="s">
        <v>199</v>
      </c>
      <c r="S6" s="41" t="s">
        <v>272</v>
      </c>
      <c r="T6" s="41" t="s">
        <v>276</v>
      </c>
      <c r="U6" s="41" t="s">
        <v>277</v>
      </c>
      <c r="V6" s="41" t="s">
        <v>278</v>
      </c>
      <c r="W6" s="75" t="s">
        <v>279</v>
      </c>
      <c r="X6" s="75" t="s">
        <v>280</v>
      </c>
      <c r="Y6" s="75" t="s">
        <v>281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272</v>
      </c>
      <c r="T23" s="41" t="s">
        <v>276</v>
      </c>
      <c r="U23" s="41" t="s">
        <v>277</v>
      </c>
      <c r="V23" s="41" t="s">
        <v>278</v>
      </c>
      <c r="W23" s="75" t="s">
        <v>279</v>
      </c>
      <c r="X23" s="75" t="s">
        <v>280</v>
      </c>
      <c r="Y23" s="75" t="s">
        <v>281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272</v>
      </c>
      <c r="T36" s="41" t="s">
        <v>276</v>
      </c>
      <c r="U36" s="41" t="s">
        <v>277</v>
      </c>
      <c r="V36" s="41" t="s">
        <v>278</v>
      </c>
      <c r="W36" s="75" t="s">
        <v>279</v>
      </c>
      <c r="X36" s="75" t="s">
        <v>280</v>
      </c>
      <c r="Y36" s="75" t="s">
        <v>281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276</v>
      </c>
      <c r="U47" s="41" t="s">
        <v>277</v>
      </c>
      <c r="V47" s="41" t="s">
        <v>278</v>
      </c>
      <c r="W47" s="75" t="s">
        <v>279</v>
      </c>
      <c r="X47" s="75" t="s">
        <v>280</v>
      </c>
      <c r="Y47" s="75" t="s">
        <v>281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-180</v>
      </c>
      <c r="E50" s="31"/>
      <c r="F50" s="31"/>
      <c r="G50" s="68">
        <v>0</v>
      </c>
      <c r="H50" s="68">
        <v>180</v>
      </c>
      <c r="I50" s="77">
        <v>450</v>
      </c>
      <c r="J50" s="77">
        <v>0</v>
      </c>
      <c r="K50" s="27">
        <f t="shared" si="5"/>
        <v>-2.5</v>
      </c>
      <c r="L50" s="68">
        <f>J50</f>
        <v>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272</v>
      </c>
      <c r="T58" s="41" t="s">
        <v>276</v>
      </c>
      <c r="U58" s="41" t="s">
        <v>277</v>
      </c>
      <c r="V58" s="41" t="s">
        <v>278</v>
      </c>
      <c r="W58" s="75" t="s">
        <v>279</v>
      </c>
      <c r="X58" s="75" t="s">
        <v>280</v>
      </c>
      <c r="Y58" s="75" t="s">
        <v>281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449</v>
      </c>
      <c r="D61" s="24">
        <f>L61/K61</f>
        <v>245.74218089602704</v>
      </c>
      <c r="E61" s="66">
        <f>ABS((+C61/(40/65)-(C59-C60)/(40/65)))-ABS(180)</f>
        <v>72.524999999999977</v>
      </c>
      <c r="F61" s="66">
        <f>IF(E61&gt;=0,(E61*11.375),(360+E61)*11.375)</f>
        <v>824.97187499999973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824.97187499999973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276</v>
      </c>
      <c r="U69" s="41" t="s">
        <v>277</v>
      </c>
      <c r="V69" s="41" t="s">
        <v>278</v>
      </c>
      <c r="W69" s="75" t="s">
        <v>279</v>
      </c>
      <c r="X69" s="75" t="s">
        <v>280</v>
      </c>
      <c r="Y69" s="75" t="s">
        <v>281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-112.5</v>
      </c>
      <c r="E71" s="31"/>
      <c r="F71" s="31"/>
      <c r="G71" s="68">
        <v>0</v>
      </c>
      <c r="H71" s="68">
        <v>90</v>
      </c>
      <c r="I71" s="77">
        <v>250</v>
      </c>
      <c r="J71" s="77">
        <v>50</v>
      </c>
      <c r="K71" s="27">
        <f t="shared" si="7"/>
        <v>-2.2222222222222223</v>
      </c>
      <c r="L71" s="68">
        <f>I71</f>
        <v>250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-112.5</v>
      </c>
      <c r="E73" s="31"/>
      <c r="F73" s="31"/>
      <c r="G73" s="68">
        <v>0</v>
      </c>
      <c r="H73" s="68">
        <v>90</v>
      </c>
      <c r="I73" s="77">
        <v>250</v>
      </c>
      <c r="J73" s="77">
        <v>50</v>
      </c>
      <c r="K73" s="27">
        <f t="shared" si="7"/>
        <v>-2.2222222222222223</v>
      </c>
      <c r="L73" s="68">
        <f>I73</f>
        <v>250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-112.5</v>
      </c>
      <c r="E75" s="31"/>
      <c r="F75" s="31"/>
      <c r="G75" s="68">
        <v>0</v>
      </c>
      <c r="H75" s="68">
        <v>90</v>
      </c>
      <c r="I75" s="77">
        <v>250</v>
      </c>
      <c r="J75" s="77">
        <v>50</v>
      </c>
      <c r="K75" s="27">
        <f t="shared" si="7"/>
        <v>-2.2222222222222223</v>
      </c>
      <c r="L75" s="68">
        <f>I75</f>
        <v>250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-306.65158371040724</v>
      </c>
      <c r="E77" s="31"/>
      <c r="F77" s="31"/>
      <c r="G77" s="68">
        <v>0</v>
      </c>
      <c r="H77" s="68">
        <v>270</v>
      </c>
      <c r="I77" s="77">
        <v>753</v>
      </c>
      <c r="J77" s="77">
        <v>90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274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275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282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284</v>
      </c>
      <c r="C99" s="78" t="s">
        <v>285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283</v>
      </c>
      <c r="C100" s="78" t="s">
        <v>289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288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287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286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299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297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270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295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290</v>
      </c>
      <c r="J58" t="s">
        <v>291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zoomScaleNormal="100" workbookViewId="0">
      <selection activeCell="I64" sqref="I64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270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290</v>
      </c>
      <c r="J56" t="s">
        <v>291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21" zoomScaleNormal="100" workbookViewId="0">
      <selection activeCell="D35" sqref="D3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269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258</v>
      </c>
    </row>
    <row r="36" spans="1:9">
      <c r="A36" s="60" t="s">
        <v>301</v>
      </c>
    </row>
    <row r="37" spans="1:9">
      <c r="A37" t="s">
        <v>260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-2.5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-180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17" zoomScale="85" zoomScaleNormal="85" workbookViewId="0">
      <selection activeCell="L43" sqref="L43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265</v>
      </c>
    </row>
    <row r="31" spans="1:9">
      <c r="A31" t="s">
        <v>266</v>
      </c>
    </row>
    <row r="32" spans="1:9">
      <c r="A32" t="s">
        <v>245</v>
      </c>
      <c r="B32" t="s">
        <v>270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824.97187499999973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zoomScaleNormal="100" workbookViewId="0">
      <selection activeCell="A35" sqref="A35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267</v>
      </c>
    </row>
    <row r="34" spans="1:9">
      <c r="A34" t="s">
        <v>268</v>
      </c>
    </row>
    <row r="35" spans="1:9">
      <c r="A35" t="s">
        <v>257</v>
      </c>
      <c r="B35" t="s">
        <v>269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258</v>
      </c>
    </row>
    <row r="39" spans="1:9">
      <c r="A39" s="60" t="s">
        <v>301</v>
      </c>
    </row>
    <row r="40" spans="1:9">
      <c r="A40" t="s">
        <v>260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-2.2222222222222223</v>
      </c>
      <c r="D50" s="34">
        <f>+INDEX(Sheet1!$K$70:$K$77,COLUMN()-COLUMN($B$81)+1)</f>
        <v>-2.6111111111111112</v>
      </c>
      <c r="E50" s="34">
        <f>+INDEX(Sheet1!$K$70:$K$77,COLUMN()-COLUMN($B$81)+1)</f>
        <v>-2.2222222222222223</v>
      </c>
      <c r="F50" s="34">
        <f>+INDEX(Sheet1!$K$70:$K$77,COLUMN()-COLUMN($B$81)+1)</f>
        <v>-2.4444444444444446</v>
      </c>
      <c r="G50" s="34">
        <f>+INDEX(Sheet1!$K$70:$K$77,COLUMN()-COLUMN($B$81)+1)</f>
        <v>-2.2222222222222223</v>
      </c>
      <c r="H50" s="34">
        <f>+INDEX(Sheet1!$K$70:$K$77,COLUMN()-COLUMN($B$81)+1)</f>
        <v>-2.6111111111111112</v>
      </c>
      <c r="I50" s="34">
        <f>+INDEX(Sheet1!$K$70:$K$77,COLUMN()-COLUMN($B$81)+1)</f>
        <v>-2.4555555555555557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-112.5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-112.5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-112.5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-306.65158371040724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250</v>
      </c>
      <c r="D81" s="21">
        <f>+INDEX(Sheet1!$L$70:$L$77,COLUMN()-COLUMN($B$79)+1)</f>
        <v>30</v>
      </c>
      <c r="E81" s="21">
        <f>+INDEX(Sheet1!$L$70:$L$77,COLUMN()-COLUMN($B$79)+1)</f>
        <v>250</v>
      </c>
      <c r="F81" s="21">
        <f>+INDEX(Sheet1!$L$70:$L$77,COLUMN()-COLUMN($B$79)+1)</f>
        <v>40</v>
      </c>
      <c r="G81" s="21">
        <f>+INDEX(Sheet1!$L$70:$L$77,COLUMN()-COLUMN($B$79)+1)</f>
        <v>250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250</v>
      </c>
      <c r="L49">
        <f>Right_hand!D81</f>
        <v>30</v>
      </c>
      <c r="M49">
        <f>Right_hand!E81</f>
        <v>250</v>
      </c>
      <c r="N49">
        <f>Right_hand!F81</f>
        <v>40</v>
      </c>
      <c r="O49">
        <f>Right_hand!G81</f>
        <v>250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824.97187499999973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A36" sqref="A36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300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292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294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270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295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290</v>
      </c>
      <c r="J58" t="s">
        <v>291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2010-05-04T11:47:44Z</dcterms:modified>
</cp:coreProperties>
</file>