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G83" i="9" l="1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<sst xmlns="http://schemas.openxmlformats.org/spreadsheetml/2006/main" count="871" uniqueCount="303">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</sst>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52" zoomScale="55" zoomScaleNormal="55" workbookViewId="0">
      <selection activeCell="I70" sqref="I7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0</v>
      </c>
      <c r="D30" s="24">
        <v>180</v>
      </c>
      <c r="E30" s="65">
        <f>(C30-D30)</f>
        <v>-180</v>
      </c>
      <c r="F30" s="65">
        <f>IF(E30&gt;=0,(E30*11.375),(360+E30)*11.375)</f>
        <v>2047.5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2047.5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0</v>
      </c>
      <c r="D31" s="24">
        <v>180</v>
      </c>
      <c r="E31" s="65">
        <f>(C31-D31)</f>
        <v>-180</v>
      </c>
      <c r="F31" s="65">
        <f>IF(E31&gt;=0,(E31*11.375),(360+E31)*11.375)</f>
        <v>2047.5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2047.5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0</v>
      </c>
      <c r="D32" s="24">
        <v>180</v>
      </c>
      <c r="E32" s="65">
        <f>(C32-D32)</f>
        <v>-180</v>
      </c>
      <c r="F32" s="65">
        <f>IF(E32&gt;=0,(E32*11.375),(360+E32)*11.375)</f>
        <v>2047.5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2047.5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 t="e">
        <f>IF(K48&gt;0,+I48/K48-G48,+I48/K48-G48)</f>
        <v>#DIV/0!</v>
      </c>
      <c r="E48" s="31"/>
      <c r="F48" s="31"/>
      <c r="G48" s="68">
        <v>0</v>
      </c>
      <c r="H48" s="68">
        <v>90</v>
      </c>
      <c r="I48" s="77">
        <v>0</v>
      </c>
      <c r="J48" s="77">
        <v>0</v>
      </c>
      <c r="K48" s="27">
        <f t="shared" ref="K48:K54" si="5">(J48-I48)/(H48-G48)</f>
        <v>0</v>
      </c>
      <c r="L48" s="68" t="e">
        <f>ABS(D48*K48)</f>
        <v>#DIV/0!</v>
      </c>
      <c r="M48" s="68">
        <v>10</v>
      </c>
      <c r="N48" s="68">
        <v>0</v>
      </c>
      <c r="O48" s="68">
        <v>0</v>
      </c>
      <c r="P48" s="68">
        <v>100</v>
      </c>
      <c r="Q48" s="68">
        <v>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 t="e">
        <f>-G49+(+I49/K49)</f>
        <v>#DIV/0!</v>
      </c>
      <c r="E49" s="31"/>
      <c r="F49" s="31"/>
      <c r="G49" s="68">
        <v>0</v>
      </c>
      <c r="H49" s="68">
        <v>90</v>
      </c>
      <c r="I49" s="77">
        <v>0</v>
      </c>
      <c r="J49" s="77">
        <v>0</v>
      </c>
      <c r="K49" s="27">
        <f>(J49-I49)/(H49-G49)</f>
        <v>0</v>
      </c>
      <c r="L49" s="68">
        <f>I49</f>
        <v>0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 t="e">
        <f t="shared" ref="D50:D54" si="6">-G50+(+I50/K50)</f>
        <v>#DIV/0!</v>
      </c>
      <c r="E50" s="31"/>
      <c r="F50" s="31"/>
      <c r="G50" s="68">
        <v>0</v>
      </c>
      <c r="H50" s="68">
        <v>180</v>
      </c>
      <c r="I50" s="77">
        <v>0</v>
      </c>
      <c r="J50" s="77">
        <v>0</v>
      </c>
      <c r="K50" s="27">
        <f t="shared" si="5"/>
        <v>0</v>
      </c>
      <c r="L50" s="68">
        <f>J50</f>
        <v>0</v>
      </c>
      <c r="M50" s="68">
        <v>10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 t="e">
        <f t="shared" si="6"/>
        <v>#DIV/0!</v>
      </c>
      <c r="E51" s="31"/>
      <c r="F51" s="31"/>
      <c r="G51" s="68">
        <v>0</v>
      </c>
      <c r="H51" s="68">
        <v>90</v>
      </c>
      <c r="I51" s="77">
        <v>0</v>
      </c>
      <c r="J51" s="77">
        <v>0</v>
      </c>
      <c r="K51" s="27">
        <f t="shared" si="5"/>
        <v>0</v>
      </c>
      <c r="L51" s="68">
        <f>I51</f>
        <v>0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 t="e">
        <f t="shared" si="6"/>
        <v>#DIV/0!</v>
      </c>
      <c r="E52" s="31"/>
      <c r="F52" s="31"/>
      <c r="G52" s="68">
        <v>0</v>
      </c>
      <c r="H52" s="68">
        <v>180</v>
      </c>
      <c r="I52" s="77">
        <v>0</v>
      </c>
      <c r="J52" s="77">
        <v>0</v>
      </c>
      <c r="K52" s="27">
        <f t="shared" si="5"/>
        <v>0</v>
      </c>
      <c r="L52" s="68">
        <f>J52</f>
        <v>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 t="e">
        <f t="shared" si="6"/>
        <v>#DIV/0!</v>
      </c>
      <c r="E53" s="31"/>
      <c r="F53" s="31"/>
      <c r="G53" s="68">
        <v>0</v>
      </c>
      <c r="H53" s="68">
        <v>90</v>
      </c>
      <c r="I53" s="77">
        <v>0</v>
      </c>
      <c r="J53" s="77">
        <v>0</v>
      </c>
      <c r="K53" s="27">
        <f t="shared" si="5"/>
        <v>0</v>
      </c>
      <c r="L53" s="68">
        <f>I53</f>
        <v>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 t="e">
        <f t="shared" si="6"/>
        <v>#DIV/0!</v>
      </c>
      <c r="E54" s="31"/>
      <c r="F54" s="31"/>
      <c r="G54" s="68">
        <v>0</v>
      </c>
      <c r="H54" s="68">
        <v>180</v>
      </c>
      <c r="I54" s="77">
        <v>0</v>
      </c>
      <c r="J54" s="77">
        <v>0</v>
      </c>
      <c r="K54" s="27">
        <f t="shared" si="5"/>
        <v>0</v>
      </c>
      <c r="L54" s="68">
        <f>J54</f>
        <v>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 t="e">
        <f>-G55+(+I55/K55)</f>
        <v>#DIV/0!</v>
      </c>
      <c r="E55" s="31"/>
      <c r="F55" s="31"/>
      <c r="G55" s="68">
        <v>0</v>
      </c>
      <c r="H55" s="68">
        <v>270</v>
      </c>
      <c r="I55" s="77">
        <v>0</v>
      </c>
      <c r="J55" s="77">
        <v>0</v>
      </c>
      <c r="K55" s="27">
        <f>(J55-I55)/(H55-G55)</f>
        <v>0</v>
      </c>
      <c r="L55" s="68">
        <f>I55</f>
        <v>0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 t="e">
        <f>IF(K70&gt;0,+I70/K70-G70,+I70/K70+G70)</f>
        <v>#DIV/0!</v>
      </c>
      <c r="E70" s="31"/>
      <c r="F70" s="31"/>
      <c r="G70" s="68">
        <v>0</v>
      </c>
      <c r="H70" s="68">
        <v>90</v>
      </c>
      <c r="I70" s="77">
        <v>0</v>
      </c>
      <c r="J70" s="77">
        <v>0</v>
      </c>
      <c r="K70" s="27">
        <f t="shared" ref="K70:K77" si="7">(J70-I70)/(H70-G70)</f>
        <v>0</v>
      </c>
      <c r="L70" s="63" t="e">
        <f>ABS(D70*K70)</f>
        <v>#DIV/0!</v>
      </c>
      <c r="M70" s="68">
        <v>10</v>
      </c>
      <c r="N70" s="68">
        <v>0</v>
      </c>
      <c r="O70" s="68">
        <v>0</v>
      </c>
      <c r="P70" s="68">
        <v>100</v>
      </c>
      <c r="Q70" s="68">
        <v>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 t="e">
        <f t="shared" ref="D71:D77" si="8">-G71+(+I71/K71)</f>
        <v>#DIV/0!</v>
      </c>
      <c r="E71" s="31"/>
      <c r="F71" s="31"/>
      <c r="G71" s="68">
        <v>0</v>
      </c>
      <c r="H71" s="68">
        <v>90</v>
      </c>
      <c r="I71" s="77">
        <v>0</v>
      </c>
      <c r="J71" s="77">
        <v>0</v>
      </c>
      <c r="K71" s="27">
        <f t="shared" si="7"/>
        <v>0</v>
      </c>
      <c r="L71" s="68">
        <f>I71</f>
        <v>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 t="e">
        <f t="shared" si="8"/>
        <v>#DIV/0!</v>
      </c>
      <c r="E72" s="31"/>
      <c r="F72" s="31"/>
      <c r="G72" s="68">
        <v>0</v>
      </c>
      <c r="H72" s="68">
        <v>180</v>
      </c>
      <c r="I72" s="77">
        <v>0</v>
      </c>
      <c r="J72" s="77">
        <v>0</v>
      </c>
      <c r="K72" s="27">
        <f t="shared" si="7"/>
        <v>0</v>
      </c>
      <c r="L72" s="68">
        <f>+J72</f>
        <v>0</v>
      </c>
      <c r="M72" s="68">
        <v>10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 t="e">
        <f t="shared" si="8"/>
        <v>#DIV/0!</v>
      </c>
      <c r="E73" s="31"/>
      <c r="F73" s="31"/>
      <c r="G73" s="68">
        <v>0</v>
      </c>
      <c r="H73" s="68">
        <v>90</v>
      </c>
      <c r="I73" s="77">
        <v>0</v>
      </c>
      <c r="J73" s="77">
        <v>0</v>
      </c>
      <c r="K73" s="27">
        <f t="shared" si="7"/>
        <v>0</v>
      </c>
      <c r="L73" s="68">
        <f>I73</f>
        <v>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 t="e">
        <f t="shared" si="8"/>
        <v>#DIV/0!</v>
      </c>
      <c r="E74" s="31"/>
      <c r="F74" s="31"/>
      <c r="G74" s="68">
        <v>0</v>
      </c>
      <c r="H74" s="68">
        <v>180</v>
      </c>
      <c r="I74" s="77">
        <v>0</v>
      </c>
      <c r="J74" s="77">
        <v>0</v>
      </c>
      <c r="K74" s="27">
        <f t="shared" si="7"/>
        <v>0</v>
      </c>
      <c r="L74" s="68">
        <f>+J74</f>
        <v>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 t="e">
        <f t="shared" si="8"/>
        <v>#DIV/0!</v>
      </c>
      <c r="E75" s="31"/>
      <c r="F75" s="31"/>
      <c r="G75" s="68">
        <v>0</v>
      </c>
      <c r="H75" s="68">
        <v>90</v>
      </c>
      <c r="I75" s="77">
        <v>0</v>
      </c>
      <c r="J75" s="77">
        <v>0</v>
      </c>
      <c r="K75" s="27">
        <f t="shared" si="7"/>
        <v>0</v>
      </c>
      <c r="L75" s="68">
        <f>I75</f>
        <v>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 t="e">
        <f t="shared" si="8"/>
        <v>#DIV/0!</v>
      </c>
      <c r="E76" s="31"/>
      <c r="F76" s="31"/>
      <c r="G76" s="68">
        <v>0</v>
      </c>
      <c r="H76" s="68">
        <v>180</v>
      </c>
      <c r="I76" s="77">
        <v>0</v>
      </c>
      <c r="J76" s="77">
        <v>0</v>
      </c>
      <c r="K76" s="27">
        <f t="shared" si="7"/>
        <v>0</v>
      </c>
      <c r="L76" s="68">
        <f>J76</f>
        <v>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 t="e">
        <f t="shared" si="8"/>
        <v>#DIV/0!</v>
      </c>
      <c r="E77" s="31"/>
      <c r="F77" s="31"/>
      <c r="G77" s="68">
        <v>0</v>
      </c>
      <c r="H77" s="68">
        <v>270</v>
      </c>
      <c r="I77" s="77">
        <v>0</v>
      </c>
      <c r="J77" s="77">
        <v>0</v>
      </c>
      <c r="K77" s="27">
        <f t="shared" si="7"/>
        <v>0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B61" sqref="B6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0</v>
      </c>
      <c r="C49" s="34">
        <f>+INDEX(Sheet1!$K$48:$K$56,COLUMN()-COLUMN($B$83)+1)</f>
        <v>0</v>
      </c>
      <c r="D49" s="34">
        <f>+INDEX(Sheet1!$K$48:$K$56,COLUMN()-COLUMN($B$83)+1)</f>
        <v>0</v>
      </c>
      <c r="E49" s="34">
        <f>+INDEX(Sheet1!$K$48:$K$56,COLUMN()-COLUMN($B$83)+1)</f>
        <v>0</v>
      </c>
      <c r="F49" s="34">
        <f>+INDEX(Sheet1!$K$48:$K$56,COLUMN()-COLUMN($B$83)+1)</f>
        <v>0</v>
      </c>
      <c r="G49" s="34">
        <f>+INDEX(Sheet1!$K$48:$K$56,COLUMN()-COLUMN($B$83)+1)</f>
        <v>0</v>
      </c>
      <c r="H49" s="34">
        <f>+INDEX(Sheet1!$K$48:$K$56,COLUMN()-COLUMN($B$83)+1)</f>
        <v>0</v>
      </c>
      <c r="I49" s="34">
        <f>+INDEX(Sheet1!$K$48:$K$56,COLUMN()-COLUMN($B$83)+1)</f>
        <v>0</v>
      </c>
    </row>
    <row r="50" spans="1:9">
      <c r="A50" t="s">
        <v>214</v>
      </c>
      <c r="B50" s="34" t="e">
        <f>+INDEX(Sheet1!$D$48:$D$56,COLUMN()-COLUMN($B$83)+1)++INDEX(Sheet1!$S$48:$S$56,COLUMN()-COLUMN($B$83)+1)</f>
        <v>#DIV/0!</v>
      </c>
      <c r="C50" s="34" t="e">
        <f>+INDEX(Sheet1!$D$48:$D$56,COLUMN()-COLUMN($B$83)+1)++INDEX(Sheet1!$S$48:$S$56,COLUMN()-COLUMN($B$83)+1)</f>
        <v>#DIV/0!</v>
      </c>
      <c r="D50" s="34" t="e">
        <f>+INDEX(Sheet1!$D$48:$D$56,COLUMN()-COLUMN($B$83)+1)++INDEX(Sheet1!$S$48:$S$56,COLUMN()-COLUMN($B$83)+1)</f>
        <v>#DIV/0!</v>
      </c>
      <c r="E50" s="34" t="e">
        <f>+INDEX(Sheet1!$D$48:$D$56,COLUMN()-COLUMN($B$83)+1)++INDEX(Sheet1!$S$48:$S$56,COLUMN()-COLUMN($B$83)+1)</f>
        <v>#DIV/0!</v>
      </c>
      <c r="F50" s="34" t="e">
        <f>+INDEX(Sheet1!$D$48:$D$56,COLUMN()-COLUMN($B$83)+1)++INDEX(Sheet1!$S$48:$S$56,COLUMN()-COLUMN($B$83)+1)</f>
        <v>#DIV/0!</v>
      </c>
      <c r="G50" s="34" t="e">
        <f>+INDEX(Sheet1!$D$48:$D$56,COLUMN()-COLUMN($B$83)+1)++INDEX(Sheet1!$S$48:$S$56,COLUMN()-COLUMN($B$83)+1)</f>
        <v>#DIV/0!</v>
      </c>
      <c r="H50" s="34" t="e">
        <f>+INDEX(Sheet1!$D$48:$D$56,COLUMN()-COLUMN($B$83)+1)++INDEX(Sheet1!$S$48:$S$56,COLUMN()-COLUMN($B$83)+1)</f>
        <v>#DIV/0!</v>
      </c>
      <c r="I50" s="34" t="e">
        <f>+INDEX(Sheet1!$D$48:$D$56,COLUMN()-COLUMN($B$83)+1)++INDEX(Sheet1!$S$48:$S$56,COLUMN()-COLUMN($B$83)+1)</f>
        <v>#DIV/0!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 t="e">
        <f>+INDEX(Sheet1!$L$48:$L$56,COLUMN()-COLUMN($B$81)+1)</f>
        <v>#DIV/0!</v>
      </c>
      <c r="C80" s="21">
        <f>+INDEX(Sheet1!$L$48:$L$56,COLUMN()-COLUMN($B$81)+1)</f>
        <v>0</v>
      </c>
      <c r="D80" s="21">
        <f>+INDEX(Sheet1!$L$48:$L$56,COLUMN()-COLUMN($B$81)+1)</f>
        <v>0</v>
      </c>
      <c r="E80" s="21">
        <f>+INDEX(Sheet1!$L$48:$L$56,COLUMN()-COLUMN($B$81)+1)</f>
        <v>0</v>
      </c>
      <c r="F80" s="21">
        <f>+INDEX(Sheet1!$L$48:$L$56,COLUMN()-COLUMN($B$81)+1)</f>
        <v>0</v>
      </c>
      <c r="G80" s="21">
        <f>+INDEX(Sheet1!$L$48:$L$56,COLUMN()-COLUMN($B$81)+1)</f>
        <v>0</v>
      </c>
      <c r="H80" s="21">
        <f>+INDEX(Sheet1!$L$48:$L$56,COLUMN()-COLUMN($B$81)+1)</f>
        <v>0</v>
      </c>
      <c r="I80" s="21">
        <f>+INDEX(Sheet1!$L$48:$L$56,COLUMN()-COLUMN($B$81)+1)</f>
        <v>0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0</v>
      </c>
      <c r="C50" s="34">
        <f>+INDEX(Sheet1!$K$70:$K$77,COLUMN()-COLUMN($B$81)+1)</f>
        <v>0</v>
      </c>
      <c r="D50" s="34">
        <f>+INDEX(Sheet1!$K$70:$K$77,COLUMN()-COLUMN($B$81)+1)</f>
        <v>0</v>
      </c>
      <c r="E50" s="34">
        <f>+INDEX(Sheet1!$K$70:$K$77,COLUMN()-COLUMN($B$81)+1)</f>
        <v>0</v>
      </c>
      <c r="F50" s="34">
        <f>+INDEX(Sheet1!$K$70:$K$77,COLUMN()-COLUMN($B$81)+1)</f>
        <v>0</v>
      </c>
      <c r="G50" s="34">
        <f>+INDEX(Sheet1!$K$70:$K$77,COLUMN()-COLUMN($B$81)+1)</f>
        <v>0</v>
      </c>
      <c r="H50" s="34">
        <f>+INDEX(Sheet1!$K$70:$K$77,COLUMN()-COLUMN($B$81)+1)</f>
        <v>0</v>
      </c>
      <c r="I50" s="34">
        <f>+INDEX(Sheet1!$K$70:$K$77,COLUMN()-COLUMN($B$81)+1)</f>
        <v>0</v>
      </c>
    </row>
    <row r="51" spans="1:9">
      <c r="A51" t="s">
        <v>214</v>
      </c>
      <c r="B51" s="34" t="e">
        <f>+INDEX(Sheet1!$D$70:$D$77,COLUMN()-COLUMN($B$81)+1)++INDEX(Sheet1!$S$70:$S$77,COLUMN()-COLUMN($B$81)+1)</f>
        <v>#DIV/0!</v>
      </c>
      <c r="C51" s="34" t="e">
        <f>+INDEX(Sheet1!$D$70:$D$77,COLUMN()-COLUMN($B$81)+1)++INDEX(Sheet1!$S$70:$S$77,COLUMN()-COLUMN($B$81)+1)</f>
        <v>#DIV/0!</v>
      </c>
      <c r="D51" s="34" t="e">
        <f>+INDEX(Sheet1!$D$70:$D$77,COLUMN()-COLUMN($B$81)+1)++INDEX(Sheet1!$S$70:$S$77,COLUMN()-COLUMN($B$81)+1)</f>
        <v>#DIV/0!</v>
      </c>
      <c r="E51" s="34" t="e">
        <f>+INDEX(Sheet1!$D$70:$D$77,COLUMN()-COLUMN($B$81)+1)++INDEX(Sheet1!$S$70:$S$77,COLUMN()-COLUMN($B$81)+1)</f>
        <v>#DIV/0!</v>
      </c>
      <c r="F51" s="34" t="e">
        <f>+INDEX(Sheet1!$D$70:$D$77,COLUMN()-COLUMN($B$81)+1)++INDEX(Sheet1!$S$70:$S$77,COLUMN()-COLUMN($B$81)+1)</f>
        <v>#DIV/0!</v>
      </c>
      <c r="G51" s="34" t="e">
        <f>+INDEX(Sheet1!$D$70:$D$77,COLUMN()-COLUMN($B$81)+1)++INDEX(Sheet1!$S$70:$S$77,COLUMN()-COLUMN($B$81)+1)</f>
        <v>#DIV/0!</v>
      </c>
      <c r="H51" s="34" t="e">
        <f>+INDEX(Sheet1!$D$70:$D$77,COLUMN()-COLUMN($B$81)+1)++INDEX(Sheet1!$S$70:$S$77,COLUMN()-COLUMN($B$81)+1)</f>
        <v>#DIV/0!</v>
      </c>
      <c r="I51" s="34" t="e">
        <f>+INDEX(Sheet1!$D$70:$D$77,COLUMN()-COLUMN($B$81)+1)++INDEX(Sheet1!$S$70:$S$77,COLUMN()-COLUMN($B$81)+1)</f>
        <v>#DIV/0!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 t="e">
        <f>+INDEX(Sheet1!$L$70:$L$77,COLUMN()-COLUMN($B$79)+1)</f>
        <v>#DIV/0!</v>
      </c>
      <c r="C81" s="21">
        <f>+INDEX(Sheet1!$L$70:$L$77,COLUMN()-COLUMN($B$79)+1)</f>
        <v>0</v>
      </c>
      <c r="D81" s="21">
        <f>+INDEX(Sheet1!$L$70:$L$77,COLUMN()-COLUMN($B$79)+1)</f>
        <v>0</v>
      </c>
      <c r="E81" s="21">
        <f>+INDEX(Sheet1!$L$70:$L$77,COLUMN()-COLUMN($B$79)+1)</f>
        <v>0</v>
      </c>
      <c r="F81" s="21">
        <f>+INDEX(Sheet1!$L$70:$L$77,COLUMN()-COLUMN($B$79)+1)</f>
        <v>0</v>
      </c>
      <c r="G81" s="21">
        <f>+INDEX(Sheet1!$L$70:$L$77,COLUMN()-COLUMN($B$79)+1)</f>
        <v>0</v>
      </c>
      <c r="H81" s="21">
        <f>+INDEX(Sheet1!$L$70:$L$77,COLUMN()-COLUMN($B$79)+1)</f>
        <v>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2047.5</v>
      </c>
      <c r="I70" s="21">
        <f>+INDEX(Sheet1!$N$24:$N34,COLUMN()-COLUMN($B$69)+1)</f>
        <v>2047.5</v>
      </c>
      <c r="J70" s="21">
        <f>+INDEX(Sheet1!$N$24:$N34,COLUMN()-COLUMN($B$69)+1)</f>
        <v>2047.5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2047.5</v>
      </c>
      <c r="C25">
        <f>Head_Torso!I70</f>
        <v>2047.5</v>
      </c>
      <c r="D25">
        <f>Head_Torso!J70</f>
        <v>2047.5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 t="e">
        <f>Left_hand!B80</f>
        <v>#DIV/0!</v>
      </c>
      <c r="K36">
        <f>Left_hand!C80</f>
        <v>0</v>
      </c>
      <c r="L36">
        <f>Left_hand!D80</f>
        <v>0</v>
      </c>
      <c r="M36">
        <f>Left_hand!E80</f>
        <v>0</v>
      </c>
      <c r="N36">
        <f>Left_hand!F80</f>
        <v>0</v>
      </c>
      <c r="O36">
        <f>Left_hand!G80</f>
        <v>0</v>
      </c>
      <c r="P36">
        <f>Left_hand!H80</f>
        <v>0</v>
      </c>
      <c r="Q36">
        <f>Left_hand!I80</f>
        <v>0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 t="e">
        <f>Right_hand!B81</f>
        <v>#DIV/0!</v>
      </c>
      <c r="K49">
        <f>Right_hand!C81</f>
        <v>0</v>
      </c>
      <c r="L49">
        <f>Right_hand!D81</f>
        <v>0</v>
      </c>
      <c r="M49">
        <f>Right_hand!E81</f>
        <v>0</v>
      </c>
      <c r="N49">
        <f>Right_hand!F81</f>
        <v>0</v>
      </c>
      <c r="O49">
        <f>Right_hand!G81</f>
        <v>0</v>
      </c>
      <c r="P49">
        <f>Right_hand!H81</f>
        <v>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2010-05-03T07:26:17Z</dcterms:modified>
</cp:coreProperties>
</file>