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Right_leg" sheetId="9" r:id="rId3"/>
    <sheet name="Left_arm" sheetId="3" r:id="rId4"/>
    <sheet name="Right_arm" sheetId="5" r:id="rId5"/>
    <sheet name="Left_hand" sheetId="4" r:id="rId6"/>
    <sheet name="Right_hand" sheetId="6" r:id="rId7"/>
    <sheet name="Head_Torso" sheetId="7" r:id="rId8"/>
    <sheet name="robotmotorgui.ini" sheetId="8" r:id="rId9"/>
  </sheets>
  <calcPr calcId="125725"/>
</workbook>
</file>

<file path=xl/calcChain.xml><?xml version="1.0" encoding="utf-8"?>
<calcChain xmlns="http://schemas.openxmlformats.org/spreadsheetml/2006/main"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63"/>
  <c r="C63"/>
  <c r="D63"/>
  <c r="E63"/>
  <c r="F63"/>
  <c r="G63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62" i="8" s="1"/>
  <c r="E14" i="1"/>
  <c r="F14" s="1"/>
  <c r="N14" s="1"/>
  <c r="L14"/>
  <c r="C62" i="8"/>
  <c r="E15" i="1"/>
  <c r="F15" s="1"/>
  <c r="N15" s="1"/>
  <c r="L15"/>
  <c r="D62" i="8" s="1"/>
  <c r="E16" i="1"/>
  <c r="F16" s="1"/>
  <c r="N16" s="1"/>
  <c r="L16"/>
  <c r="E62" i="8"/>
  <c r="E17" i="1"/>
  <c r="F17" s="1"/>
  <c r="N17" s="1"/>
  <c r="L17"/>
  <c r="F62" i="8" s="1"/>
  <c r="E18" i="1"/>
  <c r="F18" s="1"/>
  <c r="N18" s="1"/>
  <c r="L18"/>
  <c r="G62" i="8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G64" i="8" l="1"/>
  <c r="G83" i="9"/>
  <c r="F64" i="8"/>
  <c r="F83" i="9"/>
  <c r="C64" i="8"/>
  <c r="C83" i="9"/>
  <c r="B64" i="8"/>
  <c r="B83" i="9"/>
  <c r="E64" i="8"/>
  <c r="E83" i="9"/>
  <c r="D64" i="8"/>
  <c r="D83" i="9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<sst xmlns="http://schemas.openxmlformats.org/spreadsheetml/2006/main" count="871" uniqueCount="303">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</sst>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C64" zoomScale="55" zoomScaleNormal="55" workbookViewId="0">
      <selection activeCell="I93" sqref="I93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301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156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276</v>
      </c>
      <c r="P6" s="41" t="s">
        <v>243</v>
      </c>
      <c r="Q6" s="41" t="s">
        <v>199</v>
      </c>
      <c r="R6" s="41" t="s">
        <v>200</v>
      </c>
      <c r="S6" s="41" t="s">
        <v>275</v>
      </c>
      <c r="T6" s="41" t="s">
        <v>279</v>
      </c>
      <c r="U6" s="41" t="s">
        <v>280</v>
      </c>
      <c r="V6" s="41" t="s">
        <v>281</v>
      </c>
      <c r="W6" s="75" t="s">
        <v>282</v>
      </c>
      <c r="X6" s="75" t="s">
        <v>283</v>
      </c>
      <c r="Y6" s="75" t="s">
        <v>284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156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242</v>
      </c>
      <c r="P23" s="73" t="s">
        <v>243</v>
      </c>
      <c r="Q23" s="73" t="s">
        <v>199</v>
      </c>
      <c r="R23" s="73" t="s">
        <v>200</v>
      </c>
      <c r="S23" s="73" t="s">
        <v>275</v>
      </c>
      <c r="T23" s="41" t="s">
        <v>279</v>
      </c>
      <c r="U23" s="41" t="s">
        <v>280</v>
      </c>
      <c r="V23" s="41" t="s">
        <v>281</v>
      </c>
      <c r="W23" s="75" t="s">
        <v>282</v>
      </c>
      <c r="X23" s="75" t="s">
        <v>283</v>
      </c>
      <c r="Y23" s="75" t="s">
        <v>284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0</v>
      </c>
      <c r="D30" s="24">
        <v>180</v>
      </c>
      <c r="E30" s="65">
        <f>(C30-D30)</f>
        <v>-180</v>
      </c>
      <c r="F30" s="65">
        <f>IF(E30&gt;=0,(E30*11.375),(360+E30)*11.375)</f>
        <v>2047.5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2047.5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0</v>
      </c>
      <c r="D31" s="24">
        <v>180</v>
      </c>
      <c r="E31" s="65">
        <f>(C31-D31)</f>
        <v>-180</v>
      </c>
      <c r="F31" s="65">
        <f>IF(E31&gt;=0,(E31*11.375),(360+E31)*11.375)</f>
        <v>2047.5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2047.5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0</v>
      </c>
      <c r="D32" s="24">
        <v>180</v>
      </c>
      <c r="E32" s="65">
        <f>(C32-D32)</f>
        <v>-180</v>
      </c>
      <c r="F32" s="65">
        <f>IF(E32&gt;=0,(E32*11.375),(360+E32)*11.375)</f>
        <v>2047.5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2047.5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156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242</v>
      </c>
      <c r="P36" s="73" t="s">
        <v>243</v>
      </c>
      <c r="Q36" s="73" t="s">
        <v>199</v>
      </c>
      <c r="R36" s="73" t="s">
        <v>200</v>
      </c>
      <c r="S36" s="73" t="s">
        <v>275</v>
      </c>
      <c r="T36" s="41" t="s">
        <v>279</v>
      </c>
      <c r="U36" s="41" t="s">
        <v>280</v>
      </c>
      <c r="V36" s="41" t="s">
        <v>281</v>
      </c>
      <c r="W36" s="75" t="s">
        <v>282</v>
      </c>
      <c r="X36" s="75" t="s">
        <v>283</v>
      </c>
      <c r="Y36" s="75" t="s">
        <v>284</v>
      </c>
    </row>
    <row r="37" spans="1:25" ht="18.75">
      <c r="A37" s="26">
        <v>0</v>
      </c>
      <c r="B37" s="44" t="s">
        <v>38</v>
      </c>
      <c r="C37" s="76">
        <v>0</v>
      </c>
      <c r="D37" s="24">
        <v>-180</v>
      </c>
      <c r="E37" s="65">
        <f>(ABS(C37)-ABS(D37))</f>
        <v>-180</v>
      </c>
      <c r="F37" s="65">
        <f>IF(E37&gt;=0,(E37*11.375),(360+E37)*11.375)</f>
        <v>2047.5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2047.5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0</v>
      </c>
      <c r="D38" s="24">
        <v>-315</v>
      </c>
      <c r="E38" s="65">
        <f>(ABS(C38)-ABS(D38))</f>
        <v>-315</v>
      </c>
      <c r="F38" s="65">
        <f>IF(E38&gt;=0,(E38*11.375),(360+E38)*11.375)</f>
        <v>511.875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511.875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0</v>
      </c>
      <c r="D39" s="24">
        <f>-L39/-K39</f>
        <v>24.257819103972956</v>
      </c>
      <c r="E39" s="66">
        <f>ABS((+C39/(40/65)-(C37-C38)/(40/65)))-ABS(180)</f>
        <v>-180</v>
      </c>
      <c r="F39" s="66">
        <f>IF(E39&gt;=0,(E39*11.375),(360+E39)*11.375)</f>
        <v>2047.5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2047.5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0</v>
      </c>
      <c r="D40" s="24">
        <v>-180</v>
      </c>
      <c r="E40" s="65">
        <f>(ABS(C40)-ABS(D40))</f>
        <v>-180</v>
      </c>
      <c r="F40" s="65">
        <f>IF(E40&gt;=0,(E40*11.375),(360+E40)*11.375)</f>
        <v>2047.5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2047.5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 t="e">
        <f>IF(K44&gt;0,+I44/K44+G44,+I44/K44-G44)</f>
        <v>#DIV/0!</v>
      </c>
      <c r="E44" s="31"/>
      <c r="F44" s="31"/>
      <c r="G44" s="68">
        <v>0</v>
      </c>
      <c r="H44" s="68">
        <v>60</v>
      </c>
      <c r="I44" s="77">
        <v>0</v>
      </c>
      <c r="J44" s="77">
        <v>0</v>
      </c>
      <c r="K44" s="27">
        <f>(J44-I44)/(H44-G44)</f>
        <v>0</v>
      </c>
      <c r="L44" s="68" t="e">
        <f>ABS(+D44*K44)</f>
        <v>#DIV/0!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156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242</v>
      </c>
      <c r="P47" s="73" t="s">
        <v>243</v>
      </c>
      <c r="Q47" s="73" t="s">
        <v>199</v>
      </c>
      <c r="R47" s="73" t="s">
        <v>200</v>
      </c>
      <c r="S47" s="73"/>
      <c r="T47" s="41" t="s">
        <v>279</v>
      </c>
      <c r="U47" s="41" t="s">
        <v>280</v>
      </c>
      <c r="V47" s="41" t="s">
        <v>281</v>
      </c>
      <c r="W47" s="75" t="s">
        <v>282</v>
      </c>
      <c r="X47" s="75" t="s">
        <v>283</v>
      </c>
      <c r="Y47" s="75" t="s">
        <v>284</v>
      </c>
    </row>
    <row r="48" spans="1:25" ht="18.75">
      <c r="A48" s="26">
        <v>0</v>
      </c>
      <c r="B48" s="44" t="s">
        <v>47</v>
      </c>
      <c r="C48" s="31"/>
      <c r="D48" s="27" t="e">
        <f>IF(K48&gt;0,+I48/K48-G48,+I48/K48-G48)</f>
        <v>#DIV/0!</v>
      </c>
      <c r="E48" s="31"/>
      <c r="F48" s="31"/>
      <c r="G48" s="68">
        <v>0</v>
      </c>
      <c r="H48" s="68">
        <v>90</v>
      </c>
      <c r="I48" s="77">
        <v>0</v>
      </c>
      <c r="J48" s="77">
        <v>0</v>
      </c>
      <c r="K48" s="27">
        <f t="shared" ref="K48:K54" si="5">(J48-I48)/(H48-G48)</f>
        <v>0</v>
      </c>
      <c r="L48" s="68" t="e">
        <f>ABS(D48*K48)</f>
        <v>#DIV/0!</v>
      </c>
      <c r="M48" s="68">
        <v>10</v>
      </c>
      <c r="N48" s="68">
        <v>0</v>
      </c>
      <c r="O48" s="68">
        <v>0</v>
      </c>
      <c r="P48" s="68">
        <v>100</v>
      </c>
      <c r="Q48" s="68">
        <v>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 t="e">
        <f>-G49+(+I49/K49)</f>
        <v>#DIV/0!</v>
      </c>
      <c r="E49" s="31"/>
      <c r="F49" s="31"/>
      <c r="G49" s="68">
        <v>0</v>
      </c>
      <c r="H49" s="68">
        <v>90</v>
      </c>
      <c r="I49" s="77">
        <v>0</v>
      </c>
      <c r="J49" s="77">
        <v>0</v>
      </c>
      <c r="K49" s="27">
        <f>(J49-I49)/(H49-G49)</f>
        <v>0</v>
      </c>
      <c r="L49" s="68">
        <f>I49</f>
        <v>0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 t="e">
        <f t="shared" ref="D50:D54" si="6">-G50+(+I50/K50)</f>
        <v>#DIV/0!</v>
      </c>
      <c r="E50" s="31"/>
      <c r="F50" s="31"/>
      <c r="G50" s="68">
        <v>0</v>
      </c>
      <c r="H50" s="68">
        <v>180</v>
      </c>
      <c r="I50" s="77">
        <v>0</v>
      </c>
      <c r="J50" s="77">
        <v>0</v>
      </c>
      <c r="K50" s="27">
        <f t="shared" si="5"/>
        <v>0</v>
      </c>
      <c r="L50" s="68">
        <f>J50</f>
        <v>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 t="e">
        <f t="shared" si="6"/>
        <v>#DIV/0!</v>
      </c>
      <c r="E51" s="31"/>
      <c r="F51" s="31"/>
      <c r="G51" s="68">
        <v>0</v>
      </c>
      <c r="H51" s="68">
        <v>90</v>
      </c>
      <c r="I51" s="77">
        <v>0</v>
      </c>
      <c r="J51" s="77">
        <v>0</v>
      </c>
      <c r="K51" s="27">
        <f t="shared" si="5"/>
        <v>0</v>
      </c>
      <c r="L51" s="68">
        <f>I51</f>
        <v>0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 t="e">
        <f t="shared" si="6"/>
        <v>#DIV/0!</v>
      </c>
      <c r="E52" s="31"/>
      <c r="F52" s="31"/>
      <c r="G52" s="68">
        <v>0</v>
      </c>
      <c r="H52" s="68">
        <v>180</v>
      </c>
      <c r="I52" s="77">
        <v>0</v>
      </c>
      <c r="J52" s="77">
        <v>0</v>
      </c>
      <c r="K52" s="27">
        <f t="shared" si="5"/>
        <v>0</v>
      </c>
      <c r="L52" s="68">
        <f>J52</f>
        <v>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 t="e">
        <f t="shared" si="6"/>
        <v>#DIV/0!</v>
      </c>
      <c r="E53" s="31"/>
      <c r="F53" s="31"/>
      <c r="G53" s="68">
        <v>0</v>
      </c>
      <c r="H53" s="68">
        <v>90</v>
      </c>
      <c r="I53" s="77">
        <v>0</v>
      </c>
      <c r="J53" s="77">
        <v>0</v>
      </c>
      <c r="K53" s="27">
        <f t="shared" si="5"/>
        <v>0</v>
      </c>
      <c r="L53" s="68">
        <f>I53</f>
        <v>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 t="e">
        <f t="shared" si="6"/>
        <v>#DIV/0!</v>
      </c>
      <c r="E54" s="31"/>
      <c r="F54" s="31"/>
      <c r="G54" s="68">
        <v>0</v>
      </c>
      <c r="H54" s="68">
        <v>180</v>
      </c>
      <c r="I54" s="77">
        <v>0</v>
      </c>
      <c r="J54" s="77">
        <v>0</v>
      </c>
      <c r="K54" s="27">
        <f t="shared" si="5"/>
        <v>0</v>
      </c>
      <c r="L54" s="68">
        <f>J54</f>
        <v>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 t="e">
        <f>-G55+(+I55/K55)</f>
        <v>#DIV/0!</v>
      </c>
      <c r="E55" s="31"/>
      <c r="F55" s="31"/>
      <c r="G55" s="68">
        <v>0</v>
      </c>
      <c r="H55" s="68">
        <v>270</v>
      </c>
      <c r="I55" s="77">
        <v>0</v>
      </c>
      <c r="J55" s="77">
        <v>0</v>
      </c>
      <c r="K55" s="27">
        <f>(J55-I55)/(H55-G55)</f>
        <v>0</v>
      </c>
      <c r="L55" s="68">
        <f>I55</f>
        <v>0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156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242</v>
      </c>
      <c r="P58" s="73" t="s">
        <v>243</v>
      </c>
      <c r="Q58" s="73" t="s">
        <v>199</v>
      </c>
      <c r="R58" s="73" t="s">
        <v>200</v>
      </c>
      <c r="S58" s="73" t="s">
        <v>275</v>
      </c>
      <c r="T58" s="41" t="s">
        <v>279</v>
      </c>
      <c r="U58" s="41" t="s">
        <v>280</v>
      </c>
      <c r="V58" s="41" t="s">
        <v>281</v>
      </c>
      <c r="W58" s="75" t="s">
        <v>282</v>
      </c>
      <c r="X58" s="75" t="s">
        <v>283</v>
      </c>
      <c r="Y58" s="75" t="s">
        <v>284</v>
      </c>
    </row>
    <row r="59" spans="1:25" ht="18.75">
      <c r="A59" s="26">
        <v>0</v>
      </c>
      <c r="B59" s="44" t="s">
        <v>56</v>
      </c>
      <c r="C59" s="23">
        <v>0</v>
      </c>
      <c r="D59" s="24">
        <v>180</v>
      </c>
      <c r="E59" s="65">
        <f>(ABS(C59)-ABS(D59))</f>
        <v>-180</v>
      </c>
      <c r="F59" s="65">
        <f>IF(E59&gt;=0,(E59*11.375),(360+E59)*11.375)</f>
        <v>2047.5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2047.5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0</v>
      </c>
      <c r="D60" s="24">
        <f>45</f>
        <v>45</v>
      </c>
      <c r="E60" s="65">
        <f>(ABS(C60)-ABS(D60))</f>
        <v>-45</v>
      </c>
      <c r="F60" s="65">
        <f>IF(E60&gt;=0,(E60*11.375),(360+E60)*11.375)</f>
        <v>3583.125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3583.125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0</v>
      </c>
      <c r="D61" s="24">
        <f>L61/K61</f>
        <v>245.74218089602704</v>
      </c>
      <c r="E61" s="66">
        <f>ABS((+C61/(40/65)-(C59-C60)/(40/65)))-ABS(180)</f>
        <v>-180</v>
      </c>
      <c r="F61" s="66">
        <f>IF(E61&gt;=0,(E61*11.375),(360+E61)*11.375)</f>
        <v>2047.5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2047.5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0</v>
      </c>
      <c r="D62" s="24">
        <v>180</v>
      </c>
      <c r="E62" s="65">
        <f>(ABS(C62)-ABS(D62))</f>
        <v>-180</v>
      </c>
      <c r="F62" s="65">
        <f>IF(E62&gt;=0,(E62*11.375),(360+E62)*11.375)</f>
        <v>2047.5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2047.5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 t="e">
        <f>IF(K66&gt;0,+I66/K66+G66,+I66/K66-G66)</f>
        <v>#DIV/0!</v>
      </c>
      <c r="E66" s="31"/>
      <c r="F66" s="31"/>
      <c r="G66" s="63">
        <v>0</v>
      </c>
      <c r="H66" s="63">
        <v>60</v>
      </c>
      <c r="I66" s="77">
        <v>0</v>
      </c>
      <c r="J66" s="77">
        <v>0</v>
      </c>
      <c r="K66" s="51">
        <f>(J66-I66)/(H66-G66)</f>
        <v>0</v>
      </c>
      <c r="L66" s="63" t="e">
        <f>ABS(+D66*K66)</f>
        <v>#DIV/0!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156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242</v>
      </c>
      <c r="P69" s="73" t="s">
        <v>243</v>
      </c>
      <c r="Q69" s="73" t="s">
        <v>199</v>
      </c>
      <c r="R69" s="73" t="s">
        <v>200</v>
      </c>
      <c r="S69" s="73"/>
      <c r="T69" s="41" t="s">
        <v>279</v>
      </c>
      <c r="U69" s="41" t="s">
        <v>280</v>
      </c>
      <c r="V69" s="41" t="s">
        <v>281</v>
      </c>
      <c r="W69" s="75" t="s">
        <v>282</v>
      </c>
      <c r="X69" s="75" t="s">
        <v>283</v>
      </c>
      <c r="Y69" s="75" t="s">
        <v>284</v>
      </c>
    </row>
    <row r="70" spans="1:25" ht="18.75">
      <c r="A70" s="26">
        <v>0</v>
      </c>
      <c r="B70" s="44" t="s">
        <v>65</v>
      </c>
      <c r="C70" s="31"/>
      <c r="D70" s="27" t="e">
        <f>IF(K70&gt;0,+I70/K70-G70,+I70/K70+G70)</f>
        <v>#DIV/0!</v>
      </c>
      <c r="E70" s="31"/>
      <c r="F70" s="31"/>
      <c r="G70" s="68">
        <v>0</v>
      </c>
      <c r="H70" s="68">
        <v>90</v>
      </c>
      <c r="I70" s="77">
        <v>0</v>
      </c>
      <c r="J70" s="77">
        <v>0</v>
      </c>
      <c r="K70" s="27">
        <f t="shared" ref="K70:K77" si="7">(J70-I70)/(H70-G70)</f>
        <v>0</v>
      </c>
      <c r="L70" s="63" t="e">
        <f>ABS(D70*K70)</f>
        <v>#DIV/0!</v>
      </c>
      <c r="M70" s="68">
        <v>10</v>
      </c>
      <c r="N70" s="68">
        <v>0</v>
      </c>
      <c r="O70" s="68">
        <v>0</v>
      </c>
      <c r="P70" s="68">
        <v>100</v>
      </c>
      <c r="Q70" s="68">
        <v>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 t="e">
        <f t="shared" ref="D71:D77" si="8">-G71+(+I71/K71)</f>
        <v>#DIV/0!</v>
      </c>
      <c r="E71" s="31"/>
      <c r="F71" s="31"/>
      <c r="G71" s="68">
        <v>0</v>
      </c>
      <c r="H71" s="68">
        <v>90</v>
      </c>
      <c r="I71" s="77">
        <v>0</v>
      </c>
      <c r="J71" s="77">
        <v>0</v>
      </c>
      <c r="K71" s="27">
        <f t="shared" si="7"/>
        <v>0</v>
      </c>
      <c r="L71" s="68">
        <f>I71</f>
        <v>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 t="e">
        <f t="shared" si="8"/>
        <v>#DIV/0!</v>
      </c>
      <c r="E72" s="31"/>
      <c r="F72" s="31"/>
      <c r="G72" s="68">
        <v>0</v>
      </c>
      <c r="H72" s="68">
        <v>180</v>
      </c>
      <c r="I72" s="77">
        <v>0</v>
      </c>
      <c r="J72" s="77">
        <v>0</v>
      </c>
      <c r="K72" s="27">
        <f t="shared" si="7"/>
        <v>0</v>
      </c>
      <c r="L72" s="68">
        <f>+J72</f>
        <v>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 t="e">
        <f t="shared" si="8"/>
        <v>#DIV/0!</v>
      </c>
      <c r="E73" s="31"/>
      <c r="F73" s="31"/>
      <c r="G73" s="68">
        <v>0</v>
      </c>
      <c r="H73" s="68">
        <v>90</v>
      </c>
      <c r="I73" s="77">
        <v>0</v>
      </c>
      <c r="J73" s="77">
        <v>0</v>
      </c>
      <c r="K73" s="27">
        <f t="shared" si="7"/>
        <v>0</v>
      </c>
      <c r="L73" s="68">
        <f>I73</f>
        <v>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 t="e">
        <f t="shared" si="8"/>
        <v>#DIV/0!</v>
      </c>
      <c r="E74" s="31"/>
      <c r="F74" s="31"/>
      <c r="G74" s="68">
        <v>0</v>
      </c>
      <c r="H74" s="68">
        <v>180</v>
      </c>
      <c r="I74" s="77">
        <v>0</v>
      </c>
      <c r="J74" s="77">
        <v>0</v>
      </c>
      <c r="K74" s="27">
        <f t="shared" si="7"/>
        <v>0</v>
      </c>
      <c r="L74" s="68">
        <f>+J74</f>
        <v>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 t="e">
        <f t="shared" si="8"/>
        <v>#DIV/0!</v>
      </c>
      <c r="E75" s="31"/>
      <c r="F75" s="31"/>
      <c r="G75" s="68">
        <v>0</v>
      </c>
      <c r="H75" s="68">
        <v>90</v>
      </c>
      <c r="I75" s="77">
        <v>0</v>
      </c>
      <c r="J75" s="77">
        <v>0</v>
      </c>
      <c r="K75" s="27">
        <f t="shared" si="7"/>
        <v>0</v>
      </c>
      <c r="L75" s="68">
        <f>I75</f>
        <v>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 t="e">
        <f t="shared" si="8"/>
        <v>#DIV/0!</v>
      </c>
      <c r="E76" s="31"/>
      <c r="F76" s="31"/>
      <c r="G76" s="68">
        <v>0</v>
      </c>
      <c r="H76" s="68">
        <v>180</v>
      </c>
      <c r="I76" s="77">
        <v>0</v>
      </c>
      <c r="J76" s="77">
        <v>0</v>
      </c>
      <c r="K76" s="27">
        <f t="shared" si="7"/>
        <v>0</v>
      </c>
      <c r="L76" s="68">
        <f>J76</f>
        <v>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 t="e">
        <f t="shared" si="8"/>
        <v>#DIV/0!</v>
      </c>
      <c r="E77" s="31"/>
      <c r="F77" s="31"/>
      <c r="G77" s="68">
        <v>0</v>
      </c>
      <c r="H77" s="68">
        <v>270</v>
      </c>
      <c r="I77" s="77">
        <v>0</v>
      </c>
      <c r="J77" s="77">
        <v>0</v>
      </c>
      <c r="K77" s="27">
        <f t="shared" si="7"/>
        <v>0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277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278</v>
      </c>
    </row>
    <row r="89" spans="1:5">
      <c r="B89" s="13"/>
      <c r="C89" s="3"/>
      <c r="D89" s="3" t="s">
        <v>157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158</v>
      </c>
      <c r="B96" s="37" t="s">
        <v>285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287</v>
      </c>
      <c r="C99" s="78" t="s">
        <v>288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286</v>
      </c>
      <c r="C100" s="78" t="s">
        <v>292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291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290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289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zoomScale="85" zoomScaleNormal="85" workbookViewId="0">
      <selection activeCell="H19" sqref="H1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83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84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85</v>
      </c>
      <c r="B14" s="60" t="s">
        <v>300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86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87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88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89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90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91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92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94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96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97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299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253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246</v>
      </c>
      <c r="B32" t="s">
        <v>273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247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248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254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249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255</v>
      </c>
      <c r="B37" s="60"/>
      <c r="C37" s="60" t="s">
        <v>256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251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252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99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100</v>
      </c>
      <c r="B44" s="60" t="s">
        <v>298</v>
      </c>
      <c r="C44" s="60" t="s">
        <v>101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210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209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102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208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207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206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205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103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144</v>
      </c>
    </row>
    <row r="57" spans="1:13">
      <c r="A57" t="s">
        <v>231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293</v>
      </c>
      <c r="J58" t="s">
        <v>294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214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104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203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204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212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211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105</v>
      </c>
      <c r="B69" s="60" t="s">
        <v>106</v>
      </c>
      <c r="C69" s="60" t="s">
        <v>107</v>
      </c>
      <c r="D69" s="60" t="s">
        <v>108</v>
      </c>
      <c r="E69" s="60" t="s">
        <v>109</v>
      </c>
      <c r="F69" s="60" t="s">
        <v>110</v>
      </c>
      <c r="G69" s="60" t="s">
        <v>111</v>
      </c>
      <c r="H69" s="60" t="s">
        <v>112</v>
      </c>
      <c r="I69" s="60"/>
      <c r="J69" s="60"/>
      <c r="K69" s="60"/>
      <c r="L69" s="60"/>
      <c r="M69" s="60"/>
    </row>
    <row r="70" spans="1:13">
      <c r="A70" s="60" t="s">
        <v>113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114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115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116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117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118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119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122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201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123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124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125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126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127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128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129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202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130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131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102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132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67" zoomScale="85" zoomScaleNormal="85" workbookViewId="0">
      <selection activeCell="F96" sqref="F9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82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83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84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85</v>
      </c>
      <c r="B14" s="60" t="s">
        <v>295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86</v>
      </c>
      <c r="B15" s="60" t="s">
        <v>296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87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88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89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90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91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92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94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96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97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297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257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258</v>
      </c>
      <c r="B33" t="s">
        <v>273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248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274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259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260</v>
      </c>
      <c r="B38" s="60"/>
      <c r="C38" s="60" t="s">
        <v>256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252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99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100</v>
      </c>
      <c r="B44" s="60" t="s">
        <v>298</v>
      </c>
      <c r="C44" s="60" t="s">
        <v>101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210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209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102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208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207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206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205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103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144</v>
      </c>
    </row>
    <row r="57" spans="1:13">
      <c r="A57" t="s">
        <v>231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293</v>
      </c>
      <c r="J58" t="s">
        <v>294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214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104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203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204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212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211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105</v>
      </c>
      <c r="B69" s="60" t="s">
        <v>106</v>
      </c>
      <c r="C69" s="60" t="s">
        <v>107</v>
      </c>
      <c r="D69" s="60" t="s">
        <v>108</v>
      </c>
      <c r="E69" s="60" t="s">
        <v>109</v>
      </c>
      <c r="F69" s="60" t="s">
        <v>110</v>
      </c>
      <c r="G69" s="60" t="s">
        <v>111</v>
      </c>
      <c r="H69" s="60" t="s">
        <v>112</v>
      </c>
      <c r="I69" s="60"/>
      <c r="J69" s="60"/>
      <c r="K69" s="60"/>
      <c r="L69" s="60"/>
      <c r="M69" s="60"/>
    </row>
    <row r="70" spans="1:13">
      <c r="A70" s="60" t="s">
        <v>113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114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115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116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117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118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119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122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201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123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124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125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126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127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128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129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202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130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131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102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132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A54" sqref="A54:N5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133</v>
      </c>
    </row>
    <row r="12" spans="1:6">
      <c r="A12" t="s">
        <v>83</v>
      </c>
    </row>
    <row r="13" spans="1:6">
      <c r="A13" t="s">
        <v>84</v>
      </c>
    </row>
    <row r="14" spans="1:6">
      <c r="A14" t="s">
        <v>85</v>
      </c>
      <c r="B14" t="s">
        <v>134</v>
      </c>
    </row>
    <row r="15" spans="1:6">
      <c r="A15" t="s">
        <v>86</v>
      </c>
      <c r="B15">
        <v>1</v>
      </c>
    </row>
    <row r="16" spans="1:6">
      <c r="A16" t="s">
        <v>87</v>
      </c>
      <c r="B16">
        <v>0</v>
      </c>
    </row>
    <row r="17" spans="1:9">
      <c r="A17" t="s">
        <v>88</v>
      </c>
      <c r="B17">
        <v>10</v>
      </c>
    </row>
    <row r="18" spans="1:9">
      <c r="A18" t="s">
        <v>89</v>
      </c>
      <c r="B18">
        <v>300</v>
      </c>
    </row>
    <row r="19" spans="1:9">
      <c r="A19" t="s">
        <v>135</v>
      </c>
      <c r="B19">
        <v>500</v>
      </c>
    </row>
    <row r="20" spans="1:9">
      <c r="A20" t="s">
        <v>136</v>
      </c>
      <c r="B20">
        <v>500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94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244</v>
      </c>
    </row>
    <row r="32" spans="1:9">
      <c r="A32" t="s">
        <v>245</v>
      </c>
    </row>
    <row r="33" spans="1:9">
      <c r="A33" t="s">
        <v>246</v>
      </c>
      <c r="B33" t="s">
        <v>273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249</v>
      </c>
    </row>
    <row r="37" spans="1:9">
      <c r="A37" t="s">
        <v>250</v>
      </c>
    </row>
    <row r="38" spans="1:9">
      <c r="A38" t="s">
        <v>251</v>
      </c>
    </row>
    <row r="39" spans="1:9">
      <c r="A39" t="s">
        <v>252</v>
      </c>
    </row>
    <row r="41" spans="1:9">
      <c r="A41" t="s">
        <v>99</v>
      </c>
    </row>
    <row r="42" spans="1:9">
      <c r="A42" t="s">
        <v>100</v>
      </c>
      <c r="B42">
        <v>8</v>
      </c>
      <c r="C42" t="s">
        <v>101</v>
      </c>
    </row>
    <row r="43" spans="1:9">
      <c r="A43" t="s">
        <v>219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102</v>
      </c>
    </row>
    <row r="46" spans="1:9">
      <c r="A46" t="s">
        <v>218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216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0</v>
      </c>
    </row>
    <row r="50" spans="1:10">
      <c r="A50" t="s">
        <v>215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 t="e">
        <f>+INDEX(Sheet1!$D$37:$D$44,COLUMN()-COLUMN($B$82)+1)++INDEX(Sheet1!$S$37:$S$44,COLUMN()-COLUMN($B$82)+1)</f>
        <v>#DIV/0!</v>
      </c>
    </row>
    <row r="52" spans="1:10">
      <c r="A52" t="s">
        <v>103</v>
      </c>
      <c r="B52">
        <v>0</v>
      </c>
    </row>
    <row r="53" spans="1:10" ht="15.75" customHeight="1"/>
    <row r="54" spans="1:10">
      <c r="A54" t="s">
        <v>144</v>
      </c>
    </row>
    <row r="55" spans="1:10">
      <c r="A55" t="s">
        <v>231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293</v>
      </c>
      <c r="J56" t="s">
        <v>294</v>
      </c>
    </row>
    <row r="57" spans="1:10">
      <c r="A57" t="s">
        <v>218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104</v>
      </c>
    </row>
    <row r="59" spans="1:10">
      <c r="A59" t="s">
        <v>221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222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217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211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105</v>
      </c>
      <c r="B66" t="s">
        <v>106</v>
      </c>
      <c r="C66" t="s">
        <v>107</v>
      </c>
      <c r="D66" t="s">
        <v>108</v>
      </c>
      <c r="E66" t="s">
        <v>109</v>
      </c>
      <c r="F66" t="s">
        <v>110</v>
      </c>
      <c r="G66" t="s">
        <v>111</v>
      </c>
      <c r="H66" t="s">
        <v>112</v>
      </c>
    </row>
    <row r="67" spans="1:9">
      <c r="A67" t="s">
        <v>113</v>
      </c>
    </row>
    <row r="68" spans="1:9">
      <c r="A68" t="s">
        <v>114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115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116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117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118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119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120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121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122</v>
      </c>
    </row>
    <row r="78" spans="1:9">
      <c r="A78" t="s">
        <v>217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123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124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 t="e">
        <f>+INDEX(Sheet1!$L$37:$L$44,COLUMN()-COLUMN($B$82)+1)</f>
        <v>#DIV/0!</v>
      </c>
    </row>
    <row r="81" spans="1:9">
      <c r="A81" t="s">
        <v>125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126</v>
      </c>
      <c r="B82" s="21">
        <f>+INDEX(Sheet1!$N$37:$N$44,COLUMN()-COLUMN($B$82)+1)</f>
        <v>2047.5</v>
      </c>
      <c r="C82" s="21">
        <f>+INDEX(Sheet1!$N$37:$N$44,COLUMN()-COLUMN($B$82)+1)</f>
        <v>511.875</v>
      </c>
      <c r="D82" s="21">
        <f>+INDEX(Sheet1!$N$37:$N$44,COLUMN()-COLUMN($B$82)+1)</f>
        <v>2047.5</v>
      </c>
      <c r="E82" s="21">
        <f>+INDEX(Sheet1!$N$37:$N$44,COLUMN()-COLUMN($B$82)+1)</f>
        <v>2047.5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127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128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129</v>
      </c>
    </row>
    <row r="87" spans="1:9">
      <c r="A87" t="s">
        <v>217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130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131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102</v>
      </c>
    </row>
    <row r="93" spans="1:9">
      <c r="A93" t="s">
        <v>132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146</v>
      </c>
    </row>
    <row r="11" spans="1:6">
      <c r="A11" t="s">
        <v>83</v>
      </c>
    </row>
    <row r="12" spans="1:6">
      <c r="A12" t="s">
        <v>84</v>
      </c>
    </row>
    <row r="13" spans="1:6">
      <c r="A13" t="s">
        <v>147</v>
      </c>
      <c r="B13" t="s">
        <v>148</v>
      </c>
    </row>
    <row r="14" spans="1:6">
      <c r="A14" t="s">
        <v>86</v>
      </c>
      <c r="B14">
        <v>2</v>
      </c>
    </row>
    <row r="15" spans="1:6">
      <c r="A15" t="s">
        <v>87</v>
      </c>
      <c r="B15">
        <v>0</v>
      </c>
    </row>
    <row r="16" spans="1:6">
      <c r="A16" t="s">
        <v>88</v>
      </c>
      <c r="B16">
        <v>10</v>
      </c>
    </row>
    <row r="17" spans="1:9">
      <c r="A17" t="s">
        <v>89</v>
      </c>
      <c r="B17">
        <v>300</v>
      </c>
    </row>
    <row r="18" spans="1:9">
      <c r="A18" t="s">
        <v>135</v>
      </c>
      <c r="B18">
        <v>500</v>
      </c>
    </row>
    <row r="19" spans="1:9">
      <c r="A19" t="s">
        <v>136</v>
      </c>
      <c r="B19">
        <v>500</v>
      </c>
    </row>
    <row r="20" spans="1:9">
      <c r="A20" t="s">
        <v>92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93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94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96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268</v>
      </c>
    </row>
    <row r="31" spans="1:9">
      <c r="A31" t="s">
        <v>269</v>
      </c>
    </row>
    <row r="32" spans="1:9">
      <c r="A32" t="s">
        <v>246</v>
      </c>
      <c r="B32" t="s">
        <v>273</v>
      </c>
    </row>
    <row r="33" spans="1:9">
      <c r="A33" t="s">
        <v>247</v>
      </c>
    </row>
    <row r="34" spans="1:9">
      <c r="A34" t="s">
        <v>248</v>
      </c>
    </row>
    <row r="35" spans="1:9">
      <c r="A35" t="s">
        <v>249</v>
      </c>
    </row>
    <row r="36" spans="1:9">
      <c r="A36" t="s">
        <v>255</v>
      </c>
      <c r="C36" t="s">
        <v>256</v>
      </c>
    </row>
    <row r="37" spans="1:9">
      <c r="A37" t="s">
        <v>251</v>
      </c>
    </row>
    <row r="38" spans="1:9">
      <c r="A38" t="s">
        <v>252</v>
      </c>
    </row>
    <row r="41" spans="1:9">
      <c r="A41" t="s">
        <v>99</v>
      </c>
    </row>
    <row r="42" spans="1:9">
      <c r="A42" t="s">
        <v>100</v>
      </c>
      <c r="B42">
        <v>8</v>
      </c>
      <c r="C42" t="s">
        <v>101</v>
      </c>
    </row>
    <row r="43" spans="1:9">
      <c r="A43" t="s">
        <v>219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102</v>
      </c>
    </row>
    <row r="46" spans="1:9">
      <c r="A46" t="s">
        <v>218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216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0</v>
      </c>
    </row>
    <row r="50" spans="1:9">
      <c r="A50" t="s">
        <v>215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 t="e">
        <f>+INDEX(Sheet1!$D$59:$D$66,COLUMN()-COLUMN($B$83)+1)++INDEX(Sheet1!$S$59:$S$66,COLUMN()-COLUMN($B$83)+1)</f>
        <v>#DIV/0!</v>
      </c>
    </row>
    <row r="52" spans="1:9">
      <c r="A52" t="s">
        <v>103</v>
      </c>
      <c r="B52">
        <v>0</v>
      </c>
    </row>
    <row r="54" spans="1:9">
      <c r="A54" t="s">
        <v>144</v>
      </c>
    </row>
    <row r="55" spans="1:9">
      <c r="A55" t="s">
        <v>231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104</v>
      </c>
    </row>
    <row r="59" spans="1:9">
      <c r="A59" t="s">
        <v>221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222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217</v>
      </c>
    </row>
    <row r="64" spans="1:9">
      <c r="A64" t="s">
        <v>211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105</v>
      </c>
      <c r="B66" t="s">
        <v>106</v>
      </c>
      <c r="C66" t="s">
        <v>107</v>
      </c>
      <c r="D66" t="s">
        <v>108</v>
      </c>
      <c r="E66" t="s">
        <v>109</v>
      </c>
      <c r="F66" t="s">
        <v>110</v>
      </c>
      <c r="G66" t="s">
        <v>111</v>
      </c>
      <c r="H66" t="s">
        <v>112</v>
      </c>
    </row>
    <row r="67" spans="1:9">
      <c r="A67" t="s">
        <v>113</v>
      </c>
    </row>
    <row r="68" spans="1:9">
      <c r="A68" t="s">
        <v>114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115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116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117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118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119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120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121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122</v>
      </c>
    </row>
    <row r="78" spans="1:9">
      <c r="A78" t="s">
        <v>217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123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124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 t="e">
        <f>+INDEX(Sheet1!$L$59:$L$66,COLUMN()-COLUMN($B$83)+1)</f>
        <v>#DIV/0!</v>
      </c>
    </row>
    <row r="81" spans="1:9">
      <c r="A81" t="s">
        <v>125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126</v>
      </c>
      <c r="B82" s="21">
        <f>+INDEX(Sheet1!$N$59:$N$66,COLUMN()-COLUMN($B$83)+1)</f>
        <v>2047.5</v>
      </c>
      <c r="C82" s="21">
        <f>+INDEX(Sheet1!$N$59:$N$66,COLUMN()-COLUMN($B$83)+1)</f>
        <v>3583.125</v>
      </c>
      <c r="D82" s="21">
        <f>+INDEX(Sheet1!$N$59:$N$66,COLUMN()-COLUMN($B$83)+1)</f>
        <v>2047.5</v>
      </c>
      <c r="E82" s="21">
        <f>+INDEX(Sheet1!$N$59:$N$66,COLUMN()-COLUMN($B$83)+1)</f>
        <v>2047.5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127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128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129</v>
      </c>
    </row>
    <row r="87" spans="1:9">
      <c r="A87" t="s">
        <v>217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130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131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102</v>
      </c>
    </row>
    <row r="91" spans="1:9">
      <c r="A91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137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  <c r="B12" t="s">
        <v>138</v>
      </c>
    </row>
    <row r="13" spans="1:6">
      <c r="A13" t="s">
        <v>86</v>
      </c>
      <c r="B13">
        <v>5</v>
      </c>
    </row>
    <row r="14" spans="1:6">
      <c r="A14" t="s">
        <v>139</v>
      </c>
      <c r="B14" t="s">
        <v>140</v>
      </c>
    </row>
    <row r="15" spans="1:6">
      <c r="A15" t="s">
        <v>87</v>
      </c>
      <c r="B15">
        <v>0</v>
      </c>
    </row>
    <row r="16" spans="1:6">
      <c r="A16" t="s">
        <v>88</v>
      </c>
      <c r="B16">
        <v>10</v>
      </c>
    </row>
    <row r="17" spans="1:9">
      <c r="A17" t="s">
        <v>89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94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96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262</v>
      </c>
    </row>
    <row r="31" spans="1:9">
      <c r="A31" t="s">
        <v>263</v>
      </c>
    </row>
    <row r="32" spans="1:9">
      <c r="A32" t="s">
        <v>258</v>
      </c>
      <c r="B32" t="s">
        <v>272</v>
      </c>
    </row>
    <row r="33" spans="1:9">
      <c r="A33" t="s">
        <v>264</v>
      </c>
    </row>
    <row r="34" spans="1:9">
      <c r="A34" t="s">
        <v>265</v>
      </c>
    </row>
    <row r="35" spans="1:9">
      <c r="A35" t="s">
        <v>266</v>
      </c>
    </row>
    <row r="36" spans="1:9">
      <c r="A36" t="s">
        <v>267</v>
      </c>
    </row>
    <row r="41" spans="1:9">
      <c r="A41" t="s">
        <v>99</v>
      </c>
    </row>
    <row r="42" spans="1:9">
      <c r="A42" t="s">
        <v>100</v>
      </c>
      <c r="B42">
        <v>8</v>
      </c>
      <c r="C42" t="s">
        <v>101</v>
      </c>
    </row>
    <row r="43" spans="1:9">
      <c r="A43" t="s">
        <v>241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102</v>
      </c>
    </row>
    <row r="46" spans="1:9">
      <c r="A46" t="s">
        <v>218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228</v>
      </c>
      <c r="B49" s="34">
        <f>+INDEX(Sheet1!$K$48:$K$56,COLUMN()-COLUMN($B$83)+1)</f>
        <v>0</v>
      </c>
      <c r="C49" s="34">
        <f>+INDEX(Sheet1!$K$48:$K$56,COLUMN()-COLUMN($B$83)+1)</f>
        <v>0</v>
      </c>
      <c r="D49" s="34">
        <f>+INDEX(Sheet1!$K$48:$K$56,COLUMN()-COLUMN($B$83)+1)</f>
        <v>0</v>
      </c>
      <c r="E49" s="34">
        <f>+INDEX(Sheet1!$K$48:$K$56,COLUMN()-COLUMN($B$83)+1)</f>
        <v>0</v>
      </c>
      <c r="F49" s="34">
        <f>+INDEX(Sheet1!$K$48:$K$56,COLUMN()-COLUMN($B$83)+1)</f>
        <v>0</v>
      </c>
      <c r="G49" s="34">
        <f>+INDEX(Sheet1!$K$48:$K$56,COLUMN()-COLUMN($B$83)+1)</f>
        <v>0</v>
      </c>
      <c r="H49" s="34">
        <f>+INDEX(Sheet1!$K$48:$K$56,COLUMN()-COLUMN($B$83)+1)</f>
        <v>0</v>
      </c>
      <c r="I49" s="34">
        <f>+INDEX(Sheet1!$K$48:$K$56,COLUMN()-COLUMN($B$83)+1)</f>
        <v>0</v>
      </c>
    </row>
    <row r="50" spans="1:9">
      <c r="A50" t="s">
        <v>215</v>
      </c>
      <c r="B50" s="34" t="e">
        <f>+INDEX(Sheet1!$D$48:$D$56,COLUMN()-COLUMN($B$83)+1)++INDEX(Sheet1!$S$48:$S$56,COLUMN()-COLUMN($B$83)+1)</f>
        <v>#DIV/0!</v>
      </c>
      <c r="C50" s="34" t="e">
        <f>+INDEX(Sheet1!$D$48:$D$56,COLUMN()-COLUMN($B$83)+1)++INDEX(Sheet1!$S$48:$S$56,COLUMN()-COLUMN($B$83)+1)</f>
        <v>#DIV/0!</v>
      </c>
      <c r="D50" s="34" t="e">
        <f>+INDEX(Sheet1!$D$48:$D$56,COLUMN()-COLUMN($B$83)+1)++INDEX(Sheet1!$S$48:$S$56,COLUMN()-COLUMN($B$83)+1)</f>
        <v>#DIV/0!</v>
      </c>
      <c r="E50" s="34" t="e">
        <f>+INDEX(Sheet1!$D$48:$D$56,COLUMN()-COLUMN($B$83)+1)++INDEX(Sheet1!$S$48:$S$56,COLUMN()-COLUMN($B$83)+1)</f>
        <v>#DIV/0!</v>
      </c>
      <c r="F50" s="34" t="e">
        <f>+INDEX(Sheet1!$D$48:$D$56,COLUMN()-COLUMN($B$83)+1)++INDEX(Sheet1!$S$48:$S$56,COLUMN()-COLUMN($B$83)+1)</f>
        <v>#DIV/0!</v>
      </c>
      <c r="G50" s="34" t="e">
        <f>+INDEX(Sheet1!$D$48:$D$56,COLUMN()-COLUMN($B$83)+1)++INDEX(Sheet1!$S$48:$S$56,COLUMN()-COLUMN($B$83)+1)</f>
        <v>#DIV/0!</v>
      </c>
      <c r="H50" s="34" t="e">
        <f>+INDEX(Sheet1!$D$48:$D$56,COLUMN()-COLUMN($B$83)+1)++INDEX(Sheet1!$S$48:$S$56,COLUMN()-COLUMN($B$83)+1)</f>
        <v>#DIV/0!</v>
      </c>
      <c r="I50" s="34" t="e">
        <f>+INDEX(Sheet1!$D$48:$D$56,COLUMN()-COLUMN($B$83)+1)++INDEX(Sheet1!$S$48:$S$56,COLUMN()-COLUMN($B$83)+1)</f>
        <v>#DIV/0!</v>
      </c>
    </row>
    <row r="52" spans="1:9">
      <c r="A52" t="s">
        <v>103</v>
      </c>
      <c r="B52">
        <v>0</v>
      </c>
    </row>
    <row r="55" spans="1:9">
      <c r="A55" t="s">
        <v>144</v>
      </c>
    </row>
    <row r="56" spans="1:9">
      <c r="A56" t="s">
        <v>231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145</v>
      </c>
    </row>
    <row r="59" spans="1:9">
      <c r="A59" t="s">
        <v>232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224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225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105</v>
      </c>
      <c r="B66" t="s">
        <v>106</v>
      </c>
      <c r="C66" t="s">
        <v>107</v>
      </c>
      <c r="D66" t="s">
        <v>108</v>
      </c>
      <c r="E66" t="s">
        <v>109</v>
      </c>
      <c r="F66" t="s">
        <v>110</v>
      </c>
      <c r="G66" t="s">
        <v>111</v>
      </c>
      <c r="H66" t="s">
        <v>112</v>
      </c>
    </row>
    <row r="67" spans="1:9">
      <c r="A67" t="s">
        <v>113</v>
      </c>
    </row>
    <row r="68" spans="1:9">
      <c r="A68" t="s">
        <v>114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115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116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117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118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119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120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121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122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123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124</v>
      </c>
      <c r="B80" s="21" t="e">
        <f>+INDEX(Sheet1!$L$48:$L$56,COLUMN()-COLUMN($B$81)+1)</f>
        <v>#DIV/0!</v>
      </c>
      <c r="C80" s="21">
        <f>+INDEX(Sheet1!$L$48:$L$56,COLUMN()-COLUMN($B$81)+1)</f>
        <v>0</v>
      </c>
      <c r="D80" s="21">
        <f>+INDEX(Sheet1!$L$48:$L$56,COLUMN()-COLUMN($B$81)+1)</f>
        <v>0</v>
      </c>
      <c r="E80" s="21">
        <f>+INDEX(Sheet1!$L$48:$L$56,COLUMN()-COLUMN($B$81)+1)</f>
        <v>0</v>
      </c>
      <c r="F80" s="21">
        <f>+INDEX(Sheet1!$L$48:$L$56,COLUMN()-COLUMN($B$81)+1)</f>
        <v>0</v>
      </c>
      <c r="G80" s="21">
        <f>+INDEX(Sheet1!$L$48:$L$56,COLUMN()-COLUMN($B$81)+1)</f>
        <v>0</v>
      </c>
      <c r="H80" s="21">
        <f>+INDEX(Sheet1!$L$48:$L$56,COLUMN()-COLUMN($B$81)+1)</f>
        <v>0</v>
      </c>
      <c r="I80" s="21">
        <f>+INDEX(Sheet1!$L$48:$L$56,COLUMN()-COLUMN($B$81)+1)</f>
        <v>0</v>
      </c>
    </row>
    <row r="81" spans="1:9">
      <c r="A81" t="s">
        <v>125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126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127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128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129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130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131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102</v>
      </c>
    </row>
    <row r="91" spans="1:9">
      <c r="A91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149</v>
      </c>
    </row>
    <row r="13" spans="1:6">
      <c r="A13" t="s">
        <v>83</v>
      </c>
    </row>
    <row r="14" spans="1:6">
      <c r="A14" t="s">
        <v>84</v>
      </c>
    </row>
    <row r="15" spans="1:6">
      <c r="A15" t="s">
        <v>85</v>
      </c>
      <c r="B15" t="s">
        <v>138</v>
      </c>
    </row>
    <row r="16" spans="1:6">
      <c r="A16" t="s">
        <v>86</v>
      </c>
      <c r="B16">
        <v>6</v>
      </c>
    </row>
    <row r="17" spans="1:9">
      <c r="A17" t="s">
        <v>139</v>
      </c>
      <c r="B17" t="s">
        <v>150</v>
      </c>
    </row>
    <row r="18" spans="1:9">
      <c r="A18" t="s">
        <v>87</v>
      </c>
      <c r="B18">
        <v>0</v>
      </c>
    </row>
    <row r="19" spans="1:9">
      <c r="A19" t="s">
        <v>88</v>
      </c>
      <c r="B19">
        <v>10</v>
      </c>
    </row>
    <row r="20" spans="1:9">
      <c r="A20" t="s">
        <v>89</v>
      </c>
      <c r="B20">
        <v>300</v>
      </c>
    </row>
    <row r="21" spans="1:9">
      <c r="A21" t="s">
        <v>141</v>
      </c>
      <c r="B21">
        <v>500</v>
      </c>
    </row>
    <row r="22" spans="1:9">
      <c r="A22" t="s">
        <v>142</v>
      </c>
      <c r="B22">
        <v>500</v>
      </c>
    </row>
    <row r="23" spans="1:9">
      <c r="A23" t="s">
        <v>143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96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270</v>
      </c>
    </row>
    <row r="34" spans="1:9">
      <c r="A34" t="s">
        <v>271</v>
      </c>
    </row>
    <row r="35" spans="1:9">
      <c r="A35" t="s">
        <v>258</v>
      </c>
      <c r="B35" t="s">
        <v>272</v>
      </c>
    </row>
    <row r="36" spans="1:9">
      <c r="A36" t="s">
        <v>264</v>
      </c>
    </row>
    <row r="37" spans="1:9">
      <c r="A37" t="s">
        <v>265</v>
      </c>
    </row>
    <row r="38" spans="1:9">
      <c r="A38" t="s">
        <v>266</v>
      </c>
    </row>
    <row r="39" spans="1:9">
      <c r="A39" t="s">
        <v>267</v>
      </c>
    </row>
    <row r="42" spans="1:9">
      <c r="A42" t="s">
        <v>99</v>
      </c>
    </row>
    <row r="43" spans="1:9">
      <c r="A43" t="s">
        <v>100</v>
      </c>
      <c r="B43">
        <v>8</v>
      </c>
      <c r="C43" t="s">
        <v>101</v>
      </c>
    </row>
    <row r="44" spans="1:9">
      <c r="A44" t="s">
        <v>230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102</v>
      </c>
    </row>
    <row r="47" spans="1:9">
      <c r="A47" t="s">
        <v>218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228</v>
      </c>
      <c r="B50" s="34">
        <f>+INDEX(Sheet1!$K$70:$K$77,COLUMN()-COLUMN($B$81)+1)</f>
        <v>0</v>
      </c>
      <c r="C50" s="34">
        <f>+INDEX(Sheet1!$K$70:$K$77,COLUMN()-COLUMN($B$81)+1)</f>
        <v>0</v>
      </c>
      <c r="D50" s="34">
        <f>+INDEX(Sheet1!$K$70:$K$77,COLUMN()-COLUMN($B$81)+1)</f>
        <v>0</v>
      </c>
      <c r="E50" s="34">
        <f>+INDEX(Sheet1!$K$70:$K$77,COLUMN()-COLUMN($B$81)+1)</f>
        <v>0</v>
      </c>
      <c r="F50" s="34">
        <f>+INDEX(Sheet1!$K$70:$K$77,COLUMN()-COLUMN($B$81)+1)</f>
        <v>0</v>
      </c>
      <c r="G50" s="34">
        <f>+INDEX(Sheet1!$K$70:$K$77,COLUMN()-COLUMN($B$81)+1)</f>
        <v>0</v>
      </c>
      <c r="H50" s="34">
        <f>+INDEX(Sheet1!$K$70:$K$77,COLUMN()-COLUMN($B$81)+1)</f>
        <v>0</v>
      </c>
      <c r="I50" s="34">
        <f>+INDEX(Sheet1!$K$70:$K$77,COLUMN()-COLUMN($B$81)+1)</f>
        <v>0</v>
      </c>
    </row>
    <row r="51" spans="1:9">
      <c r="A51" t="s">
        <v>215</v>
      </c>
      <c r="B51" s="34" t="e">
        <f>+INDEX(Sheet1!$D$70:$D$77,COLUMN()-COLUMN($B$81)+1)++INDEX(Sheet1!$S$70:$S$77,COLUMN()-COLUMN($B$81)+1)</f>
        <v>#DIV/0!</v>
      </c>
      <c r="C51" s="34" t="e">
        <f>+INDEX(Sheet1!$D$70:$D$77,COLUMN()-COLUMN($B$81)+1)++INDEX(Sheet1!$S$70:$S$77,COLUMN()-COLUMN($B$81)+1)</f>
        <v>#DIV/0!</v>
      </c>
      <c r="D51" s="34" t="e">
        <f>+INDEX(Sheet1!$D$70:$D$77,COLUMN()-COLUMN($B$81)+1)++INDEX(Sheet1!$S$70:$S$77,COLUMN()-COLUMN($B$81)+1)</f>
        <v>#DIV/0!</v>
      </c>
      <c r="E51" s="34" t="e">
        <f>+INDEX(Sheet1!$D$70:$D$77,COLUMN()-COLUMN($B$81)+1)++INDEX(Sheet1!$S$70:$S$77,COLUMN()-COLUMN($B$81)+1)</f>
        <v>#DIV/0!</v>
      </c>
      <c r="F51" s="34" t="e">
        <f>+INDEX(Sheet1!$D$70:$D$77,COLUMN()-COLUMN($B$81)+1)++INDEX(Sheet1!$S$70:$S$77,COLUMN()-COLUMN($B$81)+1)</f>
        <v>#DIV/0!</v>
      </c>
      <c r="G51" s="34" t="e">
        <f>+INDEX(Sheet1!$D$70:$D$77,COLUMN()-COLUMN($B$81)+1)++INDEX(Sheet1!$S$70:$S$77,COLUMN()-COLUMN($B$81)+1)</f>
        <v>#DIV/0!</v>
      </c>
      <c r="H51" s="34" t="e">
        <f>+INDEX(Sheet1!$D$70:$D$77,COLUMN()-COLUMN($B$81)+1)++INDEX(Sheet1!$S$70:$S$77,COLUMN()-COLUMN($B$81)+1)</f>
        <v>#DIV/0!</v>
      </c>
      <c r="I51" s="34" t="e">
        <f>+INDEX(Sheet1!$D$70:$D$77,COLUMN()-COLUMN($B$81)+1)++INDEX(Sheet1!$S$70:$S$77,COLUMN()-COLUMN($B$81)+1)</f>
        <v>#DIV/0!</v>
      </c>
    </row>
    <row r="53" spans="1:9">
      <c r="A53" t="s">
        <v>103</v>
      </c>
      <c r="B53">
        <v>0</v>
      </c>
    </row>
    <row r="56" spans="1:9">
      <c r="A56" t="s">
        <v>144</v>
      </c>
    </row>
    <row r="57" spans="1:9">
      <c r="A57" t="s">
        <v>231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145</v>
      </c>
    </row>
    <row r="60" spans="1:9">
      <c r="A60" t="s">
        <v>232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224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225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105</v>
      </c>
      <c r="B67" t="s">
        <v>106</v>
      </c>
      <c r="C67" t="s">
        <v>107</v>
      </c>
      <c r="D67" t="s">
        <v>108</v>
      </c>
      <c r="E67" t="s">
        <v>109</v>
      </c>
      <c r="F67" t="s">
        <v>110</v>
      </c>
      <c r="G67" t="s">
        <v>111</v>
      </c>
      <c r="H67" t="s">
        <v>112</v>
      </c>
    </row>
    <row r="68" spans="1:9">
      <c r="A68" t="s">
        <v>113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117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121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122</v>
      </c>
    </row>
    <row r="79" spans="1:9">
      <c r="A79" t="s">
        <v>227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123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124</v>
      </c>
      <c r="B81" s="21" t="e">
        <f>+INDEX(Sheet1!$L$70:$L$77,COLUMN()-COLUMN($B$79)+1)</f>
        <v>#DIV/0!</v>
      </c>
      <c r="C81" s="21">
        <f>+INDEX(Sheet1!$L$70:$L$77,COLUMN()-COLUMN($B$79)+1)</f>
        <v>0</v>
      </c>
      <c r="D81" s="21">
        <f>+INDEX(Sheet1!$L$70:$L$77,COLUMN()-COLUMN($B$79)+1)</f>
        <v>0</v>
      </c>
      <c r="E81" s="21">
        <f>+INDEX(Sheet1!$L$70:$L$77,COLUMN()-COLUMN($B$79)+1)</f>
        <v>0</v>
      </c>
      <c r="F81" s="21">
        <f>+INDEX(Sheet1!$L$70:$L$77,COLUMN()-COLUMN($B$79)+1)</f>
        <v>0</v>
      </c>
      <c r="G81" s="21">
        <f>+INDEX(Sheet1!$L$70:$L$77,COLUMN()-COLUMN($B$79)+1)</f>
        <v>0</v>
      </c>
      <c r="H81" s="21">
        <f>+INDEX(Sheet1!$L$70:$L$77,COLUMN()-COLUMN($B$79)+1)</f>
        <v>0</v>
      </c>
      <c r="I81" s="21">
        <f>+INDEX(Sheet1!$L$70:$L$77,COLUMN()-COLUMN($B$79)+1)</f>
        <v>738</v>
      </c>
    </row>
    <row r="82" spans="1:9">
      <c r="A82" t="s">
        <v>125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126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127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128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129</v>
      </c>
    </row>
    <row r="88" spans="1:9">
      <c r="A88" t="s">
        <v>227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130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131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102</v>
      </c>
    </row>
    <row r="92" spans="1:9">
      <c r="A92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6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83</v>
      </c>
    </row>
    <row r="11" spans="1:6">
      <c r="A11" t="s">
        <v>151</v>
      </c>
    </row>
    <row r="12" spans="1:6">
      <c r="A12" t="s">
        <v>83</v>
      </c>
    </row>
    <row r="13" spans="1:6">
      <c r="A13" t="s">
        <v>84</v>
      </c>
    </row>
    <row r="14" spans="1:6">
      <c r="A14" t="s">
        <v>85</v>
      </c>
      <c r="B14" t="s">
        <v>152</v>
      </c>
    </row>
    <row r="15" spans="1:6">
      <c r="A15" t="s">
        <v>86</v>
      </c>
      <c r="B15">
        <v>0</v>
      </c>
    </row>
    <row r="16" spans="1:6">
      <c r="A16" t="s">
        <v>87</v>
      </c>
      <c r="B16">
        <v>0</v>
      </c>
    </row>
    <row r="17" spans="1:11">
      <c r="A17" t="s">
        <v>88</v>
      </c>
      <c r="B17">
        <v>10</v>
      </c>
    </row>
    <row r="18" spans="1:11">
      <c r="A18" t="s">
        <v>89</v>
      </c>
      <c r="B18">
        <v>300</v>
      </c>
    </row>
    <row r="19" spans="1:11">
      <c r="A19" t="s">
        <v>135</v>
      </c>
      <c r="B19">
        <v>500</v>
      </c>
    </row>
    <row r="20" spans="1:11">
      <c r="A20" t="s">
        <v>136</v>
      </c>
      <c r="B20">
        <v>500</v>
      </c>
    </row>
    <row r="21" spans="1:11">
      <c r="A21" t="s">
        <v>143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93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94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97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99</v>
      </c>
    </row>
    <row r="30" spans="1:11">
      <c r="A30" t="s">
        <v>100</v>
      </c>
      <c r="B30">
        <v>10</v>
      </c>
      <c r="C30" t="s">
        <v>101</v>
      </c>
    </row>
    <row r="31" spans="1:11">
      <c r="A31" t="s">
        <v>178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102</v>
      </c>
    </row>
    <row r="34" spans="1:11">
      <c r="A34" t="s">
        <v>178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234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240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103</v>
      </c>
      <c r="B40">
        <v>0</v>
      </c>
    </row>
    <row r="42" spans="1:11">
      <c r="A42" t="s">
        <v>144</v>
      </c>
    </row>
    <row r="43" spans="1:11">
      <c r="A43" t="s">
        <v>235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145</v>
      </c>
    </row>
    <row r="46" spans="1:11">
      <c r="A46" t="s">
        <v>178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236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237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238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153</v>
      </c>
    </row>
    <row r="52" spans="1:11">
      <c r="A52" t="s">
        <v>105</v>
      </c>
      <c r="B52" t="s">
        <v>106</v>
      </c>
      <c r="C52" t="s">
        <v>107</v>
      </c>
      <c r="D52" t="s">
        <v>108</v>
      </c>
      <c r="E52" t="s">
        <v>109</v>
      </c>
      <c r="F52" t="s">
        <v>110</v>
      </c>
      <c r="G52" t="s">
        <v>111</v>
      </c>
      <c r="H52" t="s">
        <v>112</v>
      </c>
    </row>
    <row r="53" spans="1:11">
      <c r="A53" t="s">
        <v>113</v>
      </c>
    </row>
    <row r="54" spans="1:11">
      <c r="A54" t="s">
        <v>114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115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116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117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118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119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120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121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154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155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122</v>
      </c>
    </row>
    <row r="66" spans="1:11">
      <c r="A66" t="s">
        <v>239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124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125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126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2047.5</v>
      </c>
      <c r="I70" s="21">
        <f>+INDEX(Sheet1!$N$24:$N34,COLUMN()-COLUMN($B$69)+1)</f>
        <v>2047.5</v>
      </c>
      <c r="J70" s="21">
        <f>+INDEX(Sheet1!$N$24:$N34,COLUMN()-COLUMN($B$69)+1)</f>
        <v>2047.5</v>
      </c>
      <c r="K70" s="21">
        <f>+INDEX(Sheet1!$N$24:$N34,COLUMN()-COLUMN($B$69)+1)</f>
        <v>0</v>
      </c>
    </row>
    <row r="71" spans="1:11">
      <c r="A71" t="s">
        <v>127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128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129</v>
      </c>
    </row>
    <row r="75" spans="1:11">
      <c r="A75" t="s">
        <v>239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130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131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102</v>
      </c>
    </row>
    <row r="79" spans="1:11">
      <c r="A79" t="s">
        <v>132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K77" sqref="K77"/>
    </sheetView>
  </sheetViews>
  <sheetFormatPr defaultRowHeight="15"/>
  <cols>
    <col min="1" max="1" width="18" customWidth="1"/>
  </cols>
  <sheetData>
    <row r="1" spans="1:7">
      <c r="A1" t="s">
        <v>159</v>
      </c>
    </row>
    <row r="2" spans="1:7">
      <c r="A2" t="s">
        <v>160</v>
      </c>
    </row>
    <row r="3" spans="1:7">
      <c r="A3" t="s">
        <v>161</v>
      </c>
    </row>
    <row r="4" spans="1:7">
      <c r="A4" t="s">
        <v>162</v>
      </c>
    </row>
    <row r="7" spans="1:7">
      <c r="A7" t="s">
        <v>164</v>
      </c>
    </row>
    <row r="8" spans="1:7">
      <c r="A8" t="s">
        <v>178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183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182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181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163</v>
      </c>
    </row>
    <row r="15" spans="1:7">
      <c r="A15" t="s">
        <v>178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177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128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166</v>
      </c>
    </row>
    <row r="21" spans="1:7">
      <c r="A21" t="s">
        <v>178</v>
      </c>
      <c r="B21">
        <v>0</v>
      </c>
      <c r="C21">
        <v>1</v>
      </c>
      <c r="D21">
        <v>2</v>
      </c>
    </row>
    <row r="22" spans="1:7">
      <c r="A22" t="s">
        <v>167</v>
      </c>
      <c r="B22">
        <v>3</v>
      </c>
      <c r="C22">
        <v>3</v>
      </c>
      <c r="D22">
        <v>3</v>
      </c>
    </row>
    <row r="23" spans="1:7">
      <c r="A23" t="s">
        <v>179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186</v>
      </c>
      <c r="B25">
        <f>Head_Torso!H70</f>
        <v>2047.5</v>
      </c>
      <c r="C25">
        <f>Head_Torso!I70</f>
        <v>2047.5</v>
      </c>
      <c r="D25">
        <f>Head_Torso!J70</f>
        <v>2047.5</v>
      </c>
    </row>
    <row r="27" spans="1:7">
      <c r="A27" t="s">
        <v>165</v>
      </c>
    </row>
    <row r="28" spans="1:7">
      <c r="A28" t="s">
        <v>178</v>
      </c>
      <c r="B28">
        <v>0</v>
      </c>
      <c r="C28">
        <v>1</v>
      </c>
      <c r="D28">
        <v>2</v>
      </c>
    </row>
    <row r="29" spans="1:7">
      <c r="A29" t="s">
        <v>184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185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168</v>
      </c>
    </row>
    <row r="34" spans="1:17">
      <c r="A34" t="s">
        <v>187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180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188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 t="e">
        <f>Left_arm!I80</f>
        <v>#DIV/0!</v>
      </c>
      <c r="J36" t="e">
        <f>Left_hand!B80</f>
        <v>#DIV/0!</v>
      </c>
      <c r="K36">
        <f>Left_hand!C80</f>
        <v>0</v>
      </c>
      <c r="L36">
        <f>Left_hand!D80</f>
        <v>0</v>
      </c>
      <c r="M36">
        <f>Left_hand!E80</f>
        <v>0</v>
      </c>
      <c r="N36">
        <f>Left_hand!F80</f>
        <v>0</v>
      </c>
      <c r="O36">
        <f>Left_hand!G80</f>
        <v>0</v>
      </c>
      <c r="P36">
        <f>Left_hand!H80</f>
        <v>0</v>
      </c>
      <c r="Q36">
        <f>Left_hand!I80</f>
        <v>0</v>
      </c>
    </row>
    <row r="37" spans="1:17">
      <c r="A37" t="s">
        <v>189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186</v>
      </c>
      <c r="B38">
        <f>Left_arm!B82</f>
        <v>2047.5</v>
      </c>
      <c r="C38">
        <f>Left_arm!C82</f>
        <v>511.875</v>
      </c>
      <c r="D38">
        <f>Left_arm!D82</f>
        <v>2047.5</v>
      </c>
      <c r="E38">
        <f>Left_arm!E82</f>
        <v>2047.5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169</v>
      </c>
    </row>
    <row r="41" spans="1:17">
      <c r="A41" t="s">
        <v>187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184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128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170</v>
      </c>
    </row>
    <row r="47" spans="1:17">
      <c r="A47" t="s">
        <v>190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123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179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 t="e">
        <f>Right_arm!I80</f>
        <v>#DIV/0!</v>
      </c>
      <c r="J49" t="e">
        <f>Right_hand!B81</f>
        <v>#DIV/0!</v>
      </c>
      <c r="K49">
        <f>Right_hand!C81</f>
        <v>0</v>
      </c>
      <c r="L49">
        <f>Right_hand!D81</f>
        <v>0</v>
      </c>
      <c r="M49">
        <f>Right_hand!E81</f>
        <v>0</v>
      </c>
      <c r="N49">
        <f>Right_hand!F81</f>
        <v>0</v>
      </c>
      <c r="O49">
        <f>Right_hand!G81</f>
        <v>0</v>
      </c>
      <c r="P49">
        <f>Right_hand!H81</f>
        <v>0</v>
      </c>
      <c r="Q49">
        <f>Right_hand!I81</f>
        <v>738</v>
      </c>
    </row>
    <row r="50" spans="1:17">
      <c r="A50" t="s">
        <v>182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181</v>
      </c>
      <c r="B51">
        <f>Right_arm!B82</f>
        <v>2047.5</v>
      </c>
      <c r="C51">
        <f>Right_arm!C82</f>
        <v>3583.125</v>
      </c>
      <c r="D51">
        <f>Right_arm!D82</f>
        <v>2047.5</v>
      </c>
      <c r="E51">
        <f>Right_arm!E82</f>
        <v>2047.5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171</v>
      </c>
    </row>
    <row r="54" spans="1:17">
      <c r="A54" t="s">
        <v>191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192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128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172</v>
      </c>
    </row>
    <row r="60" spans="1:17">
      <c r="A60" t="s">
        <v>187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193</v>
      </c>
      <c r="B61">
        <f>Left_leg!H81</f>
        <v>0</v>
      </c>
      <c r="C61">
        <f>Left_leg!I81</f>
        <v>0</v>
      </c>
      <c r="D61">
        <f>Left_leg!J81</f>
        <v>0</v>
      </c>
      <c r="E61">
        <f>Left_leg!K81</f>
        <v>0</v>
      </c>
      <c r="F61">
        <f>Left_leg!L81</f>
        <v>0</v>
      </c>
      <c r="G61">
        <f>Left_leg!M81</f>
        <v>0</v>
      </c>
    </row>
    <row r="62" spans="1:17">
      <c r="A62" t="s">
        <v>124</v>
      </c>
      <c r="B62">
        <f>Left_leg!H82</f>
        <v>0</v>
      </c>
      <c r="C62">
        <f>Left_leg!I82</f>
        <v>0</v>
      </c>
      <c r="D62">
        <f>Left_leg!J82</f>
        <v>0</v>
      </c>
      <c r="E62">
        <f>Left_leg!K82</f>
        <v>0</v>
      </c>
      <c r="F62">
        <f>Left_leg!L82</f>
        <v>0</v>
      </c>
      <c r="G62">
        <f>Left_leg!M82</f>
        <v>0</v>
      </c>
    </row>
    <row r="63" spans="1:17">
      <c r="A63" t="s">
        <v>125</v>
      </c>
      <c r="B63">
        <f>Left_leg!H83</f>
        <v>0</v>
      </c>
      <c r="C63">
        <f>Left_leg!I83</f>
        <v>0</v>
      </c>
      <c r="D63">
        <f>Left_leg!J83</f>
        <v>0</v>
      </c>
      <c r="E63">
        <f>Left_leg!K83</f>
        <v>0</v>
      </c>
      <c r="F63">
        <f>Left_leg!L83</f>
        <v>0</v>
      </c>
      <c r="G63">
        <f>Left_leg!M83</f>
        <v>0</v>
      </c>
    </row>
    <row r="64" spans="1:17">
      <c r="A64" t="s">
        <v>194</v>
      </c>
      <c r="B64">
        <f>Left_leg!H84</f>
        <v>0</v>
      </c>
      <c r="C64">
        <f>Left_leg!I84</f>
        <v>0</v>
      </c>
      <c r="D64">
        <f>Left_leg!J84</f>
        <v>0</v>
      </c>
      <c r="E64">
        <f>Left_leg!K84</f>
        <v>0</v>
      </c>
      <c r="F64">
        <f>Left_leg!L84</f>
        <v>0</v>
      </c>
      <c r="G64">
        <f>Left_leg!M84</f>
        <v>0</v>
      </c>
    </row>
    <row r="66" spans="1:7">
      <c r="A66" t="s">
        <v>173</v>
      </c>
    </row>
    <row r="67" spans="1:7">
      <c r="A67" t="s">
        <v>191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127</v>
      </c>
      <c r="B68">
        <f>Left_leg!H85</f>
        <v>0</v>
      </c>
      <c r="C68">
        <f>Left_leg!I85</f>
        <v>0</v>
      </c>
      <c r="D68">
        <f>Left_leg!J85</f>
        <v>0</v>
      </c>
      <c r="E68">
        <f>Left_leg!K85</f>
        <v>0</v>
      </c>
      <c r="F68">
        <f>Left_leg!L85</f>
        <v>0</v>
      </c>
      <c r="G68">
        <f>Left_leg!M85</f>
        <v>0</v>
      </c>
    </row>
    <row r="69" spans="1:7">
      <c r="A69" t="s">
        <v>195</v>
      </c>
      <c r="B69">
        <f>Left_leg!H86</f>
        <v>0</v>
      </c>
      <c r="C69">
        <f>Left_leg!I86</f>
        <v>0</v>
      </c>
      <c r="D69">
        <f>Left_leg!J86</f>
        <v>0</v>
      </c>
      <c r="E69">
        <f>Left_leg!K86</f>
        <v>0</v>
      </c>
      <c r="F69">
        <f>Left_leg!L86</f>
        <v>0</v>
      </c>
      <c r="G69">
        <f>Left_leg!M86</f>
        <v>0</v>
      </c>
    </row>
    <row r="71" spans="1:7">
      <c r="A71" t="s">
        <v>174</v>
      </c>
    </row>
    <row r="72" spans="1:7">
      <c r="A72" t="s">
        <v>196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123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124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197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186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175</v>
      </c>
    </row>
    <row r="79" spans="1:7">
      <c r="A79" t="s">
        <v>198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184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185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176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Right_leg</vt:lpstr>
      <vt:lpstr>Left_arm</vt:lpstr>
      <vt:lpstr>Right_arm</vt:lpstr>
      <vt:lpstr>Left_hand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2010-04-30T15:04:28Z</dcterms:modified>
</cp:coreProperties>
</file>