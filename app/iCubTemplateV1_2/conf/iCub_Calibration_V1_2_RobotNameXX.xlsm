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698" activeTab="7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C68" i="8"/>
  <c r="D68"/>
  <c r="E68"/>
  <c r="F68"/>
  <c r="G68"/>
  <c r="C69"/>
  <c r="D69"/>
  <c r="E69"/>
  <c r="F69"/>
  <c r="G69"/>
  <c r="B69"/>
  <c r="B68"/>
  <c r="B80"/>
  <c r="C61"/>
  <c r="D61"/>
  <c r="E61"/>
  <c r="F61"/>
  <c r="G61"/>
  <c r="C62"/>
  <c r="D62"/>
  <c r="E62"/>
  <c r="F62"/>
  <c r="G62"/>
  <c r="C63"/>
  <c r="D63"/>
  <c r="E63"/>
  <c r="F63"/>
  <c r="G63"/>
  <c r="C64"/>
  <c r="D64"/>
  <c r="E64"/>
  <c r="F64"/>
  <c r="G64"/>
  <c r="B62"/>
  <c r="B63"/>
  <c r="B64"/>
  <c r="B61"/>
  <c r="I36"/>
  <c r="C90" i="9"/>
  <c r="D90"/>
  <c r="E90"/>
  <c r="F90"/>
  <c r="G90"/>
  <c r="B90"/>
  <c r="G89"/>
  <c r="C89"/>
  <c r="D89"/>
  <c r="E89"/>
  <c r="F89"/>
  <c r="B89"/>
  <c r="C85"/>
  <c r="D85"/>
  <c r="E85"/>
  <c r="F85"/>
  <c r="G85"/>
  <c r="B85"/>
  <c r="C84"/>
  <c r="D84"/>
  <c r="E84"/>
  <c r="F84"/>
  <c r="G84"/>
  <c r="B84"/>
  <c r="C82"/>
  <c r="D82"/>
  <c r="E82"/>
  <c r="F82"/>
  <c r="G82"/>
  <c r="B82"/>
  <c r="C81"/>
  <c r="D81"/>
  <c r="E81"/>
  <c r="F81"/>
  <c r="G81"/>
  <c r="B81"/>
  <c r="C63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F80" i="5"/>
  <c r="E50" l="1"/>
  <c r="F50"/>
  <c r="G50"/>
  <c r="H50"/>
  <c r="B50"/>
  <c r="E50" i="3"/>
  <c r="F50"/>
  <c r="G50"/>
  <c r="H50"/>
  <c r="C50"/>
  <c r="B50"/>
  <c r="C52" i="2"/>
  <c r="D52"/>
  <c r="E52"/>
  <c r="F52"/>
  <c r="G52"/>
  <c r="B52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D43" i="8" s="1"/>
  <c r="E84" i="3"/>
  <c r="F84"/>
  <c r="F43" i="8" s="1"/>
  <c r="G84" i="3"/>
  <c r="G43" i="8" s="1"/>
  <c r="H84" i="3"/>
  <c r="I84"/>
  <c r="B84"/>
  <c r="C8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C43"/>
  <c r="E43"/>
  <c r="H43"/>
  <c r="I43"/>
  <c r="B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E14"/>
  <c r="F14" s="1"/>
  <c r="N14" s="1"/>
  <c r="L14"/>
  <c r="E15"/>
  <c r="F15" s="1"/>
  <c r="N15" s="1"/>
  <c r="L15"/>
  <c r="E16"/>
  <c r="F16" s="1"/>
  <c r="N16" s="1"/>
  <c r="L16"/>
  <c r="E17"/>
  <c r="F17" s="1"/>
  <c r="N17" s="1"/>
  <c r="L17"/>
  <c r="E18"/>
  <c r="F18" s="1"/>
  <c r="N18" s="1"/>
  <c r="L18"/>
  <c r="N25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/>
  <c r="D50" i="4" s="1"/>
  <c r="G83" i="9" l="1"/>
  <c r="F83"/>
  <c r="C83"/>
  <c r="B83"/>
  <c r="E83"/>
  <c r="D83"/>
  <c r="D52" i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L48" i="1" l="1"/>
  <c r="B80" i="4" s="1"/>
  <c r="J36" i="8" s="1"/>
</calcChain>
</file>

<file path=xl/sharedStrings.xml><?xml version="1.0" encoding="utf-8"?>
<sst xmlns="http://schemas.openxmlformats.org/spreadsheetml/2006/main" count="871" uniqueCount="303">
  <si>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</si>
  <si>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</si>
  <si>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</si>
  <si>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</si>
  <si>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</si>
  <si>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</si>
  <si>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</si>
  <si>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</si>
  <si>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</si>
  <si>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</si>
  <si>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</si>
  <si>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</si>
  <si>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</si>
  <si>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</si>
  <si>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</si>
  <si>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</si>
  <si>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</si>
  <si>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</si>
  <si>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</si>
  <si>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</si>
  <si>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</si>
  <si>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</si>
  <si>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</si>
  <si>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</si>
  <si>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</si>
  <si>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</si>
  <si>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</si>
  <si>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</si>
  <si>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</si>
  <si>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</si>
  <si>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</si>
  <si>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</si>
  <si>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</si>
  <si>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</si>
  <si>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</si>
  <si>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</si>
  <si>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</si>
  <si>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</si>
  <si>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</si>
  <si>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</si>
  <si>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</si>
  <si>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</si>
  <si>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</si>
  <si>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</si>
  <si>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</si>
  <si>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</si>
  <si>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</si>
  <si>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</si>
  <si>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</si>
  <si>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</si>
  <si>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</si>
  <si>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</si>
  <si>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</si>
  <si>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</si>
  <si>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</si>
  <si>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</si>
  <si>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</si>
  <si>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</si>
  <si>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</si>
  <si>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</si>
  <si>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</si>
  <si>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</si>
  <si>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</si>
  <si>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</si>
  <si>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</si>
  <si>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</si>
  <si>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</si>
  <si>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</si>
  <si>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</si>
  <si>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</si>
  <si>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</si>
  <si>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</si>
  <si>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</si>
  <si>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</si>
  <si>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</si>
  <si>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</si>
  <si>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</si>
  <si>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</si>
  <si>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</si>
  <si>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</si>
  <si>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</si>
  <si>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</si>
  <si>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</si>
  <si>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</si>
  <si>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</si>
  <si>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</si>
  <si>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</si>
  <si>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</si>
  <si>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</si>
  <si>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</si>
  <si>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</si>
  <si>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</si>
  <si>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</si>
  <si>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</si>
  <si>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</si>
  <si>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</si>
  <si>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</si>
  <si>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</si>
  <si>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</si>
  <si>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</si>
  <si>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</si>
  <si>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</si>
  <si>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</si>
  <si>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</si>
  <si>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</si>
  <si>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</si>
  <si>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</si>
  <si>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</si>
  <si>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</si>
  <si>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</si>
  <si>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</si>
  <si>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</si>
  <si>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</si>
  <si>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</si>
  <si>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</si>
  <si>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</si>
  <si>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</si>
  <si>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</si>
  <si>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</si>
  <si>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</si>
  <si>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</si>
  <si>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</si>
  <si>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</si>
  <si>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</si>
  <si>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</si>
  <si>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</si>
  <si>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</si>
  <si>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</si>
  <si>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</si>
  <si>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</si>
  <si>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</si>
  <si>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</si>
  <si>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</si>
  <si>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</si>
  <si>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</si>
  <si>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</si>
  <si>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</si>
  <si>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</si>
  <si>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</si>
  <si>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</si>
  <si>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</si>
  <si>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</si>
  <si>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</si>
  <si>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</si>
  <si>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</si>
  <si>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</si>
  <si>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</si>
  <si>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</si>
  <si>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</si>
  <si>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</si>
  <si>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</si>
  <si>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</si>
  <si>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</si>
  <si>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</si>
  <si>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</si>
  <si>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</si>
  <si>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</si>
  <si>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</si>
  <si>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</si>
  <si>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</si>
  <si>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</si>
  <si>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</si>
  <si>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</si>
  <si>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</si>
  <si>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</si>
  <si>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</si>
  <si>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</si>
  <si>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</si>
  <si>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</si>
  <si>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</si>
  <si>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</si>
  <si>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</si>
  <si>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</si>
  <si>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</si>
  <si>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</si>
  <si>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</si>
  <si>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</si>
  <si>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</si>
  <si>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</si>
  <si>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</si>
  <si>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</si>
  <si>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</si>
  <si>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</si>
  <si>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</si>
  <si>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</si>
  <si>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</si>
  <si>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</si>
  <si>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</si>
  <si>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</si>
  <si>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</si>
  <si>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</si>
  <si>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</si>
  <si>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</si>
  <si>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</si>
  <si>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</si>
  <si>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</si>
  <si>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</si>
  <si>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</si>
  <si>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</si>
  <si>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</si>
  <si>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</si>
  <si>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</si>
  <si>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</si>
  <si>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</si>
  <si>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</si>
  <si>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</si>
  <si>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</si>
  <si>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</si>
  <si>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</si>
  <si>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</si>
  <si>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</si>
  <si>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</si>
  <si>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</si>
  <si>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</si>
  <si>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</si>
  <si>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</si>
  <si>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</si>
  <si>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</si>
  <si>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</si>
  <si>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</si>
  <si>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</si>
  <si>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</si>
  <si>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</si>
  <si>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</si>
  <si>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</si>
  <si>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</si>
  <si>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</si>
  <si>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</si>
  <si>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</si>
  <si>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</si>
  <si>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</si>
  <si>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</si>
  <si>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</si>
  <si>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</si>
  <si>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</si>
  <si>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</si>
  <si>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</si>
  <si>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</si>
  <si>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</si>
  <si>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</si>
  <si>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</si>
  <si>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</si>
  <si>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</si>
  <si>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</si>
  <si>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</si>
  <si>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</si>
  <si>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</si>
  <si>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</si>
  <si>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</si>
  <si>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</si>
  <si>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</si>
  <si>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</si>
  <si>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</si>
  <si>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</si>
  <si>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</si>
  <si>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</si>
  <si>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</si>
  <si>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</si>
  <si>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</si>
  <si>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</si>
  <si>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</si>
  <si>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</si>
  <si>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</si>
  <si>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</si>
  <si>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</si>
  <si>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</si>
  <si>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</si>
  <si>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</si>
  <si>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</si>
  <si>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</si>
  <si>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</si>
  <si>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</si>
  <si>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</si>
  <si>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</si>
  <si>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</si>
  <si>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</si>
  <si>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</si>
  <si>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</si>
  <si>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</si>
  <si>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</si>
  <si>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</si>
  <si>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</si>
  <si>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</si>
  <si>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</si>
  <si>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D:\icub\app\iCubTemplateV1_2\conf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</si>
  <si>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</si>
  <si>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</si>
  <si>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</si>
  <si>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</si>
  <si>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</si>
  <si>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</si>
  <si>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</si>
  <si>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</si>
  <si>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>maximum time between two velocity in ms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</si>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</sst>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6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0" fontId="26" fillId="26" borderId="14" xfId="0" applyFont="1" applyFill="1" applyBorder="1"/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opLeftCell="C67" zoomScale="55" zoomScaleNormal="55" workbookViewId="0">
      <selection activeCell="M101" sqref="M101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300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275</v>
      </c>
      <c r="P6" s="41" t="s">
        <v>242</v>
      </c>
      <c r="Q6" s="41" t="s">
        <v>198</v>
      </c>
      <c r="R6" s="41" t="s">
        <v>199</v>
      </c>
      <c r="S6" s="41" t="s">
        <v>274</v>
      </c>
      <c r="T6" s="41" t="s">
        <v>278</v>
      </c>
      <c r="U6" s="41" t="s">
        <v>279</v>
      </c>
      <c r="V6" s="41" t="s">
        <v>280</v>
      </c>
      <c r="W6" s="75" t="s">
        <v>281</v>
      </c>
      <c r="X6" s="75" t="s">
        <v>282</v>
      </c>
      <c r="Y6" s="75" t="s">
        <v>283</v>
      </c>
    </row>
    <row r="7" spans="1:25" ht="18.75">
      <c r="A7" s="26">
        <v>0</v>
      </c>
      <c r="B7" s="44" t="s">
        <v>13</v>
      </c>
      <c r="C7" s="76">
        <v>0</v>
      </c>
      <c r="D7" s="24">
        <v>180</v>
      </c>
      <c r="E7" s="65">
        <f>(ABS(C7)-ABS(D7))</f>
        <v>-180</v>
      </c>
      <c r="F7" s="65">
        <f>IF(E7&gt;=0,(E7*11.375),(360+E7)*11.375)</f>
        <v>2047.5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2047.5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76">
        <v>0</v>
      </c>
      <c r="D8" s="24">
        <v>180</v>
      </c>
      <c r="E8" s="65">
        <f t="shared" ref="E8:E18" si="0">(ABS(C8)-ABS(D8))</f>
        <v>-180</v>
      </c>
      <c r="F8" s="65">
        <f t="shared" ref="F8:F18" si="1">IF(E8&gt;=0,(E8*11.375),(360+E8)*11.375)</f>
        <v>2047.5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2047.5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76">
        <v>0</v>
      </c>
      <c r="D9" s="24">
        <v>180</v>
      </c>
      <c r="E9" s="65">
        <f t="shared" si="0"/>
        <v>-180</v>
      </c>
      <c r="F9" s="65">
        <f t="shared" si="1"/>
        <v>2047.5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2047.5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76">
        <v>0</v>
      </c>
      <c r="D10" s="24">
        <v>180</v>
      </c>
      <c r="E10" s="65">
        <f t="shared" si="0"/>
        <v>-180</v>
      </c>
      <c r="F10" s="65">
        <f t="shared" si="1"/>
        <v>2047.5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2047.5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76">
        <v>0</v>
      </c>
      <c r="D11" s="24">
        <v>180</v>
      </c>
      <c r="E11" s="65">
        <f t="shared" si="0"/>
        <v>-180</v>
      </c>
      <c r="F11" s="65">
        <f t="shared" si="1"/>
        <v>2047.5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2047.5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76">
        <v>0</v>
      </c>
      <c r="D12" s="24">
        <v>180</v>
      </c>
      <c r="E12" s="65">
        <f t="shared" si="0"/>
        <v>-180</v>
      </c>
      <c r="F12" s="65">
        <f t="shared" si="1"/>
        <v>2047.5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2047.5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76">
        <v>0</v>
      </c>
      <c r="D13" s="24">
        <v>-180</v>
      </c>
      <c r="E13" s="65">
        <f t="shared" si="0"/>
        <v>-180</v>
      </c>
      <c r="F13" s="65">
        <f t="shared" si="1"/>
        <v>2047.5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2047.5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76">
        <v>0</v>
      </c>
      <c r="D14" s="24">
        <v>-180</v>
      </c>
      <c r="E14" s="65">
        <f t="shared" si="0"/>
        <v>-180</v>
      </c>
      <c r="F14" s="65">
        <f t="shared" si="1"/>
        <v>2047.5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2047.5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76">
        <v>0</v>
      </c>
      <c r="D15" s="24">
        <v>-180</v>
      </c>
      <c r="E15" s="65">
        <f t="shared" si="0"/>
        <v>-180</v>
      </c>
      <c r="F15" s="65">
        <f t="shared" si="1"/>
        <v>2047.5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2047.5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76">
        <v>0</v>
      </c>
      <c r="D16" s="24">
        <v>-180</v>
      </c>
      <c r="E16" s="65">
        <f t="shared" si="0"/>
        <v>-180</v>
      </c>
      <c r="F16" s="65">
        <f t="shared" si="1"/>
        <v>2047.5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2047.5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76">
        <v>0</v>
      </c>
      <c r="D17" s="24">
        <v>-180</v>
      </c>
      <c r="E17" s="65">
        <f t="shared" si="0"/>
        <v>-180</v>
      </c>
      <c r="F17" s="65">
        <f t="shared" si="1"/>
        <v>2047.5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2047.5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76">
        <v>0</v>
      </c>
      <c r="D18" s="24">
        <v>-180</v>
      </c>
      <c r="E18" s="65">
        <f t="shared" si="0"/>
        <v>-180</v>
      </c>
      <c r="F18" s="65">
        <f t="shared" si="1"/>
        <v>2047.5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2047.5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274</v>
      </c>
      <c r="T23" s="41" t="s">
        <v>278</v>
      </c>
      <c r="U23" s="41" t="s">
        <v>279</v>
      </c>
      <c r="V23" s="41" t="s">
        <v>280</v>
      </c>
      <c r="W23" s="75" t="s">
        <v>281</v>
      </c>
      <c r="X23" s="75" t="s">
        <v>282</v>
      </c>
      <c r="Y23" s="75" t="s">
        <v>283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0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0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0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0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76">
        <v>0</v>
      </c>
      <c r="D30" s="24">
        <v>180</v>
      </c>
      <c r="E30" s="65">
        <f>(C30-D30)</f>
        <v>-180</v>
      </c>
      <c r="F30" s="65">
        <f>IF(E30&gt;=0,(E30*11.375),(360+E30)*11.375)</f>
        <v>2047.5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2047.5</v>
      </c>
      <c r="O30" s="63">
        <v>0</v>
      </c>
      <c r="P30" s="63">
        <v>10</v>
      </c>
      <c r="Q30" s="63">
        <v>0</v>
      </c>
      <c r="R30" s="63">
        <v>10</v>
      </c>
      <c r="S30" s="64">
        <v>0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76">
        <v>0</v>
      </c>
      <c r="D31" s="24">
        <v>180</v>
      </c>
      <c r="E31" s="65">
        <f>(C31-D31)</f>
        <v>-180</v>
      </c>
      <c r="F31" s="65">
        <f>IF(E31&gt;=0,(E31*11.375),(360+E31)*11.375)</f>
        <v>2047.5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2047.5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8.75">
      <c r="A32" s="28">
        <v>8</v>
      </c>
      <c r="B32" s="44" t="s">
        <v>35</v>
      </c>
      <c r="C32" s="76">
        <v>0</v>
      </c>
      <c r="D32" s="24">
        <v>180</v>
      </c>
      <c r="E32" s="65">
        <f>(C32-D32)</f>
        <v>-180</v>
      </c>
      <c r="F32" s="65">
        <f>IF(E32&gt;=0,(E32*11.375),(360+E32)*11.375)</f>
        <v>2047.5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2047.5</v>
      </c>
      <c r="O32" s="63">
        <v>0</v>
      </c>
      <c r="P32" s="63">
        <v>10</v>
      </c>
      <c r="Q32" s="63">
        <v>-20</v>
      </c>
      <c r="R32" s="63">
        <v>10</v>
      </c>
      <c r="S32" s="64">
        <v>0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274</v>
      </c>
      <c r="T36" s="41" t="s">
        <v>278</v>
      </c>
      <c r="U36" s="41" t="s">
        <v>279</v>
      </c>
      <c r="V36" s="41" t="s">
        <v>280</v>
      </c>
      <c r="W36" s="75" t="s">
        <v>281</v>
      </c>
      <c r="X36" s="75" t="s">
        <v>282</v>
      </c>
      <c r="Y36" s="75" t="s">
        <v>283</v>
      </c>
    </row>
    <row r="37" spans="1:25" ht="18.75">
      <c r="A37" s="26">
        <v>0</v>
      </c>
      <c r="B37" s="44" t="s">
        <v>38</v>
      </c>
      <c r="C37" s="76">
        <v>0</v>
      </c>
      <c r="D37" s="24">
        <v>-180</v>
      </c>
      <c r="E37" s="65">
        <f>(ABS(C37)-ABS(D37))</f>
        <v>-180</v>
      </c>
      <c r="F37" s="65">
        <f>IF(E37&gt;=0,(E37*11.375),(360+E37)*11.375)</f>
        <v>2047.5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2047.5</v>
      </c>
      <c r="O37" s="63">
        <v>-30</v>
      </c>
      <c r="P37" s="63">
        <v>10</v>
      </c>
      <c r="Q37" s="63">
        <v>-30</v>
      </c>
      <c r="R37" s="63">
        <v>10</v>
      </c>
      <c r="S37" s="64">
        <v>0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76">
        <v>0</v>
      </c>
      <c r="D38" s="24">
        <v>-315</v>
      </c>
      <c r="E38" s="65">
        <f>(ABS(C38)-ABS(D38))</f>
        <v>-315</v>
      </c>
      <c r="F38" s="65">
        <f>IF(E38&gt;=0,(E38*11.375),(360+E38)*11.375)</f>
        <v>511.875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511.875</v>
      </c>
      <c r="O38" s="63">
        <v>30</v>
      </c>
      <c r="P38" s="63">
        <v>10</v>
      </c>
      <c r="Q38" s="63">
        <v>30</v>
      </c>
      <c r="R38" s="63">
        <v>10</v>
      </c>
      <c r="S38" s="64">
        <v>0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76">
        <v>0</v>
      </c>
      <c r="D39" s="24">
        <f>-L39/-K39</f>
        <v>24.257819103972956</v>
      </c>
      <c r="E39" s="66">
        <f>ABS((+C39/(40/65)-(C37-C38)/(40/65)))-ABS(180)</f>
        <v>-180</v>
      </c>
      <c r="F39" s="66">
        <f>IF(E39&gt;=0,(E39*11.375),(360+E39)*11.375)</f>
        <v>2047.5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2047.5</v>
      </c>
      <c r="O39" s="68">
        <v>0</v>
      </c>
      <c r="P39" s="63">
        <v>10</v>
      </c>
      <c r="Q39" s="68">
        <v>0</v>
      </c>
      <c r="R39" s="63">
        <v>10</v>
      </c>
      <c r="S39" s="64">
        <v>0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76">
        <v>0</v>
      </c>
      <c r="D40" s="24">
        <v>-180</v>
      </c>
      <c r="E40" s="65">
        <f>(ABS(C40)-ABS(D40))</f>
        <v>-180</v>
      </c>
      <c r="F40" s="65">
        <f>IF(E40&gt;=0,(E40*11.375),(360+E40)*11.375)</f>
        <v>2047.5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2047.5</v>
      </c>
      <c r="O40" s="63">
        <v>45</v>
      </c>
      <c r="P40" s="63">
        <v>10</v>
      </c>
      <c r="Q40" s="63">
        <v>45</v>
      </c>
      <c r="R40" s="63">
        <v>10</v>
      </c>
      <c r="S40" s="64">
        <v>0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550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0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0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 t="e">
        <f>IF(K44&gt;0,+I44/K44+G44,+I44/K44-G44)</f>
        <v>#DIV/0!</v>
      </c>
      <c r="E44" s="31"/>
      <c r="F44" s="31"/>
      <c r="G44" s="68">
        <v>0</v>
      </c>
      <c r="H44" s="68">
        <v>60</v>
      </c>
      <c r="I44" s="77">
        <v>0</v>
      </c>
      <c r="J44" s="77">
        <v>0</v>
      </c>
      <c r="K44" s="27">
        <f>(J44-I44)/(H44-G44)</f>
        <v>0</v>
      </c>
      <c r="L44" s="68" t="e">
        <f>ABS(+D44*K44)</f>
        <v>#DIV/0!</v>
      </c>
      <c r="M44" s="68">
        <v>100</v>
      </c>
      <c r="N44" s="68">
        <v>0</v>
      </c>
      <c r="O44" s="68">
        <v>0</v>
      </c>
      <c r="P44" s="63">
        <v>100</v>
      </c>
      <c r="Q44" s="68">
        <v>0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278</v>
      </c>
      <c r="U47" s="41" t="s">
        <v>279</v>
      </c>
      <c r="V47" s="41" t="s">
        <v>280</v>
      </c>
      <c r="W47" s="75" t="s">
        <v>281</v>
      </c>
      <c r="X47" s="75" t="s">
        <v>282</v>
      </c>
      <c r="Y47" s="75" t="s">
        <v>283</v>
      </c>
    </row>
    <row r="48" spans="1:25" ht="18.75">
      <c r="A48" s="26">
        <v>0</v>
      </c>
      <c r="B48" s="44" t="s">
        <v>47</v>
      </c>
      <c r="C48" s="31"/>
      <c r="D48" s="27" t="e">
        <f>IF(K48&gt;0,+I48/K48-G48,+I48/K48-G48)</f>
        <v>#DIV/0!</v>
      </c>
      <c r="E48" s="31"/>
      <c r="F48" s="31"/>
      <c r="G48" s="68">
        <v>0</v>
      </c>
      <c r="H48" s="68">
        <v>90</v>
      </c>
      <c r="I48" s="77">
        <v>0</v>
      </c>
      <c r="J48" s="77">
        <v>0</v>
      </c>
      <c r="K48" s="27">
        <f t="shared" ref="K48:K54" si="5">(J48-I48)/(H48-G48)</f>
        <v>0</v>
      </c>
      <c r="L48" s="68" t="e">
        <f>ABS(D48*K48)</f>
        <v>#DIV/0!</v>
      </c>
      <c r="M48" s="68">
        <v>10</v>
      </c>
      <c r="N48" s="68">
        <v>0</v>
      </c>
      <c r="O48" s="68">
        <v>0</v>
      </c>
      <c r="P48" s="68">
        <v>100</v>
      </c>
      <c r="Q48" s="68">
        <v>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8.75">
      <c r="A49" s="22">
        <v>1</v>
      </c>
      <c r="B49" s="44" t="s">
        <v>48</v>
      </c>
      <c r="C49" s="31"/>
      <c r="D49" s="27" t="e">
        <f>-G49+(+I49/K49)</f>
        <v>#DIV/0!</v>
      </c>
      <c r="E49" s="31"/>
      <c r="F49" s="31"/>
      <c r="G49" s="68">
        <v>0</v>
      </c>
      <c r="H49" s="68">
        <v>90</v>
      </c>
      <c r="I49" s="77">
        <v>0</v>
      </c>
      <c r="J49" s="77">
        <v>0</v>
      </c>
      <c r="K49" s="27">
        <f>(J49-I49)/(H49-G49)</f>
        <v>0</v>
      </c>
      <c r="L49" s="68">
        <f>I49</f>
        <v>0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8.75">
      <c r="A50" s="22">
        <v>2</v>
      </c>
      <c r="B50" s="44" t="s">
        <v>49</v>
      </c>
      <c r="C50" s="31"/>
      <c r="D50" s="27" t="e">
        <f t="shared" ref="D50:D54" si="6">-G50+(+I50/K50)</f>
        <v>#DIV/0!</v>
      </c>
      <c r="E50" s="31"/>
      <c r="F50" s="31"/>
      <c r="G50" s="68">
        <v>0</v>
      </c>
      <c r="H50" s="68">
        <v>180</v>
      </c>
      <c r="I50" s="77">
        <v>0</v>
      </c>
      <c r="J50" s="77">
        <v>0</v>
      </c>
      <c r="K50" s="27">
        <f t="shared" si="5"/>
        <v>0</v>
      </c>
      <c r="L50" s="68">
        <f>J50</f>
        <v>0</v>
      </c>
      <c r="M50" s="68">
        <v>10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8.75">
      <c r="A51" s="22">
        <v>3</v>
      </c>
      <c r="B51" s="44" t="s">
        <v>50</v>
      </c>
      <c r="C51" s="31"/>
      <c r="D51" s="27" t="e">
        <f t="shared" si="6"/>
        <v>#DIV/0!</v>
      </c>
      <c r="E51" s="31"/>
      <c r="F51" s="31"/>
      <c r="G51" s="68">
        <v>0</v>
      </c>
      <c r="H51" s="68">
        <v>90</v>
      </c>
      <c r="I51" s="77">
        <v>0</v>
      </c>
      <c r="J51" s="77">
        <v>0</v>
      </c>
      <c r="K51" s="27">
        <f t="shared" si="5"/>
        <v>0</v>
      </c>
      <c r="L51" s="68">
        <f>I51</f>
        <v>0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8.75">
      <c r="A52" s="22">
        <v>4</v>
      </c>
      <c r="B52" s="44" t="s">
        <v>51</v>
      </c>
      <c r="C52" s="31"/>
      <c r="D52" s="27" t="e">
        <f t="shared" si="6"/>
        <v>#DIV/0!</v>
      </c>
      <c r="E52" s="31"/>
      <c r="F52" s="31"/>
      <c r="G52" s="68">
        <v>0</v>
      </c>
      <c r="H52" s="68">
        <v>180</v>
      </c>
      <c r="I52" s="77">
        <v>0</v>
      </c>
      <c r="J52" s="77">
        <v>0</v>
      </c>
      <c r="K52" s="27">
        <f t="shared" si="5"/>
        <v>0</v>
      </c>
      <c r="L52" s="68">
        <f>J52</f>
        <v>0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8.75">
      <c r="A53" s="22">
        <v>5</v>
      </c>
      <c r="B53" s="44" t="s">
        <v>52</v>
      </c>
      <c r="C53" s="31"/>
      <c r="D53" s="27" t="e">
        <f t="shared" si="6"/>
        <v>#DIV/0!</v>
      </c>
      <c r="E53" s="31"/>
      <c r="F53" s="31"/>
      <c r="G53" s="68">
        <v>0</v>
      </c>
      <c r="H53" s="68">
        <v>90</v>
      </c>
      <c r="I53" s="77">
        <v>0</v>
      </c>
      <c r="J53" s="77">
        <v>0</v>
      </c>
      <c r="K53" s="27">
        <f t="shared" si="5"/>
        <v>0</v>
      </c>
      <c r="L53" s="68">
        <f>I53</f>
        <v>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8.75">
      <c r="A54" s="22">
        <v>6</v>
      </c>
      <c r="B54" s="44" t="s">
        <v>53</v>
      </c>
      <c r="C54" s="31"/>
      <c r="D54" s="27" t="e">
        <f t="shared" si="6"/>
        <v>#DIV/0!</v>
      </c>
      <c r="E54" s="31"/>
      <c r="F54" s="31"/>
      <c r="G54" s="68">
        <v>0</v>
      </c>
      <c r="H54" s="68">
        <v>180</v>
      </c>
      <c r="I54" s="77">
        <v>0</v>
      </c>
      <c r="J54" s="77">
        <v>0</v>
      </c>
      <c r="K54" s="27">
        <f t="shared" si="5"/>
        <v>0</v>
      </c>
      <c r="L54" s="68">
        <f>J54</f>
        <v>0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8.75">
      <c r="A55" s="22">
        <v>7</v>
      </c>
      <c r="B55" s="44" t="s">
        <v>54</v>
      </c>
      <c r="C55" s="31"/>
      <c r="D55" s="27" t="e">
        <f>-G55+(+I55/K55)</f>
        <v>#DIV/0!</v>
      </c>
      <c r="E55" s="31"/>
      <c r="F55" s="31"/>
      <c r="G55" s="68">
        <v>0</v>
      </c>
      <c r="H55" s="68">
        <v>270</v>
      </c>
      <c r="I55" s="77">
        <v>0</v>
      </c>
      <c r="J55" s="77">
        <v>0</v>
      </c>
      <c r="K55" s="27">
        <f>(J55-I55)/(H55-G55)</f>
        <v>0</v>
      </c>
      <c r="L55" s="68">
        <f>I55</f>
        <v>0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274</v>
      </c>
      <c r="T58" s="41" t="s">
        <v>278</v>
      </c>
      <c r="U58" s="41" t="s">
        <v>279</v>
      </c>
      <c r="V58" s="41" t="s">
        <v>280</v>
      </c>
      <c r="W58" s="75" t="s">
        <v>281</v>
      </c>
      <c r="X58" s="75" t="s">
        <v>282</v>
      </c>
      <c r="Y58" s="75" t="s">
        <v>283</v>
      </c>
    </row>
    <row r="59" spans="1:25" ht="18.75">
      <c r="A59" s="26">
        <v>0</v>
      </c>
      <c r="B59" s="44" t="s">
        <v>56</v>
      </c>
      <c r="C59" s="23">
        <v>0</v>
      </c>
      <c r="D59" s="24">
        <v>180</v>
      </c>
      <c r="E59" s="65">
        <f>(ABS(C59)-ABS(D59))</f>
        <v>-180</v>
      </c>
      <c r="F59" s="65">
        <f>IF(E59&gt;=0,(E59*11.375),(360+E59)*11.375)</f>
        <v>2047.5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2047.5</v>
      </c>
      <c r="O59" s="63">
        <v>-30</v>
      </c>
      <c r="P59" s="63">
        <v>10</v>
      </c>
      <c r="Q59" s="63">
        <v>-30</v>
      </c>
      <c r="R59" s="63">
        <v>10</v>
      </c>
      <c r="S59" s="64">
        <v>0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0</v>
      </c>
      <c r="D60" s="24">
        <f>45</f>
        <v>45</v>
      </c>
      <c r="E60" s="65">
        <f>(ABS(C60)-ABS(D60))</f>
        <v>-45</v>
      </c>
      <c r="F60" s="65">
        <f>IF(E60&gt;=0,(E60*11.375),(360+E60)*11.375)</f>
        <v>3583.125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3583.125</v>
      </c>
      <c r="O60" s="63">
        <v>30</v>
      </c>
      <c r="P60" s="63">
        <v>10</v>
      </c>
      <c r="Q60" s="63">
        <v>30</v>
      </c>
      <c r="R60" s="63">
        <v>10</v>
      </c>
      <c r="S60" s="64">
        <v>0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0</v>
      </c>
      <c r="D61" s="24">
        <f>L61/K61</f>
        <v>245.74218089602704</v>
      </c>
      <c r="E61" s="66">
        <f>ABS((+C61/(40/65)-(C59-C60)/(40/65)))-ABS(180)</f>
        <v>-180</v>
      </c>
      <c r="F61" s="66">
        <f>IF(E61&gt;=0,(E61*11.375),(360+E61)*11.375)</f>
        <v>2047.5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2047.5</v>
      </c>
      <c r="O61" s="68">
        <v>0</v>
      </c>
      <c r="P61" s="63">
        <v>10</v>
      </c>
      <c r="Q61" s="68">
        <v>0</v>
      </c>
      <c r="R61" s="63">
        <v>10</v>
      </c>
      <c r="S61" s="64">
        <v>0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0</v>
      </c>
      <c r="D62" s="24">
        <v>180</v>
      </c>
      <c r="E62" s="65">
        <f>(ABS(C62)-ABS(D62))</f>
        <v>-180</v>
      </c>
      <c r="F62" s="65">
        <f>IF(E62&gt;=0,(E62*11.375),(360+E62)*11.375)</f>
        <v>2047.5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2047.5</v>
      </c>
      <c r="O62" s="63">
        <v>45</v>
      </c>
      <c r="P62" s="63">
        <v>10</v>
      </c>
      <c r="Q62" s="63">
        <v>45</v>
      </c>
      <c r="R62" s="63">
        <v>10</v>
      </c>
      <c r="S62" s="64">
        <v>0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550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0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0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 t="e">
        <f>IF(K66&gt;0,+I66/K66+G66,+I66/K66-G66)</f>
        <v>#DIV/0!</v>
      </c>
      <c r="E66" s="31"/>
      <c r="F66" s="31"/>
      <c r="G66" s="63">
        <v>0</v>
      </c>
      <c r="H66" s="63">
        <v>60</v>
      </c>
      <c r="I66" s="77">
        <v>0</v>
      </c>
      <c r="J66" s="77">
        <v>0</v>
      </c>
      <c r="K66" s="51">
        <f>(J66-I66)/(H66-G66)</f>
        <v>0</v>
      </c>
      <c r="L66" s="63" t="e">
        <f>ABS(+D66*K66)</f>
        <v>#DIV/0!</v>
      </c>
      <c r="M66" s="63">
        <v>100</v>
      </c>
      <c r="N66" s="63">
        <v>0</v>
      </c>
      <c r="O66" s="68">
        <v>0</v>
      </c>
      <c r="P66" s="63">
        <v>100</v>
      </c>
      <c r="Q66" s="68">
        <v>0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278</v>
      </c>
      <c r="U69" s="41" t="s">
        <v>279</v>
      </c>
      <c r="V69" s="41" t="s">
        <v>280</v>
      </c>
      <c r="W69" s="75" t="s">
        <v>281</v>
      </c>
      <c r="X69" s="75" t="s">
        <v>282</v>
      </c>
      <c r="Y69" s="75" t="s">
        <v>283</v>
      </c>
    </row>
    <row r="70" spans="1:25" ht="18.75">
      <c r="A70" s="26">
        <v>0</v>
      </c>
      <c r="B70" s="44" t="s">
        <v>65</v>
      </c>
      <c r="C70" s="31"/>
      <c r="D70" s="27" t="e">
        <f>IF(K70&gt;0,+I70/K70-G70,+I70/K70+G70)</f>
        <v>#DIV/0!</v>
      </c>
      <c r="E70" s="31"/>
      <c r="F70" s="31"/>
      <c r="G70" s="68">
        <v>0</v>
      </c>
      <c r="H70" s="68">
        <v>90</v>
      </c>
      <c r="I70" s="77">
        <v>0</v>
      </c>
      <c r="J70" s="77">
        <v>0</v>
      </c>
      <c r="K70" s="27">
        <f t="shared" ref="K70:K77" si="7">(J70-I70)/(H70-G70)</f>
        <v>0</v>
      </c>
      <c r="L70" s="63" t="e">
        <f>ABS(D70*K70)</f>
        <v>#DIV/0!</v>
      </c>
      <c r="M70" s="68">
        <v>10</v>
      </c>
      <c r="N70" s="68">
        <v>0</v>
      </c>
      <c r="O70" s="68">
        <v>0</v>
      </c>
      <c r="P70" s="68">
        <v>100</v>
      </c>
      <c r="Q70" s="68">
        <v>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8.75">
      <c r="A71" s="22">
        <v>1</v>
      </c>
      <c r="B71" s="44" t="s">
        <v>66</v>
      </c>
      <c r="C71" s="31"/>
      <c r="D71" s="27" t="e">
        <f t="shared" ref="D71:D77" si="8">-G71+(+I71/K71)</f>
        <v>#DIV/0!</v>
      </c>
      <c r="E71" s="31"/>
      <c r="F71" s="31"/>
      <c r="G71" s="68">
        <v>0</v>
      </c>
      <c r="H71" s="68">
        <v>90</v>
      </c>
      <c r="I71" s="77">
        <v>0</v>
      </c>
      <c r="J71" s="77">
        <v>0</v>
      </c>
      <c r="K71" s="27">
        <f t="shared" si="7"/>
        <v>0</v>
      </c>
      <c r="L71" s="68">
        <f>I71</f>
        <v>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8.75">
      <c r="A72" s="22">
        <v>2</v>
      </c>
      <c r="B72" s="44" t="s">
        <v>67</v>
      </c>
      <c r="C72" s="31"/>
      <c r="D72" s="27" t="e">
        <f t="shared" si="8"/>
        <v>#DIV/0!</v>
      </c>
      <c r="E72" s="31"/>
      <c r="F72" s="31"/>
      <c r="G72" s="68">
        <v>0</v>
      </c>
      <c r="H72" s="68">
        <v>180</v>
      </c>
      <c r="I72" s="77">
        <v>0</v>
      </c>
      <c r="J72" s="77">
        <v>0</v>
      </c>
      <c r="K72" s="27">
        <f t="shared" si="7"/>
        <v>0</v>
      </c>
      <c r="L72" s="68">
        <f>+J72</f>
        <v>0</v>
      </c>
      <c r="M72" s="68">
        <v>10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8.75">
      <c r="A73" s="22">
        <v>3</v>
      </c>
      <c r="B73" s="44" t="s">
        <v>68</v>
      </c>
      <c r="C73" s="31"/>
      <c r="D73" s="27" t="e">
        <f t="shared" si="8"/>
        <v>#DIV/0!</v>
      </c>
      <c r="E73" s="31"/>
      <c r="F73" s="31"/>
      <c r="G73" s="68">
        <v>0</v>
      </c>
      <c r="H73" s="68">
        <v>90</v>
      </c>
      <c r="I73" s="77">
        <v>0</v>
      </c>
      <c r="J73" s="77">
        <v>0</v>
      </c>
      <c r="K73" s="27">
        <f t="shared" si="7"/>
        <v>0</v>
      </c>
      <c r="L73" s="68">
        <f>I73</f>
        <v>0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8.75">
      <c r="A74" s="22">
        <v>4</v>
      </c>
      <c r="B74" s="44" t="s">
        <v>69</v>
      </c>
      <c r="C74" s="31"/>
      <c r="D74" s="27" t="e">
        <f t="shared" si="8"/>
        <v>#DIV/0!</v>
      </c>
      <c r="E74" s="31"/>
      <c r="F74" s="31"/>
      <c r="G74" s="68">
        <v>0</v>
      </c>
      <c r="H74" s="68">
        <v>180</v>
      </c>
      <c r="I74" s="77">
        <v>0</v>
      </c>
      <c r="J74" s="77">
        <v>0</v>
      </c>
      <c r="K74" s="27">
        <f t="shared" si="7"/>
        <v>0</v>
      </c>
      <c r="L74" s="68">
        <f>+J74</f>
        <v>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8.75">
      <c r="A75" s="22">
        <v>5</v>
      </c>
      <c r="B75" s="44" t="s">
        <v>70</v>
      </c>
      <c r="C75" s="31"/>
      <c r="D75" s="27" t="e">
        <f t="shared" si="8"/>
        <v>#DIV/0!</v>
      </c>
      <c r="E75" s="31"/>
      <c r="F75" s="31"/>
      <c r="G75" s="68">
        <v>0</v>
      </c>
      <c r="H75" s="68">
        <v>90</v>
      </c>
      <c r="I75" s="77">
        <v>0</v>
      </c>
      <c r="J75" s="77">
        <v>0</v>
      </c>
      <c r="K75" s="27">
        <f t="shared" si="7"/>
        <v>0</v>
      </c>
      <c r="L75" s="68">
        <f>I75</f>
        <v>0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8.75">
      <c r="A76" s="22">
        <v>6</v>
      </c>
      <c r="B76" s="44" t="s">
        <v>71</v>
      </c>
      <c r="C76" s="31"/>
      <c r="D76" s="27" t="e">
        <f t="shared" si="8"/>
        <v>#DIV/0!</v>
      </c>
      <c r="E76" s="31"/>
      <c r="F76" s="31"/>
      <c r="G76" s="68">
        <v>0</v>
      </c>
      <c r="H76" s="68">
        <v>180</v>
      </c>
      <c r="I76" s="77">
        <v>0</v>
      </c>
      <c r="J76" s="77">
        <v>0</v>
      </c>
      <c r="K76" s="27">
        <f t="shared" si="7"/>
        <v>0</v>
      </c>
      <c r="L76" s="68">
        <f>J76</f>
        <v>0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8.75">
      <c r="A77" s="22">
        <v>7</v>
      </c>
      <c r="B77" s="44" t="s">
        <v>72</v>
      </c>
      <c r="C77" s="31"/>
      <c r="D77" s="27" t="e">
        <f t="shared" si="8"/>
        <v>#DIV/0!</v>
      </c>
      <c r="E77" s="31"/>
      <c r="F77" s="31"/>
      <c r="G77" s="68">
        <v>0</v>
      </c>
      <c r="H77" s="68">
        <v>270</v>
      </c>
      <c r="I77" s="77">
        <v>0</v>
      </c>
      <c r="J77" s="77">
        <v>0</v>
      </c>
      <c r="K77" s="27">
        <f t="shared" si="7"/>
        <v>0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276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277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284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91" t="s">
        <v>286</v>
      </c>
      <c r="C99" s="78" t="s">
        <v>287</v>
      </c>
      <c r="D99" s="79"/>
      <c r="E99" s="80"/>
      <c r="F99" s="80"/>
      <c r="G99" s="81"/>
      <c r="H99" s="81"/>
      <c r="I99" s="81"/>
      <c r="J99" s="82"/>
    </row>
    <row r="100" spans="2:17" ht="21">
      <c r="B100" s="91" t="s">
        <v>285</v>
      </c>
      <c r="C100" s="78" t="s">
        <v>291</v>
      </c>
      <c r="D100" s="79"/>
      <c r="E100" s="80"/>
      <c r="F100" s="80"/>
      <c r="G100" s="80"/>
      <c r="H100" s="80"/>
      <c r="I100" s="80"/>
      <c r="J100" s="90"/>
      <c r="K100" s="9"/>
      <c r="L100" s="9"/>
      <c r="M100" s="9"/>
      <c r="N100" s="9"/>
      <c r="O100" s="9"/>
      <c r="P100" s="9"/>
      <c r="Q100" s="9"/>
    </row>
    <row r="101" spans="2:17" ht="21.75" thickBot="1">
      <c r="B101" s="92" t="s">
        <v>290</v>
      </c>
      <c r="C101" s="93"/>
      <c r="D101" s="86"/>
      <c r="E101" s="87"/>
      <c r="F101" s="87"/>
      <c r="G101" s="88"/>
      <c r="H101" s="88"/>
      <c r="I101" s="88"/>
      <c r="J101" s="89"/>
    </row>
    <row r="102" spans="2:17" ht="21">
      <c r="B102" s="91" t="s">
        <v>289</v>
      </c>
      <c r="C102" s="94"/>
      <c r="D102" s="79"/>
      <c r="E102" s="80"/>
      <c r="F102" s="80"/>
      <c r="G102" s="81"/>
      <c r="H102" s="81"/>
      <c r="I102" s="81"/>
      <c r="J102" s="82"/>
    </row>
    <row r="103" spans="2:17" ht="21.75" thickBot="1">
      <c r="B103" s="92" t="s">
        <v>288</v>
      </c>
      <c r="C103" s="85"/>
      <c r="D103" s="86"/>
      <c r="E103" s="87"/>
      <c r="F103" s="87"/>
      <c r="G103" s="88"/>
      <c r="H103" s="88"/>
      <c r="I103" s="88"/>
      <c r="J103" s="89"/>
    </row>
    <row r="104" spans="2:17">
      <c r="B104" s="17"/>
      <c r="C104" s="17"/>
      <c r="D104" s="17"/>
      <c r="E104" s="83"/>
      <c r="F104" s="83"/>
      <c r="G104" s="84"/>
      <c r="H104" s="84"/>
      <c r="I104" s="84"/>
      <c r="J104" s="84"/>
    </row>
    <row r="105" spans="2:17">
      <c r="B105" s="17"/>
      <c r="C105" s="17"/>
      <c r="D105" s="17"/>
      <c r="E105" s="83"/>
      <c r="F105" s="83"/>
      <c r="G105" s="84"/>
      <c r="H105" s="84"/>
      <c r="I105" s="84"/>
      <c r="J105" s="84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76" zoomScale="85" zoomScaleNormal="85" workbookViewId="0">
      <selection activeCell="B85" sqref="B8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301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299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298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272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2047.5</v>
      </c>
      <c r="C84" s="60">
        <f>+INDEX(Sheet1!$N$7:$N20,COLUMN()-COLUMN($B$80)+1)</f>
        <v>2047.5</v>
      </c>
      <c r="D84" s="60">
        <f>+INDEX(Sheet1!$N$7:$N20,COLUMN()-COLUMN($B$80)+1)</f>
        <v>2047.5</v>
      </c>
      <c r="E84" s="60">
        <f>+INDEX(Sheet1!$N$7:$N20,COLUMN()-COLUMN($B$80)+1)</f>
        <v>2047.5</v>
      </c>
      <c r="F84" s="60">
        <f>+INDEX(Sheet1!$N$7:$N20,COLUMN()-COLUMN($B$80)+1)</f>
        <v>2047.5</v>
      </c>
      <c r="G84" s="60">
        <f>+INDEX(Sheet1!$N$7:$N20,COLUMN()-COLUMN($B$80)+1)</f>
        <v>2047.5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opLeftCell="A37" zoomScaleNormal="100" workbookViewId="0">
      <selection activeCell="B61" sqref="B61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272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0</v>
      </c>
    </row>
    <row r="50" spans="1:10">
      <c r="A50" t="s">
        <v>214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 t="e">
        <f>+INDEX(Sheet1!$D$37:$D$44,COLUMN()-COLUMN($B$82)+1)++INDEX(Sheet1!$S$37:$S$44,COLUMN()-COLUMN($B$82)+1)</f>
        <v>#DIV/0!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292</v>
      </c>
      <c r="J56" t="s">
        <v>293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550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 t="e">
        <f>+INDEX(Sheet1!$L$37:$L$44,COLUMN()-COLUMN($B$82)+1)</f>
        <v>#DIV/0!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2047.5</v>
      </c>
      <c r="C82" s="21">
        <f>+INDEX(Sheet1!$N$37:$N$44,COLUMN()-COLUMN($B$82)+1)</f>
        <v>511.875</v>
      </c>
      <c r="D82" s="21">
        <f>+INDEX(Sheet1!$N$37:$N$44,COLUMN()-COLUMN($B$82)+1)</f>
        <v>2047.5</v>
      </c>
      <c r="E82" s="21">
        <f>+INDEX(Sheet1!$N$37:$N$44,COLUMN()-COLUMN($B$82)+1)</f>
        <v>2047.5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0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0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8" zoomScaleNormal="100" workbookViewId="0">
      <selection activeCell="C29" sqref="C29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271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265</v>
      </c>
    </row>
    <row r="36" spans="1:9">
      <c r="A36" t="s">
        <v>266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227</v>
      </c>
      <c r="B49" s="34">
        <f>+INDEX(Sheet1!$K$48:$K$56,COLUMN()-COLUMN($B$83)+1)</f>
        <v>0</v>
      </c>
      <c r="C49" s="34">
        <f>+INDEX(Sheet1!$K$48:$K$56,COLUMN()-COLUMN($B$83)+1)</f>
        <v>0</v>
      </c>
      <c r="D49" s="34">
        <f>+INDEX(Sheet1!$K$48:$K$56,COLUMN()-COLUMN($B$83)+1)</f>
        <v>0</v>
      </c>
      <c r="E49" s="34">
        <f>+INDEX(Sheet1!$K$48:$K$56,COLUMN()-COLUMN($B$83)+1)</f>
        <v>0</v>
      </c>
      <c r="F49" s="34">
        <f>+INDEX(Sheet1!$K$48:$K$56,COLUMN()-COLUMN($B$83)+1)</f>
        <v>0</v>
      </c>
      <c r="G49" s="34">
        <f>+INDEX(Sheet1!$K$48:$K$56,COLUMN()-COLUMN($B$83)+1)</f>
        <v>0</v>
      </c>
      <c r="H49" s="34">
        <f>+INDEX(Sheet1!$K$48:$K$56,COLUMN()-COLUMN($B$83)+1)</f>
        <v>0</v>
      </c>
      <c r="I49" s="34">
        <f>+INDEX(Sheet1!$K$48:$K$56,COLUMN()-COLUMN($B$83)+1)</f>
        <v>0</v>
      </c>
    </row>
    <row r="50" spans="1:9">
      <c r="A50" t="s">
        <v>214</v>
      </c>
      <c r="B50" s="34" t="e">
        <f>+INDEX(Sheet1!$D$48:$D$56,COLUMN()-COLUMN($B$83)+1)++INDEX(Sheet1!$S$48:$S$56,COLUMN()-COLUMN($B$83)+1)</f>
        <v>#DIV/0!</v>
      </c>
      <c r="C50" s="34" t="e">
        <f>+INDEX(Sheet1!$D$48:$D$56,COLUMN()-COLUMN($B$83)+1)++INDEX(Sheet1!$S$48:$S$56,COLUMN()-COLUMN($B$83)+1)</f>
        <v>#DIV/0!</v>
      </c>
      <c r="D50" s="34" t="e">
        <f>+INDEX(Sheet1!$D$48:$D$56,COLUMN()-COLUMN($B$83)+1)++INDEX(Sheet1!$S$48:$S$56,COLUMN()-COLUMN($B$83)+1)</f>
        <v>#DIV/0!</v>
      </c>
      <c r="E50" s="34" t="e">
        <f>+INDEX(Sheet1!$D$48:$D$56,COLUMN()-COLUMN($B$83)+1)++INDEX(Sheet1!$S$48:$S$56,COLUMN()-COLUMN($B$83)+1)</f>
        <v>#DIV/0!</v>
      </c>
      <c r="F50" s="34" t="e">
        <f>+INDEX(Sheet1!$D$48:$D$56,COLUMN()-COLUMN($B$83)+1)++INDEX(Sheet1!$S$48:$S$56,COLUMN()-COLUMN($B$83)+1)</f>
        <v>#DIV/0!</v>
      </c>
      <c r="G50" s="34" t="e">
        <f>+INDEX(Sheet1!$D$48:$D$56,COLUMN()-COLUMN($B$83)+1)++INDEX(Sheet1!$S$48:$S$56,COLUMN()-COLUMN($B$83)+1)</f>
        <v>#DIV/0!</v>
      </c>
      <c r="H50" s="34" t="e">
        <f>+INDEX(Sheet1!$D$48:$D$56,COLUMN()-COLUMN($B$83)+1)++INDEX(Sheet1!$S$48:$S$56,COLUMN()-COLUMN($B$83)+1)</f>
        <v>#DIV/0!</v>
      </c>
      <c r="I50" s="34" t="e">
        <f>+INDEX(Sheet1!$D$48:$D$56,COLUMN()-COLUMN($B$83)+1)++INDEX(Sheet1!$S$48:$S$56,COLUMN()-COLUMN($B$83)+1)</f>
        <v>#DIV/0!</v>
      </c>
    </row>
    <row r="52" spans="1:9">
      <c r="A52" t="s">
        <v>102</v>
      </c>
      <c r="B52">
        <v>0</v>
      </c>
    </row>
    <row r="55" spans="1:9">
      <c r="A55" t="s">
        <v>143</v>
      </c>
    </row>
    <row r="56" spans="1:9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144</v>
      </c>
    </row>
    <row r="59" spans="1:9">
      <c r="A59" t="s">
        <v>231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223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224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225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114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115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116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117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118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119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120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121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123</v>
      </c>
      <c r="B80" s="21" t="e">
        <f>+INDEX(Sheet1!$L$48:$L$56,COLUMN()-COLUMN($B$81)+1)</f>
        <v>#DIV/0!</v>
      </c>
      <c r="C80" s="21">
        <f>+INDEX(Sheet1!$L$48:$L$56,COLUMN()-COLUMN($B$81)+1)</f>
        <v>0</v>
      </c>
      <c r="D80" s="21">
        <f>+INDEX(Sheet1!$L$48:$L$56,COLUMN()-COLUMN($B$81)+1)</f>
        <v>0</v>
      </c>
      <c r="E80" s="21">
        <f>+INDEX(Sheet1!$L$48:$L$56,COLUMN()-COLUMN($B$81)+1)</f>
        <v>0</v>
      </c>
      <c r="F80" s="21">
        <f>+INDEX(Sheet1!$L$48:$L$56,COLUMN()-COLUMN($B$81)+1)</f>
        <v>0</v>
      </c>
      <c r="G80" s="21">
        <f>+INDEX(Sheet1!$L$48:$L$56,COLUMN()-COLUMN($B$81)+1)</f>
        <v>0</v>
      </c>
      <c r="H80" s="21">
        <f>+INDEX(Sheet1!$L$48:$L$56,COLUMN()-COLUMN($B$81)+1)</f>
        <v>0</v>
      </c>
      <c r="I80" s="21">
        <f>+INDEX(Sheet1!$L$48:$L$56,COLUMN()-COLUMN($B$81)+1)</f>
        <v>0</v>
      </c>
    </row>
    <row r="81" spans="1:9">
      <c r="A81" t="s">
        <v>124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125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126</v>
      </c>
      <c r="B83" s="21">
        <f>+INDEX(Sheet1!$O$48:$O$56,COLUMN()-COLUMN($B$81)+1)</f>
        <v>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127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128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+INDEX(Sheet1!$Q$48:$Q$56,COLUMN()-COLUMN($B$81)+1)</f>
        <v>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130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35" zoomScale="85" zoomScaleNormal="85" workbookViewId="0">
      <selection activeCell="B35" sqref="B35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267</v>
      </c>
    </row>
    <row r="31" spans="1:9">
      <c r="A31" t="s">
        <v>268</v>
      </c>
    </row>
    <row r="32" spans="1:9">
      <c r="A32" t="s">
        <v>245</v>
      </c>
      <c r="B32" t="s">
        <v>272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0</v>
      </c>
    </row>
    <row r="50" spans="1:9">
      <c r="A50" t="s">
        <v>214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 t="e">
        <f>+INDEX(Sheet1!$D$59:$D$66,COLUMN()-COLUMN($B$83)+1)++INDEX(Sheet1!$S$59:$S$66,COLUMN()-COLUMN($B$83)+1)</f>
        <v>#DIV/0!</v>
      </c>
    </row>
    <row r="52" spans="1:9">
      <c r="A52" t="s">
        <v>102</v>
      </c>
      <c r="B52">
        <v>0</v>
      </c>
    </row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103</v>
      </c>
    </row>
    <row r="59" spans="1:9">
      <c r="A59" t="s">
        <v>220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221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216</v>
      </c>
    </row>
    <row r="64" spans="1:9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550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 t="e">
        <f>+INDEX(Sheet1!$L$59:$L$66,COLUMN()-COLUMN($B$83)+1)</f>
        <v>#DIV/0!</v>
      </c>
    </row>
    <row r="81" spans="1:9">
      <c r="A81" t="s">
        <v>124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125</v>
      </c>
      <c r="B82" s="21">
        <f>+INDEX(Sheet1!$N$59:$N$66,COLUMN()-COLUMN($B$83)+1)</f>
        <v>2047.5</v>
      </c>
      <c r="C82" s="21">
        <f>+INDEX(Sheet1!$N$59:$N$66,COLUMN()-COLUMN($B$83)+1)</f>
        <v>3583.125</v>
      </c>
      <c r="D82" s="21">
        <f>+INDEX(Sheet1!$N$59:$N$66,COLUMN()-COLUMN($B$83)+1)</f>
        <v>2047.5</v>
      </c>
      <c r="E82" s="21">
        <f>+INDEX(Sheet1!$N$59:$N$66,COLUMN()-COLUMN($B$83)+1)</f>
        <v>2047.5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126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0</v>
      </c>
    </row>
    <row r="84" spans="1:9">
      <c r="A84" t="s">
        <v>127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0</v>
      </c>
    </row>
    <row r="89" spans="1:9">
      <c r="A89" t="s">
        <v>130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33" zoomScaleNormal="100" workbookViewId="0">
      <selection activeCell="D18" sqref="D18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269</v>
      </c>
    </row>
    <row r="34" spans="1:9">
      <c r="A34" t="s">
        <v>270</v>
      </c>
    </row>
    <row r="35" spans="1:9">
      <c r="A35" t="s">
        <v>257</v>
      </c>
      <c r="B35" t="s">
        <v>271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265</v>
      </c>
    </row>
    <row r="39" spans="1:9">
      <c r="A39" t="s">
        <v>266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227</v>
      </c>
      <c r="B50" s="34">
        <f>+INDEX(Sheet1!$K$70:$K$77,COLUMN()-COLUMN($B$81)+1)</f>
        <v>0</v>
      </c>
      <c r="C50" s="34">
        <f>+INDEX(Sheet1!$K$70:$K$77,COLUMN()-COLUMN($B$81)+1)</f>
        <v>0</v>
      </c>
      <c r="D50" s="34">
        <f>+INDEX(Sheet1!$K$70:$K$77,COLUMN()-COLUMN($B$81)+1)</f>
        <v>0</v>
      </c>
      <c r="E50" s="34">
        <f>+INDEX(Sheet1!$K$70:$K$77,COLUMN()-COLUMN($B$81)+1)</f>
        <v>0</v>
      </c>
      <c r="F50" s="34">
        <f>+INDEX(Sheet1!$K$70:$K$77,COLUMN()-COLUMN($B$81)+1)</f>
        <v>0</v>
      </c>
      <c r="G50" s="34">
        <f>+INDEX(Sheet1!$K$70:$K$77,COLUMN()-COLUMN($B$81)+1)</f>
        <v>0</v>
      </c>
      <c r="H50" s="34">
        <f>+INDEX(Sheet1!$K$70:$K$77,COLUMN()-COLUMN($B$81)+1)</f>
        <v>0</v>
      </c>
      <c r="I50" s="34">
        <f>+INDEX(Sheet1!$K$70:$K$77,COLUMN()-COLUMN($B$81)+1)</f>
        <v>0</v>
      </c>
    </row>
    <row r="51" spans="1:9">
      <c r="A51" t="s">
        <v>214</v>
      </c>
      <c r="B51" s="34" t="e">
        <f>+INDEX(Sheet1!$D$70:$D$77,COLUMN()-COLUMN($B$81)+1)++INDEX(Sheet1!$S$70:$S$77,COLUMN()-COLUMN($B$81)+1)</f>
        <v>#DIV/0!</v>
      </c>
      <c r="C51" s="34" t="e">
        <f>+INDEX(Sheet1!$D$70:$D$77,COLUMN()-COLUMN($B$81)+1)++INDEX(Sheet1!$S$70:$S$77,COLUMN()-COLUMN($B$81)+1)</f>
        <v>#DIV/0!</v>
      </c>
      <c r="D51" s="34" t="e">
        <f>+INDEX(Sheet1!$D$70:$D$77,COLUMN()-COLUMN($B$81)+1)++INDEX(Sheet1!$S$70:$S$77,COLUMN()-COLUMN($B$81)+1)</f>
        <v>#DIV/0!</v>
      </c>
      <c r="E51" s="34" t="e">
        <f>+INDEX(Sheet1!$D$70:$D$77,COLUMN()-COLUMN($B$81)+1)++INDEX(Sheet1!$S$70:$S$77,COLUMN()-COLUMN($B$81)+1)</f>
        <v>#DIV/0!</v>
      </c>
      <c r="F51" s="34" t="e">
        <f>+INDEX(Sheet1!$D$70:$D$77,COLUMN()-COLUMN($B$81)+1)++INDEX(Sheet1!$S$70:$S$77,COLUMN()-COLUMN($B$81)+1)</f>
        <v>#DIV/0!</v>
      </c>
      <c r="G51" s="34" t="e">
        <f>+INDEX(Sheet1!$D$70:$D$77,COLUMN()-COLUMN($B$81)+1)++INDEX(Sheet1!$S$70:$S$77,COLUMN()-COLUMN($B$81)+1)</f>
        <v>#DIV/0!</v>
      </c>
      <c r="H51" s="34" t="e">
        <f>+INDEX(Sheet1!$D$70:$D$77,COLUMN()-COLUMN($B$81)+1)++INDEX(Sheet1!$S$70:$S$77,COLUMN()-COLUMN($B$81)+1)</f>
        <v>#DIV/0!</v>
      </c>
      <c r="I51" s="34" t="e">
        <f>+INDEX(Sheet1!$D$70:$D$77,COLUMN()-COLUMN($B$81)+1)++INDEX(Sheet1!$S$70:$S$77,COLUMN()-COLUMN($B$81)+1)</f>
        <v>#DIV/0!</v>
      </c>
    </row>
    <row r="53" spans="1:9">
      <c r="A53" t="s">
        <v>102</v>
      </c>
      <c r="B53">
        <v>0</v>
      </c>
    </row>
    <row r="56" spans="1:9">
      <c r="A56" t="s">
        <v>143</v>
      </c>
    </row>
    <row r="57" spans="1:9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144</v>
      </c>
    </row>
    <row r="60" spans="1:9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223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224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117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 t="e">
        <f>+INDEX(Sheet1!$L$70:$L$77,COLUMN()-COLUMN($B$79)+1)</f>
        <v>#DIV/0!</v>
      </c>
      <c r="C81" s="21">
        <f>+INDEX(Sheet1!$L$70:$L$77,COLUMN()-COLUMN($B$79)+1)</f>
        <v>0</v>
      </c>
      <c r="D81" s="21">
        <f>+INDEX(Sheet1!$L$70:$L$77,COLUMN()-COLUMN($B$79)+1)</f>
        <v>0</v>
      </c>
      <c r="E81" s="21">
        <f>+INDEX(Sheet1!$L$70:$L$77,COLUMN()-COLUMN($B$79)+1)</f>
        <v>0</v>
      </c>
      <c r="F81" s="21">
        <f>+INDEX(Sheet1!$L$70:$L$77,COLUMN()-COLUMN($B$79)+1)</f>
        <v>0</v>
      </c>
      <c r="G81" s="21">
        <f>+INDEX(Sheet1!$L$70:$L$77,COLUMN()-COLUMN($B$79)+1)</f>
        <v>0</v>
      </c>
      <c r="H81" s="21">
        <f>+INDEX(Sheet1!$L$70:$L$77,COLUMN()-COLUMN($B$79)+1)</f>
        <v>0</v>
      </c>
      <c r="I81" s="21">
        <f>+INDEX(Sheet1!$L$70:$L$77,COLUMN()-COLUMN($B$79)+1)</f>
        <v>738</v>
      </c>
    </row>
    <row r="82" spans="1:9">
      <c r="A82" t="s">
        <v>124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125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126</v>
      </c>
      <c r="B84" s="21">
        <f>+INDEX(Sheet1!$O$70:$O$77,COLUMN()-COLUMN($B$79)+1)</f>
        <v>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127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+INDEX(Sheet1!$Q$70:$Q$77,COLUMN()-COLUMN($B$79)+1)</f>
        <v>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130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19" zoomScale="85" zoomScaleNormal="85" workbookViewId="0">
      <selection activeCell="E23" sqref="E2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101</v>
      </c>
    </row>
    <row r="34" spans="1:11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233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239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102</v>
      </c>
      <c r="B40">
        <v>0</v>
      </c>
    </row>
    <row r="42" spans="1:11">
      <c r="A42" t="s">
        <v>143</v>
      </c>
    </row>
    <row r="43" spans="1:11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144</v>
      </c>
    </row>
    <row r="46" spans="1:11">
      <c r="A46" t="s">
        <v>177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235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236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237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152</v>
      </c>
    </row>
    <row r="52" spans="1:11">
      <c r="A52" t="s">
        <v>104</v>
      </c>
      <c r="B52" t="s">
        <v>105</v>
      </c>
      <c r="C52" t="s">
        <v>106</v>
      </c>
      <c r="D52" t="s">
        <v>107</v>
      </c>
      <c r="E52" t="s">
        <v>108</v>
      </c>
      <c r="F52" t="s">
        <v>109</v>
      </c>
      <c r="G52" t="s">
        <v>110</v>
      </c>
      <c r="H52" t="s">
        <v>111</v>
      </c>
    </row>
    <row r="53" spans="1:11">
      <c r="A53" t="s">
        <v>112</v>
      </c>
    </row>
    <row r="54" spans="1:11">
      <c r="A54" t="s">
        <v>113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114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115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116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117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118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119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120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153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154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121</v>
      </c>
    </row>
    <row r="66" spans="1:11">
      <c r="A66" t="s">
        <v>238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123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124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125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2047.5</v>
      </c>
      <c r="I70" s="21">
        <f>+INDEX(Sheet1!$N$24:$N34,COLUMN()-COLUMN($B$69)+1)</f>
        <v>2047.5</v>
      </c>
      <c r="J70" s="21">
        <f>+INDEX(Sheet1!$N$24:$N34,COLUMN()-COLUMN($B$69)+1)</f>
        <v>2047.5</v>
      </c>
      <c r="K70" s="21">
        <f>+INDEX(Sheet1!$N$24:$N34,COLUMN()-COLUMN($B$69)+1)</f>
        <v>0</v>
      </c>
    </row>
    <row r="71" spans="1:11">
      <c r="A71" t="s">
        <v>126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127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128</v>
      </c>
    </row>
    <row r="75" spans="1:11">
      <c r="A75" t="s">
        <v>238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129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130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101</v>
      </c>
    </row>
    <row r="79" spans="1:11">
      <c r="A79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abSelected="1" zoomScale="85" zoomScaleNormal="85" workbookViewId="0">
      <selection activeCell="B68" sqref="B68:G69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181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180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127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212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185</v>
      </c>
      <c r="B25">
        <f>Head_Torso!H70</f>
        <v>2047.5</v>
      </c>
      <c r="C25">
        <f>Head_Torso!I70</f>
        <v>2047.5</v>
      </c>
      <c r="D25">
        <f>Head_Torso!J70</f>
        <v>2047.5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184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 t="e">
        <f>Left_arm!I80</f>
        <v>#DIV/0!</v>
      </c>
      <c r="J36" t="e">
        <f>Left_hand!B80</f>
        <v>#DIV/0!</v>
      </c>
      <c r="K36">
        <f>Left_hand!C80</f>
        <v>0</v>
      </c>
      <c r="L36">
        <f>Left_hand!D80</f>
        <v>0</v>
      </c>
      <c r="M36">
        <f>Left_hand!E80</f>
        <v>0</v>
      </c>
      <c r="N36">
        <f>Left_hand!F80</f>
        <v>0</v>
      </c>
      <c r="O36">
        <f>Left_hand!G80</f>
        <v>0</v>
      </c>
      <c r="P36">
        <f>Left_hand!H80</f>
        <v>0</v>
      </c>
      <c r="Q36">
        <f>Left_hand!I80</f>
        <v>0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185</v>
      </c>
      <c r="B38">
        <f>Left_arm!B82</f>
        <v>2047.5</v>
      </c>
      <c r="C38">
        <f>Left_arm!C82</f>
        <v>511.875</v>
      </c>
      <c r="D38">
        <f>Left_arm!D82</f>
        <v>2047.5</v>
      </c>
      <c r="E38">
        <f>Left_arm!E82</f>
        <v>2047.5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178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 t="e">
        <f>Right_arm!I80</f>
        <v>#DIV/0!</v>
      </c>
      <c r="J49" t="e">
        <f>Right_hand!B81</f>
        <v>#DIV/0!</v>
      </c>
      <c r="K49">
        <f>Right_hand!C81</f>
        <v>0</v>
      </c>
      <c r="L49">
        <f>Right_hand!D81</f>
        <v>0</v>
      </c>
      <c r="M49">
        <f>Right_hand!E81</f>
        <v>0</v>
      </c>
      <c r="N49">
        <f>Right_hand!F81</f>
        <v>0</v>
      </c>
      <c r="O49">
        <f>Right_hand!G81</f>
        <v>0</v>
      </c>
      <c r="P49">
        <f>Right_hand!H81</f>
        <v>0</v>
      </c>
      <c r="Q49">
        <f>Right_hand!I81</f>
        <v>738</v>
      </c>
    </row>
    <row r="50" spans="1:17">
      <c r="A50" t="s">
        <v>181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180</v>
      </c>
      <c r="B51">
        <f>Right_arm!B82</f>
        <v>2047.5</v>
      </c>
      <c r="C51">
        <f>Right_arm!C82</f>
        <v>3583.125</v>
      </c>
      <c r="D51">
        <f>Right_arm!D82</f>
        <v>2047.5</v>
      </c>
      <c r="E51">
        <f>Right_arm!E82</f>
        <v>2047.5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127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2047.5</v>
      </c>
      <c r="C64" s="60">
        <f>Right_leg!C83</f>
        <v>2047.5</v>
      </c>
      <c r="D64" s="60">
        <f>Right_leg!D83</f>
        <v>2047.5</v>
      </c>
      <c r="E64" s="60">
        <f>Right_leg!E83</f>
        <v>2047.5</v>
      </c>
      <c r="F64" s="60">
        <f>Right_leg!F83</f>
        <v>2047.5</v>
      </c>
      <c r="G64" s="60">
        <f>Right_leg!G83</f>
        <v>2047.5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2047.5</v>
      </c>
      <c r="C76">
        <f>Left_leg!C84</f>
        <v>2047.5</v>
      </c>
      <c r="D76">
        <f>Left_leg!D84</f>
        <v>2047.5</v>
      </c>
      <c r="E76">
        <f>Left_leg!E84</f>
        <v>2047.5</v>
      </c>
      <c r="F76">
        <f>Left_leg!F84</f>
        <v>2047.5</v>
      </c>
      <c r="G76">
        <f>Left_leg!G84</f>
        <v>2047.5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16" zoomScale="85" zoomScaleNormal="85" workbookViewId="0">
      <selection activeCell="B84" sqref="B84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302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294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295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296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272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273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2047.5</v>
      </c>
      <c r="C83" s="61">
        <f>+INDEX(Sheet1!$N$13:$N20,COLUMN()-COLUMN($B$79)+1)</f>
        <v>2047.5</v>
      </c>
      <c r="D83" s="61">
        <f>+INDEX(Sheet1!$N$13:$N20,COLUMN()-COLUMN($B$79)+1)</f>
        <v>2047.5</v>
      </c>
      <c r="E83" s="61">
        <f>+INDEX(Sheet1!$N$13:$N20,COLUMN()-COLUMN($B$79)+1)</f>
        <v>2047.5</v>
      </c>
      <c r="F83" s="61">
        <f>+INDEX(Sheet1!$N$13:$N20,COLUMN()-COLUMN($B$79)+1)</f>
        <v>2047.5</v>
      </c>
      <c r="G83" s="61">
        <f>+INDEX(Sheet1!$N$13:$N20,COLUMN()-COLUMN($B$79)+1)</f>
        <v>2047.5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2010-05-03T07:00:49Z</dcterms:modified>
</cp:coreProperties>
</file>