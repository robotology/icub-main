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 activeTab="4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F80" i="5"/>
  <c r="F80" i="3"/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<sst xmlns="http://schemas.openxmlformats.org/spreadsheetml/2006/main" count="871" uniqueCount="303">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</sst>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opLeftCell="A56" zoomScale="55" zoomScaleNormal="55" workbookViewId="0">
      <selection activeCell="L88" sqref="K88:L88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300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-184.09090909090907</v>
      </c>
      <c r="E50" s="31"/>
      <c r="F50" s="31"/>
      <c r="G50" s="68">
        <v>0</v>
      </c>
      <c r="H50" s="68">
        <v>180</v>
      </c>
      <c r="I50" s="77">
        <v>450</v>
      </c>
      <c r="J50" s="77">
        <v>10</v>
      </c>
      <c r="K50" s="27">
        <f t="shared" si="5"/>
        <v>-2.4444444444444446</v>
      </c>
      <c r="L50" s="68">
        <f>J50</f>
        <v>10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449</v>
      </c>
      <c r="D61" s="24">
        <f>L61/K61</f>
        <v>245.74218089602704</v>
      </c>
      <c r="E61" s="66">
        <f>ABS((+C61/(40/65)-(C59-C60)/(40/65)))-ABS(180)</f>
        <v>72.524999999999977</v>
      </c>
      <c r="F61" s="66">
        <f>IF(E61&gt;=0,(E61*11.375),(360+E61)*11.375)</f>
        <v>824.97187499999973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824.97187499999973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14.615384615384615</v>
      </c>
      <c r="E70" s="31"/>
      <c r="F70" s="31"/>
      <c r="G70" s="68">
        <v>0</v>
      </c>
      <c r="H70" s="68">
        <v>90</v>
      </c>
      <c r="I70" s="77">
        <v>380</v>
      </c>
      <c r="J70" s="77">
        <v>2720</v>
      </c>
      <c r="K70" s="27">
        <f t="shared" ref="K70:K77" si="7">(J70-I70)/(H70-G70)</f>
        <v>26</v>
      </c>
      <c r="L70" s="63">
        <f>ABS(D70*K70)</f>
        <v>380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8">-G71+(+I71/K71)</f>
        <v>-112.5</v>
      </c>
      <c r="E71" s="31"/>
      <c r="F71" s="31"/>
      <c r="G71" s="68">
        <v>0</v>
      </c>
      <c r="H71" s="68">
        <v>90</v>
      </c>
      <c r="I71" s="77">
        <v>250</v>
      </c>
      <c r="J71" s="77">
        <v>50</v>
      </c>
      <c r="K71" s="27">
        <f t="shared" si="7"/>
        <v>-2.2222222222222223</v>
      </c>
      <c r="L71" s="68">
        <f>I71</f>
        <v>250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8"/>
        <v>-191.48936170212767</v>
      </c>
      <c r="E72" s="31"/>
      <c r="F72" s="31"/>
      <c r="G72" s="68">
        <v>0</v>
      </c>
      <c r="H72" s="68">
        <v>180</v>
      </c>
      <c r="I72" s="77">
        <v>500</v>
      </c>
      <c r="J72" s="77">
        <v>30</v>
      </c>
      <c r="K72" s="27">
        <f t="shared" si="7"/>
        <v>-2.6111111111111112</v>
      </c>
      <c r="L72" s="68">
        <f>+J72</f>
        <v>30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8"/>
        <v>-112.5</v>
      </c>
      <c r="E73" s="31"/>
      <c r="F73" s="31"/>
      <c r="G73" s="68">
        <v>0</v>
      </c>
      <c r="H73" s="68">
        <v>90</v>
      </c>
      <c r="I73" s="77">
        <v>250</v>
      </c>
      <c r="J73" s="77">
        <v>50</v>
      </c>
      <c r="K73" s="27">
        <f t="shared" si="7"/>
        <v>-2.2222222222222223</v>
      </c>
      <c r="L73" s="68">
        <f>I73</f>
        <v>250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8"/>
        <v>-196.36363636363635</v>
      </c>
      <c r="E74" s="31"/>
      <c r="F74" s="31"/>
      <c r="G74" s="68">
        <v>0</v>
      </c>
      <c r="H74" s="68">
        <v>180</v>
      </c>
      <c r="I74" s="77">
        <v>480</v>
      </c>
      <c r="J74" s="77">
        <v>40</v>
      </c>
      <c r="K74" s="27">
        <f t="shared" si="7"/>
        <v>-2.4444444444444446</v>
      </c>
      <c r="L74" s="68">
        <f>+J74</f>
        <v>40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8"/>
        <v>-112.5</v>
      </c>
      <c r="E75" s="31"/>
      <c r="F75" s="31"/>
      <c r="G75" s="68">
        <v>0</v>
      </c>
      <c r="H75" s="68">
        <v>90</v>
      </c>
      <c r="I75" s="77">
        <v>250</v>
      </c>
      <c r="J75" s="77">
        <v>50</v>
      </c>
      <c r="K75" s="27">
        <f t="shared" si="7"/>
        <v>-2.2222222222222223</v>
      </c>
      <c r="L75" s="68">
        <f>I75</f>
        <v>250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8"/>
        <v>-191.48936170212767</v>
      </c>
      <c r="E76" s="31"/>
      <c r="F76" s="31"/>
      <c r="G76" s="68">
        <v>0</v>
      </c>
      <c r="H76" s="68">
        <v>180</v>
      </c>
      <c r="I76" s="77">
        <v>500</v>
      </c>
      <c r="J76" s="77">
        <v>30</v>
      </c>
      <c r="K76" s="27">
        <f t="shared" si="7"/>
        <v>-2.6111111111111112</v>
      </c>
      <c r="L76" s="68">
        <f>J76</f>
        <v>30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8"/>
        <v>-306.65158371040724</v>
      </c>
      <c r="E77" s="31"/>
      <c r="F77" s="31"/>
      <c r="G77" s="68">
        <v>0</v>
      </c>
      <c r="H77" s="68">
        <v>270</v>
      </c>
      <c r="I77" s="77">
        <v>753</v>
      </c>
      <c r="J77" s="77">
        <v>90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284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286</v>
      </c>
      <c r="C99" s="78" t="s">
        <v>287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285</v>
      </c>
      <c r="C100" s="78" t="s">
        <v>291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290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289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288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301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299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298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58" zoomScaleNormal="100" workbookViewId="0">
      <selection activeCell="I64" sqref="I64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292</v>
      </c>
      <c r="J56" t="s">
        <v>293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6" zoomScaleNormal="100" workbookViewId="0">
      <selection activeCell="I88" sqref="I8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-2.4444444444444446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-184.09090909090907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10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30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abSelected="1" topLeftCell="A59" zoomScale="85" zoomScaleNormal="85" workbookViewId="0">
      <selection activeCell="J68" sqref="J68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824.97187499999973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69" zoomScaleNormal="100" workbookViewId="0">
      <selection activeCell="G81" sqref="G81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26</v>
      </c>
      <c r="C50" s="34">
        <f>+INDEX(Sheet1!$K$70:$K$77,COLUMN()-COLUMN($B$81)+1)</f>
        <v>-2.2222222222222223</v>
      </c>
      <c r="D50" s="34">
        <f>+INDEX(Sheet1!$K$70:$K$77,COLUMN()-COLUMN($B$81)+1)</f>
        <v>-2.6111111111111112</v>
      </c>
      <c r="E50" s="34">
        <f>+INDEX(Sheet1!$K$70:$K$77,COLUMN()-COLUMN($B$81)+1)</f>
        <v>-2.2222222222222223</v>
      </c>
      <c r="F50" s="34">
        <f>+INDEX(Sheet1!$K$70:$K$77,COLUMN()-COLUMN($B$81)+1)</f>
        <v>-2.4444444444444446</v>
      </c>
      <c r="G50" s="34">
        <f>+INDEX(Sheet1!$K$70:$K$77,COLUMN()-COLUMN($B$81)+1)</f>
        <v>-2.2222222222222223</v>
      </c>
      <c r="H50" s="34">
        <f>+INDEX(Sheet1!$K$70:$K$77,COLUMN()-COLUMN($B$81)+1)</f>
        <v>-2.6111111111111112</v>
      </c>
      <c r="I50" s="34">
        <f>+INDEX(Sheet1!$K$70:$K$77,COLUMN()-COLUMN($B$81)+1)</f>
        <v>-2.4555555555555557</v>
      </c>
    </row>
    <row r="51" spans="1:9">
      <c r="A51" t="s">
        <v>214</v>
      </c>
      <c r="B51" s="34">
        <f>+INDEX(Sheet1!$D$70:$D$77,COLUMN()-COLUMN($B$81)+1)++INDEX(Sheet1!$S$70:$S$77,COLUMN()-COLUMN($B$81)+1)</f>
        <v>14.615384615384615</v>
      </c>
      <c r="C51" s="34">
        <f>+INDEX(Sheet1!$D$70:$D$77,COLUMN()-COLUMN($B$81)+1)++INDEX(Sheet1!$S$70:$S$77,COLUMN()-COLUMN($B$81)+1)</f>
        <v>-112.5</v>
      </c>
      <c r="D51" s="34">
        <f>+INDEX(Sheet1!$D$70:$D$77,COLUMN()-COLUMN($B$81)+1)++INDEX(Sheet1!$S$70:$S$77,COLUMN()-COLUMN($B$81)+1)</f>
        <v>-191.48936170212767</v>
      </c>
      <c r="E51" s="34">
        <f>+INDEX(Sheet1!$D$70:$D$77,COLUMN()-COLUMN($B$81)+1)++INDEX(Sheet1!$S$70:$S$77,COLUMN()-COLUMN($B$81)+1)</f>
        <v>-112.5</v>
      </c>
      <c r="F51" s="34">
        <f>+INDEX(Sheet1!$D$70:$D$77,COLUMN()-COLUMN($B$81)+1)++INDEX(Sheet1!$S$70:$S$77,COLUMN()-COLUMN($B$81)+1)</f>
        <v>-196.36363636363635</v>
      </c>
      <c r="G51" s="34">
        <f>+INDEX(Sheet1!$D$70:$D$77,COLUMN()-COLUMN($B$81)+1)++INDEX(Sheet1!$S$70:$S$77,COLUMN()-COLUMN($B$81)+1)</f>
        <v>-112.5</v>
      </c>
      <c r="H51" s="34">
        <f>+INDEX(Sheet1!$D$70:$D$77,COLUMN()-COLUMN($B$81)+1)++INDEX(Sheet1!$S$70:$S$77,COLUMN()-COLUMN($B$81)+1)</f>
        <v>-191.48936170212767</v>
      </c>
      <c r="I51" s="34">
        <f>+INDEX(Sheet1!$D$70:$D$77,COLUMN()-COLUMN($B$81)+1)++INDEX(Sheet1!$S$70:$S$77,COLUMN()-COLUMN($B$81)+1)</f>
        <v>-306.65158371040724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380</v>
      </c>
      <c r="C81" s="21">
        <f>+INDEX(Sheet1!$L$70:$L$77,COLUMN()-COLUMN($B$79)+1)</f>
        <v>250</v>
      </c>
      <c r="D81" s="21">
        <f>+INDEX(Sheet1!$L$70:$L$77,COLUMN()-COLUMN($B$79)+1)</f>
        <v>30</v>
      </c>
      <c r="E81" s="21">
        <f>+INDEX(Sheet1!$L$70:$L$77,COLUMN()-COLUMN($B$79)+1)</f>
        <v>250</v>
      </c>
      <c r="F81" s="21">
        <f>+INDEX(Sheet1!$L$70:$L$77,COLUMN()-COLUMN($B$79)+1)</f>
        <v>40</v>
      </c>
      <c r="G81" s="21">
        <f>+INDEX(Sheet1!$L$70:$L$77,COLUMN()-COLUMN($B$79)+1)</f>
        <v>250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30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10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30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1620</v>
      </c>
      <c r="J49">
        <f>Right_hand!B81</f>
        <v>380</v>
      </c>
      <c r="K49">
        <f>Right_hand!C81</f>
        <v>250</v>
      </c>
      <c r="L49">
        <f>Right_hand!D81</f>
        <v>30</v>
      </c>
      <c r="M49">
        <f>Right_hand!E81</f>
        <v>250</v>
      </c>
      <c r="N49">
        <f>Right_hand!F81</f>
        <v>40</v>
      </c>
      <c r="O49">
        <f>Right_hand!G81</f>
        <v>250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30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824.97187499999973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B84" sqref="B84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2010-05-03T09:57:41Z</dcterms:modified>
</cp:coreProperties>
</file>