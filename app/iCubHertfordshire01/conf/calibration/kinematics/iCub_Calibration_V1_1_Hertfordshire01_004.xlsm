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1.xml" ContentType="application/vnd.openxmlformats-officedocument.spreadsheetml.worksheet+xml"/>
  <Default Extension="vml" ContentType="application/vnd.openxmlformats-officedocument.vmlDrawing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6" codeName="{B7FE6334-C1A2-E50D-BD3D-5F4D41BBC2E3}"/>
  <workbookPr codeName="ThisWorkbook"/>
  <bookViews>
    <workbookView xWindow="0" yWindow="15" windowWidth="19020" windowHeight="8265" tabRatio="578"/>
  </bookViews>
  <sheets>
    <sheet name="Sheet1" sheetId="1" r:id="rId1"/>
    <sheet name="Legs" sheetId="2" r:id="rId2"/>
    <sheet name="Left_arm" sheetId="3" r:id="rId3"/>
    <sheet name="Left_hand" sheetId="4" r:id="rId4"/>
    <sheet name="Right_arm" sheetId="5" r:id="rId5"/>
    <sheet name="Right_hand" sheetId="6" r:id="rId6"/>
    <sheet name="Head_Torso" sheetId="7" r:id="rId7"/>
    <sheet name="robotmotorgui.ini" sheetId="8" r:id="rId8"/>
  </sheets>
  <calcPr calcId="125725"/>
</workbook>
</file>

<file path=xl/calcChain.xml><?xml version="1.0" encoding="utf-8"?>
<calcChain xmlns="http://schemas.openxmlformats.org/spreadsheetml/2006/main">
  <c r="F80" i="5"/>
  <c r="C61" i="4"/>
  <c r="D61"/>
  <c r="E61"/>
  <c r="F61"/>
  <c r="G61"/>
  <c r="H61"/>
  <c r="I61"/>
  <c r="B61"/>
  <c r="C60"/>
  <c r="D60"/>
  <c r="E60"/>
  <c r="F60"/>
  <c r="G60"/>
  <c r="H60"/>
  <c r="I60"/>
  <c r="B60"/>
  <c r="C62" i="6"/>
  <c r="D62"/>
  <c r="E62"/>
  <c r="F62"/>
  <c r="G62"/>
  <c r="H62"/>
  <c r="I62"/>
  <c r="B62"/>
  <c r="C61"/>
  <c r="D61"/>
  <c r="E61"/>
  <c r="F61"/>
  <c r="G61"/>
  <c r="H61"/>
  <c r="I61"/>
  <c r="B61"/>
  <c r="F80" i="3"/>
  <c r="C38" i="7"/>
  <c r="D38"/>
  <c r="E38"/>
  <c r="F38"/>
  <c r="G38"/>
  <c r="H38"/>
  <c r="I38"/>
  <c r="J38"/>
  <c r="K38"/>
  <c r="B38"/>
  <c r="E50" i="5" l="1"/>
  <c r="F50"/>
  <c r="G50"/>
  <c r="H50"/>
  <c r="B50"/>
  <c r="E50" i="3"/>
  <c r="F50"/>
  <c r="G50"/>
  <c r="H50"/>
  <c r="C50"/>
  <c r="B50"/>
  <c r="C61" i="2"/>
  <c r="D61"/>
  <c r="E61"/>
  <c r="F61"/>
  <c r="G61"/>
  <c r="H61"/>
  <c r="I61"/>
  <c r="J61"/>
  <c r="K61"/>
  <c r="L61"/>
  <c r="M61"/>
  <c r="B61"/>
  <c r="D82" i="4"/>
  <c r="C76" i="7"/>
  <c r="D76"/>
  <c r="E76"/>
  <c r="F76"/>
  <c r="G76"/>
  <c r="H76"/>
  <c r="I76"/>
  <c r="J76"/>
  <c r="K76"/>
  <c r="C77"/>
  <c r="D77"/>
  <c r="E77"/>
  <c r="F77"/>
  <c r="G77"/>
  <c r="H77"/>
  <c r="I77"/>
  <c r="J77"/>
  <c r="K77"/>
  <c r="B77"/>
  <c r="B76"/>
  <c r="C89" i="6"/>
  <c r="D89"/>
  <c r="E89"/>
  <c r="F89"/>
  <c r="G89"/>
  <c r="H89"/>
  <c r="I89"/>
  <c r="C90"/>
  <c r="D90"/>
  <c r="E90"/>
  <c r="F90"/>
  <c r="G90"/>
  <c r="H90"/>
  <c r="I90"/>
  <c r="C84"/>
  <c r="D84"/>
  <c r="E84"/>
  <c r="F84"/>
  <c r="G84"/>
  <c r="H84"/>
  <c r="I84"/>
  <c r="C85"/>
  <c r="D85"/>
  <c r="E85"/>
  <c r="F85"/>
  <c r="G85"/>
  <c r="H85"/>
  <c r="I85"/>
  <c r="B90"/>
  <c r="B89"/>
  <c r="B85"/>
  <c r="B84"/>
  <c r="C88" i="5"/>
  <c r="D88"/>
  <c r="E88"/>
  <c r="F88"/>
  <c r="G88"/>
  <c r="H88"/>
  <c r="I88"/>
  <c r="C89"/>
  <c r="D89"/>
  <c r="E89"/>
  <c r="F89"/>
  <c r="G89"/>
  <c r="H89"/>
  <c r="I89"/>
  <c r="C83"/>
  <c r="D83"/>
  <c r="E83"/>
  <c r="F83"/>
  <c r="G83"/>
  <c r="H83"/>
  <c r="I83"/>
  <c r="C84"/>
  <c r="D84"/>
  <c r="E84"/>
  <c r="F84"/>
  <c r="G84"/>
  <c r="H84"/>
  <c r="I84"/>
  <c r="B89"/>
  <c r="B88"/>
  <c r="B84"/>
  <c r="B83"/>
  <c r="C88" i="4"/>
  <c r="D88"/>
  <c r="E88"/>
  <c r="F88"/>
  <c r="G88"/>
  <c r="H88"/>
  <c r="I88"/>
  <c r="C89"/>
  <c r="D89"/>
  <c r="E89"/>
  <c r="F89"/>
  <c r="G89"/>
  <c r="H89"/>
  <c r="I89"/>
  <c r="C83"/>
  <c r="D83"/>
  <c r="E83"/>
  <c r="F83"/>
  <c r="G83"/>
  <c r="H83"/>
  <c r="I83"/>
  <c r="C84"/>
  <c r="D84"/>
  <c r="E84"/>
  <c r="F84"/>
  <c r="G84"/>
  <c r="H84"/>
  <c r="I84"/>
  <c r="B89"/>
  <c r="B88"/>
  <c r="B84"/>
  <c r="B83"/>
  <c r="C88" i="3"/>
  <c r="D88"/>
  <c r="E88"/>
  <c r="F88"/>
  <c r="G88"/>
  <c r="H88"/>
  <c r="I88"/>
  <c r="C89"/>
  <c r="D89"/>
  <c r="E89"/>
  <c r="F89"/>
  <c r="G89"/>
  <c r="H89"/>
  <c r="I89"/>
  <c r="B89"/>
  <c r="B88"/>
  <c r="C84"/>
  <c r="D84"/>
  <c r="D43" i="8" s="1"/>
  <c r="E84" i="3"/>
  <c r="F84"/>
  <c r="F43" i="8" s="1"/>
  <c r="G84" i="3"/>
  <c r="G43" i="8" s="1"/>
  <c r="H84" i="3"/>
  <c r="I84"/>
  <c r="B84"/>
  <c r="C83"/>
  <c r="D83"/>
  <c r="E83"/>
  <c r="F83"/>
  <c r="G83"/>
  <c r="H83"/>
  <c r="I83"/>
  <c r="B83"/>
  <c r="B42" i="8" s="1"/>
  <c r="C101" i="2"/>
  <c r="D101"/>
  <c r="E101"/>
  <c r="F101"/>
  <c r="G101"/>
  <c r="H101"/>
  <c r="I101"/>
  <c r="J101"/>
  <c r="K101"/>
  <c r="L101"/>
  <c r="M101"/>
  <c r="C102"/>
  <c r="D102"/>
  <c r="E102"/>
  <c r="F102"/>
  <c r="G102"/>
  <c r="H102"/>
  <c r="I102"/>
  <c r="J102"/>
  <c r="K102"/>
  <c r="L102"/>
  <c r="M102"/>
  <c r="B102"/>
  <c r="B101"/>
  <c r="C97"/>
  <c r="D97"/>
  <c r="E97"/>
  <c r="F97"/>
  <c r="G97"/>
  <c r="H97"/>
  <c r="I97"/>
  <c r="J97"/>
  <c r="K97"/>
  <c r="L97"/>
  <c r="M97"/>
  <c r="B97"/>
  <c r="C96"/>
  <c r="D96"/>
  <c r="E96"/>
  <c r="F96"/>
  <c r="G96"/>
  <c r="H96"/>
  <c r="I96"/>
  <c r="J96"/>
  <c r="K96"/>
  <c r="L96"/>
  <c r="M96"/>
  <c r="B96"/>
  <c r="C72" i="7"/>
  <c r="D72"/>
  <c r="E72"/>
  <c r="F72"/>
  <c r="G72"/>
  <c r="H72"/>
  <c r="I72"/>
  <c r="J72"/>
  <c r="K72"/>
  <c r="B72"/>
  <c r="C71"/>
  <c r="D71"/>
  <c r="E71"/>
  <c r="F71"/>
  <c r="G71"/>
  <c r="H71"/>
  <c r="I71"/>
  <c r="J71"/>
  <c r="K71"/>
  <c r="B71"/>
  <c r="C42" i="8"/>
  <c r="D42"/>
  <c r="E42"/>
  <c r="F42"/>
  <c r="G42"/>
  <c r="H42"/>
  <c r="I42"/>
  <c r="C43"/>
  <c r="E43"/>
  <c r="H43"/>
  <c r="I43"/>
  <c r="B43"/>
  <c r="L55" i="1"/>
  <c r="C35" i="8" l="1"/>
  <c r="D35"/>
  <c r="E35"/>
  <c r="F35"/>
  <c r="G35"/>
  <c r="H35"/>
  <c r="I35"/>
  <c r="B35"/>
  <c r="L38" i="1"/>
  <c r="L37"/>
  <c r="L59"/>
  <c r="L39"/>
  <c r="D39" s="1"/>
  <c r="D50" i="3" s="1"/>
  <c r="D60" i="1"/>
  <c r="L61" s="1"/>
  <c r="E39"/>
  <c r="E61"/>
  <c r="E62"/>
  <c r="F62" s="1"/>
  <c r="C81" i="5"/>
  <c r="C50" i="8" s="1"/>
  <c r="C80"/>
  <c r="D80"/>
  <c r="E80"/>
  <c r="F80"/>
  <c r="G80"/>
  <c r="C81"/>
  <c r="D81"/>
  <c r="E81"/>
  <c r="F81"/>
  <c r="G81"/>
  <c r="B81"/>
  <c r="B80"/>
  <c r="C73"/>
  <c r="D73"/>
  <c r="E73"/>
  <c r="F73"/>
  <c r="G73"/>
  <c r="B73"/>
  <c r="C68"/>
  <c r="D68"/>
  <c r="E68"/>
  <c r="F68"/>
  <c r="G68"/>
  <c r="C69"/>
  <c r="D69"/>
  <c r="E69"/>
  <c r="F69"/>
  <c r="G69"/>
  <c r="B69"/>
  <c r="B68"/>
  <c r="C61"/>
  <c r="D61"/>
  <c r="E61"/>
  <c r="F61"/>
  <c r="G61"/>
  <c r="B61"/>
  <c r="C55"/>
  <c r="D55"/>
  <c r="E55"/>
  <c r="F55"/>
  <c r="G55"/>
  <c r="H55"/>
  <c r="I55"/>
  <c r="C56"/>
  <c r="D56"/>
  <c r="E56"/>
  <c r="F56"/>
  <c r="G56"/>
  <c r="H56"/>
  <c r="I56"/>
  <c r="B56"/>
  <c r="B55"/>
  <c r="K55"/>
  <c r="L55"/>
  <c r="M55"/>
  <c r="N55"/>
  <c r="O55"/>
  <c r="P55"/>
  <c r="Q55"/>
  <c r="K56"/>
  <c r="L56"/>
  <c r="M56"/>
  <c r="N56"/>
  <c r="O56"/>
  <c r="P56"/>
  <c r="Q56"/>
  <c r="J56"/>
  <c r="J55"/>
  <c r="K48"/>
  <c r="L48"/>
  <c r="M48"/>
  <c r="N48"/>
  <c r="O48"/>
  <c r="P48"/>
  <c r="Q48"/>
  <c r="J48"/>
  <c r="C48"/>
  <c r="D48"/>
  <c r="E48"/>
  <c r="F48"/>
  <c r="G48"/>
  <c r="H48"/>
  <c r="I48"/>
  <c r="F49"/>
  <c r="B48"/>
  <c r="K42"/>
  <c r="L42"/>
  <c r="M42"/>
  <c r="N42"/>
  <c r="O42"/>
  <c r="P42"/>
  <c r="Q42"/>
  <c r="K43"/>
  <c r="L43"/>
  <c r="M43"/>
  <c r="N43"/>
  <c r="O43"/>
  <c r="P43"/>
  <c r="Q43"/>
  <c r="J43"/>
  <c r="J42"/>
  <c r="K35"/>
  <c r="L35"/>
  <c r="M35"/>
  <c r="N35"/>
  <c r="O35"/>
  <c r="P35"/>
  <c r="Q35"/>
  <c r="J35"/>
  <c r="C30"/>
  <c r="D30"/>
  <c r="B30"/>
  <c r="C29"/>
  <c r="D29"/>
  <c r="B29"/>
  <c r="C17"/>
  <c r="D17"/>
  <c r="E17"/>
  <c r="F17"/>
  <c r="G17"/>
  <c r="B17"/>
  <c r="C16"/>
  <c r="D16"/>
  <c r="E16"/>
  <c r="F16"/>
  <c r="G16"/>
  <c r="B16"/>
  <c r="C10"/>
  <c r="D10"/>
  <c r="L72" i="1"/>
  <c r="L74"/>
  <c r="F81" i="6" s="1"/>
  <c r="N49" i="8" s="1"/>
  <c r="I59" i="5"/>
  <c r="I60"/>
  <c r="D59"/>
  <c r="E59"/>
  <c r="F59"/>
  <c r="G59"/>
  <c r="H59"/>
  <c r="D60"/>
  <c r="E60"/>
  <c r="F60"/>
  <c r="G60"/>
  <c r="H60"/>
  <c r="C59"/>
  <c r="C60"/>
  <c r="B60"/>
  <c r="B59"/>
  <c r="C59" i="3"/>
  <c r="D59"/>
  <c r="E59"/>
  <c r="F59"/>
  <c r="G59"/>
  <c r="H59"/>
  <c r="I59"/>
  <c r="C60"/>
  <c r="D60"/>
  <c r="E60"/>
  <c r="F60"/>
  <c r="G60"/>
  <c r="H60"/>
  <c r="I60"/>
  <c r="B60"/>
  <c r="B59"/>
  <c r="C47" i="7"/>
  <c r="D47"/>
  <c r="E47"/>
  <c r="F47"/>
  <c r="G47"/>
  <c r="H47"/>
  <c r="I47"/>
  <c r="J47"/>
  <c r="C48"/>
  <c r="D48"/>
  <c r="E48"/>
  <c r="F48"/>
  <c r="G48"/>
  <c r="H48"/>
  <c r="I48"/>
  <c r="J48"/>
  <c r="B47"/>
  <c r="B48"/>
  <c r="C68" i="2"/>
  <c r="D68"/>
  <c r="E68"/>
  <c r="F68"/>
  <c r="G68"/>
  <c r="H68"/>
  <c r="I68"/>
  <c r="J68"/>
  <c r="K68"/>
  <c r="L68"/>
  <c r="M68"/>
  <c r="C69"/>
  <c r="D69"/>
  <c r="E69"/>
  <c r="F69"/>
  <c r="G69"/>
  <c r="H69"/>
  <c r="I69"/>
  <c r="J69"/>
  <c r="K69"/>
  <c r="L69"/>
  <c r="M69"/>
  <c r="B69"/>
  <c r="B68"/>
  <c r="B37" i="7"/>
  <c r="C37"/>
  <c r="D37"/>
  <c r="E37"/>
  <c r="F37"/>
  <c r="G37"/>
  <c r="H37"/>
  <c r="I37"/>
  <c r="J37"/>
  <c r="K37"/>
  <c r="H50"/>
  <c r="I50"/>
  <c r="J50"/>
  <c r="K50"/>
  <c r="E54"/>
  <c r="F54"/>
  <c r="E55"/>
  <c r="F55"/>
  <c r="E56"/>
  <c r="F56"/>
  <c r="E57"/>
  <c r="F57"/>
  <c r="E58"/>
  <c r="F58"/>
  <c r="E59"/>
  <c r="F59"/>
  <c r="E60"/>
  <c r="F60"/>
  <c r="E61"/>
  <c r="F61"/>
  <c r="E62"/>
  <c r="F62"/>
  <c r="E63"/>
  <c r="F63"/>
  <c r="B68"/>
  <c r="E68"/>
  <c r="F68"/>
  <c r="G68"/>
  <c r="K68"/>
  <c r="B69"/>
  <c r="C69"/>
  <c r="C11" i="8" s="1"/>
  <c r="D69" i="7"/>
  <c r="E69"/>
  <c r="E11" i="8" s="1"/>
  <c r="F69" i="7"/>
  <c r="G69"/>
  <c r="G11" i="8" s="1"/>
  <c r="H69" i="7"/>
  <c r="I69"/>
  <c r="C24" i="8" s="1"/>
  <c r="J69" i="7"/>
  <c r="D24" i="8" s="1"/>
  <c r="K69" i="7"/>
  <c r="B70"/>
  <c r="K70"/>
  <c r="B49" i="3"/>
  <c r="C49"/>
  <c r="D49"/>
  <c r="E49"/>
  <c r="G49"/>
  <c r="H49"/>
  <c r="B64"/>
  <c r="C64"/>
  <c r="D64"/>
  <c r="E64"/>
  <c r="E68"/>
  <c r="F68"/>
  <c r="E69"/>
  <c r="F69"/>
  <c r="E70"/>
  <c r="F70"/>
  <c r="E71"/>
  <c r="F71"/>
  <c r="E72"/>
  <c r="F72"/>
  <c r="E73"/>
  <c r="F73"/>
  <c r="E74"/>
  <c r="F74"/>
  <c r="E75"/>
  <c r="F75"/>
  <c r="B80"/>
  <c r="B36" i="8" s="1"/>
  <c r="C80" i="3"/>
  <c r="C36" i="8" s="1"/>
  <c r="E80" i="3"/>
  <c r="E36" i="8" s="1"/>
  <c r="F36"/>
  <c r="G80" i="3"/>
  <c r="G36" i="8" s="1"/>
  <c r="H80" i="3"/>
  <c r="H36" i="8" s="1"/>
  <c r="B81" i="3"/>
  <c r="B37" i="8" s="1"/>
  <c r="C81" i="3"/>
  <c r="C37" i="8" s="1"/>
  <c r="D81" i="3"/>
  <c r="D37" i="8" s="1"/>
  <c r="E81" i="3"/>
  <c r="E37" i="8" s="1"/>
  <c r="F81" i="3"/>
  <c r="F37" i="8" s="1"/>
  <c r="G81" i="3"/>
  <c r="G37" i="8" s="1"/>
  <c r="H81" i="3"/>
  <c r="H37" i="8" s="1"/>
  <c r="I81" i="3"/>
  <c r="I37" i="8" s="1"/>
  <c r="F82" i="3"/>
  <c r="F38" i="8" s="1"/>
  <c r="G82" i="3"/>
  <c r="G38" i="8" s="1"/>
  <c r="H82" i="3"/>
  <c r="H38" i="8" s="1"/>
  <c r="I82" i="3"/>
  <c r="I38" i="8" s="1"/>
  <c r="E68" i="4"/>
  <c r="F68"/>
  <c r="E69"/>
  <c r="F69"/>
  <c r="E70"/>
  <c r="F70"/>
  <c r="E71"/>
  <c r="F71"/>
  <c r="E72"/>
  <c r="F72"/>
  <c r="E73"/>
  <c r="F73"/>
  <c r="E74"/>
  <c r="F74"/>
  <c r="E75"/>
  <c r="F75"/>
  <c r="B81"/>
  <c r="J37" i="8" s="1"/>
  <c r="C81" i="4"/>
  <c r="K37" i="8" s="1"/>
  <c r="D81" i="4"/>
  <c r="L37" i="8" s="1"/>
  <c r="E81" i="4"/>
  <c r="M37" i="8" s="1"/>
  <c r="F81" i="4"/>
  <c r="N37" i="8" s="1"/>
  <c r="G81" i="4"/>
  <c r="O37" i="8" s="1"/>
  <c r="H81" i="4"/>
  <c r="P37" i="8" s="1"/>
  <c r="I81" i="4"/>
  <c r="Q37" i="8" s="1"/>
  <c r="B82" i="4"/>
  <c r="J38" i="8" s="1"/>
  <c r="C82" i="4"/>
  <c r="K38" i="8" s="1"/>
  <c r="L38"/>
  <c r="E82" i="4"/>
  <c r="M38" i="8" s="1"/>
  <c r="F82" i="4"/>
  <c r="N38" i="8" s="1"/>
  <c r="G82" i="4"/>
  <c r="O38" i="8" s="1"/>
  <c r="H82" i="4"/>
  <c r="P38" i="8" s="1"/>
  <c r="I82" i="4"/>
  <c r="Q38" i="8" s="1"/>
  <c r="B60" i="2"/>
  <c r="C60"/>
  <c r="D60"/>
  <c r="E60"/>
  <c r="F60"/>
  <c r="G60"/>
  <c r="H60"/>
  <c r="I60"/>
  <c r="J60"/>
  <c r="K60"/>
  <c r="L60"/>
  <c r="M60"/>
  <c r="B73"/>
  <c r="C73"/>
  <c r="D73"/>
  <c r="E73"/>
  <c r="F73"/>
  <c r="G73"/>
  <c r="H73"/>
  <c r="I73"/>
  <c r="J73"/>
  <c r="K73"/>
  <c r="L73"/>
  <c r="M73"/>
  <c r="E77"/>
  <c r="F77"/>
  <c r="E78"/>
  <c r="F78"/>
  <c r="E79"/>
  <c r="F79"/>
  <c r="E80"/>
  <c r="F80"/>
  <c r="E81"/>
  <c r="F81"/>
  <c r="E82"/>
  <c r="F82"/>
  <c r="E83"/>
  <c r="F83"/>
  <c r="E84"/>
  <c r="F84"/>
  <c r="E85"/>
  <c r="F85"/>
  <c r="E86"/>
  <c r="F86"/>
  <c r="E87"/>
  <c r="F87"/>
  <c r="E88"/>
  <c r="F88"/>
  <c r="B94"/>
  <c r="B75" i="8" s="1"/>
  <c r="C94" i="2"/>
  <c r="C75" i="8" s="1"/>
  <c r="D94" i="2"/>
  <c r="D75" i="8" s="1"/>
  <c r="E94" i="2"/>
  <c r="E75" i="8" s="1"/>
  <c r="F94" i="2"/>
  <c r="F75" i="8" s="1"/>
  <c r="G94" i="2"/>
  <c r="G75" i="8" s="1"/>
  <c r="H94" i="2"/>
  <c r="B63" i="8" s="1"/>
  <c r="I94" i="2"/>
  <c r="C63" i="8" s="1"/>
  <c r="J94" i="2"/>
  <c r="D63" i="8" s="1"/>
  <c r="K94" i="2"/>
  <c r="E63" i="8" s="1"/>
  <c r="L94" i="2"/>
  <c r="F63" i="8" s="1"/>
  <c r="M94" i="2"/>
  <c r="G63" i="8" s="1"/>
  <c r="B49" i="5"/>
  <c r="C49"/>
  <c r="D49"/>
  <c r="E49"/>
  <c r="G49"/>
  <c r="H49"/>
  <c r="B64"/>
  <c r="C64"/>
  <c r="D64"/>
  <c r="E64"/>
  <c r="E68"/>
  <c r="F68"/>
  <c r="E69"/>
  <c r="F69"/>
  <c r="E70"/>
  <c r="F70"/>
  <c r="E71"/>
  <c r="F71"/>
  <c r="E72"/>
  <c r="F72"/>
  <c r="E73"/>
  <c r="F73"/>
  <c r="E74"/>
  <c r="F74"/>
  <c r="E75"/>
  <c r="F75"/>
  <c r="B80"/>
  <c r="B49" i="8" s="1"/>
  <c r="E80" i="5"/>
  <c r="E49" i="8" s="1"/>
  <c r="G80" i="5"/>
  <c r="G49" i="8" s="1"/>
  <c r="H80" i="5"/>
  <c r="H49" i="8" s="1"/>
  <c r="F81" i="5"/>
  <c r="F50" i="8" s="1"/>
  <c r="G81" i="5"/>
  <c r="G50" i="8" s="1"/>
  <c r="H81" i="5"/>
  <c r="H50" i="8" s="1"/>
  <c r="I81" i="5"/>
  <c r="I50" i="8" s="1"/>
  <c r="F82" i="5"/>
  <c r="F51" i="8" s="1"/>
  <c r="G82" i="5"/>
  <c r="G51" i="8" s="1"/>
  <c r="H82" i="5"/>
  <c r="H51" i="8" s="1"/>
  <c r="I82" i="5"/>
  <c r="I51" i="8" s="1"/>
  <c r="E69" i="6"/>
  <c r="F69"/>
  <c r="E70"/>
  <c r="F70"/>
  <c r="E71"/>
  <c r="F71"/>
  <c r="E72"/>
  <c r="F72"/>
  <c r="E73"/>
  <c r="F73"/>
  <c r="E74"/>
  <c r="F74"/>
  <c r="E75"/>
  <c r="F75"/>
  <c r="E76"/>
  <c r="F76"/>
  <c r="B82"/>
  <c r="J50" i="8" s="1"/>
  <c r="C82" i="6"/>
  <c r="K50" i="8" s="1"/>
  <c r="D82" i="6"/>
  <c r="L50" i="8" s="1"/>
  <c r="E82" i="6"/>
  <c r="M50" i="8" s="1"/>
  <c r="F82" i="6"/>
  <c r="N50" i="8" s="1"/>
  <c r="G82" i="6"/>
  <c r="O50" i="8" s="1"/>
  <c r="H82" i="6"/>
  <c r="P50" i="8" s="1"/>
  <c r="I82" i="6"/>
  <c r="Q50" i="8" s="1"/>
  <c r="B83" i="6"/>
  <c r="J51" i="8" s="1"/>
  <c r="C83" i="6"/>
  <c r="K51" i="8" s="1"/>
  <c r="D83" i="6"/>
  <c r="L51" i="8" s="1"/>
  <c r="E83" i="6"/>
  <c r="M51" i="8" s="1"/>
  <c r="F83" i="6"/>
  <c r="N51" i="8" s="1"/>
  <c r="G83" i="6"/>
  <c r="O51" i="8" s="1"/>
  <c r="H83" i="6"/>
  <c r="P51" i="8" s="1"/>
  <c r="I83" i="6"/>
  <c r="Q51" i="8" s="1"/>
  <c r="E7" i="1"/>
  <c r="F7" s="1"/>
  <c r="N7" s="1"/>
  <c r="L7"/>
  <c r="B93" i="2" s="1"/>
  <c r="B74" i="8" s="1"/>
  <c r="E8" i="1"/>
  <c r="F8" s="1"/>
  <c r="N8" s="1"/>
  <c r="C95" i="2" s="1"/>
  <c r="C76" i="8" s="1"/>
  <c r="L8" i="1"/>
  <c r="C93" i="2"/>
  <c r="C74" i="8" s="1"/>
  <c r="E9" i="1"/>
  <c r="F9" s="1"/>
  <c r="N9" s="1"/>
  <c r="D95" i="2" s="1"/>
  <c r="D76" i="8" s="1"/>
  <c r="L9" i="1"/>
  <c r="D93" i="2" s="1"/>
  <c r="D74" i="8" s="1"/>
  <c r="E10" i="1"/>
  <c r="F10" s="1"/>
  <c r="N10" s="1"/>
  <c r="E95" i="2" s="1"/>
  <c r="E76" i="8" s="1"/>
  <c r="L10" i="1"/>
  <c r="E93" i="2"/>
  <c r="E74" i="8" s="1"/>
  <c r="E11" i="1"/>
  <c r="F11" s="1"/>
  <c r="N11" s="1"/>
  <c r="F95" i="2" s="1"/>
  <c r="F76" i="8" s="1"/>
  <c r="L11" i="1"/>
  <c r="F93" i="2" s="1"/>
  <c r="F74" i="8" s="1"/>
  <c r="E12" i="1"/>
  <c r="F12" s="1"/>
  <c r="N12" s="1"/>
  <c r="G95" i="2" s="1"/>
  <c r="G76" i="8" s="1"/>
  <c r="L12" i="1"/>
  <c r="G93" i="2"/>
  <c r="G74" i="8" s="1"/>
  <c r="E13" i="1"/>
  <c r="F13" s="1"/>
  <c r="N13" s="1"/>
  <c r="H95" i="2" s="1"/>
  <c r="B64" i="8" s="1"/>
  <c r="L13" i="1"/>
  <c r="H93" i="2" s="1"/>
  <c r="B62" i="8" s="1"/>
  <c r="E14" i="1"/>
  <c r="F14" s="1"/>
  <c r="N14" s="1"/>
  <c r="I95" i="2" s="1"/>
  <c r="C64" i="8" s="1"/>
  <c r="L14" i="1"/>
  <c r="I93" i="2"/>
  <c r="C62" i="8" s="1"/>
  <c r="E15" i="1"/>
  <c r="F15" s="1"/>
  <c r="N15" s="1"/>
  <c r="J95" i="2" s="1"/>
  <c r="D64" i="8" s="1"/>
  <c r="L15" i="1"/>
  <c r="J93" i="2" s="1"/>
  <c r="D62" i="8" s="1"/>
  <c r="E16" i="1"/>
  <c r="F16" s="1"/>
  <c r="N16" s="1"/>
  <c r="K95" i="2" s="1"/>
  <c r="E64" i="8" s="1"/>
  <c r="L16" i="1"/>
  <c r="K93" i="2"/>
  <c r="E62" i="8" s="1"/>
  <c r="E17" i="1"/>
  <c r="F17" s="1"/>
  <c r="N17" s="1"/>
  <c r="L95" i="2" s="1"/>
  <c r="F64" i="8" s="1"/>
  <c r="L17" i="1"/>
  <c r="L93" i="2" s="1"/>
  <c r="F62" i="8" s="1"/>
  <c r="E18" i="1"/>
  <c r="F18" s="1"/>
  <c r="N18" s="1"/>
  <c r="M95" i="2" s="1"/>
  <c r="G64" i="8" s="1"/>
  <c r="L18" i="1"/>
  <c r="M93" i="2"/>
  <c r="G62" i="8" s="1"/>
  <c r="N25" i="1"/>
  <c r="C70" i="7"/>
  <c r="N26" i="1"/>
  <c r="D70" i="7"/>
  <c r="N27" i="1"/>
  <c r="E70" i="7"/>
  <c r="N28" i="1"/>
  <c r="F70" i="7"/>
  <c r="N29" i="1"/>
  <c r="G70" i="7"/>
  <c r="E30" i="1"/>
  <c r="F30" s="1"/>
  <c r="N30" s="1"/>
  <c r="H70" i="7" s="1"/>
  <c r="L30" i="1"/>
  <c r="H68" i="7"/>
  <c r="E31" i="1"/>
  <c r="F31"/>
  <c r="N31" s="1"/>
  <c r="I70" i="7" s="1"/>
  <c r="L31" i="1"/>
  <c r="I68" i="7"/>
  <c r="E32" i="1"/>
  <c r="F32"/>
  <c r="N32" s="1"/>
  <c r="J70" i="7" s="1"/>
  <c r="D25" i="8" s="1"/>
  <c r="L32" i="1"/>
  <c r="J68" i="7"/>
  <c r="D23" i="8" s="1"/>
  <c r="E37" i="1"/>
  <c r="F37" s="1"/>
  <c r="N37" s="1"/>
  <c r="B82" i="3" s="1"/>
  <c r="B38" i="8" s="1"/>
  <c r="E38" i="1"/>
  <c r="F38" s="1"/>
  <c r="N38" s="1"/>
  <c r="C82" i="3" s="1"/>
  <c r="C38" i="8" s="1"/>
  <c r="F39" i="1"/>
  <c r="N39" s="1"/>
  <c r="D82" i="3" s="1"/>
  <c r="D38" i="8" s="1"/>
  <c r="D80" i="3"/>
  <c r="D36" i="8" s="1"/>
  <c r="E40" i="1"/>
  <c r="F40" s="1"/>
  <c r="N40" s="1"/>
  <c r="E82" i="3" s="1"/>
  <c r="E38" i="8" s="1"/>
  <c r="K41" i="1"/>
  <c r="F49" i="3" s="1"/>
  <c r="K44" i="1"/>
  <c r="D44" s="1"/>
  <c r="I50" i="3" s="1"/>
  <c r="K48" i="1"/>
  <c r="K49"/>
  <c r="D49" s="1"/>
  <c r="C50" i="4" s="1"/>
  <c r="L49" i="1"/>
  <c r="C80" i="4" s="1"/>
  <c r="K36" i="8" s="1"/>
  <c r="K50" i="1"/>
  <c r="D49" i="4" s="1"/>
  <c r="L50" i="1"/>
  <c r="D80" i="4" s="1"/>
  <c r="L36" i="8" s="1"/>
  <c r="K51" i="1"/>
  <c r="D51" s="1"/>
  <c r="E50" i="4" s="1"/>
  <c r="L51" i="1"/>
  <c r="E80" i="4" s="1"/>
  <c r="M36" i="8" s="1"/>
  <c r="K52" i="1"/>
  <c r="F49" i="4" s="1"/>
  <c r="L52" i="1"/>
  <c r="F80" i="4" s="1"/>
  <c r="N36" i="8" s="1"/>
  <c r="K53" i="1"/>
  <c r="D53" s="1"/>
  <c r="G50" i="4" s="1"/>
  <c r="L53" i="1"/>
  <c r="G80" i="4" s="1"/>
  <c r="O36" i="8" s="1"/>
  <c r="K54" i="1"/>
  <c r="H49" i="4" s="1"/>
  <c r="L54" i="1"/>
  <c r="H80" i="4" s="1"/>
  <c r="P36" i="8" s="1"/>
  <c r="K55" i="1"/>
  <c r="D55" s="1"/>
  <c r="I50" i="4" s="1"/>
  <c r="I80"/>
  <c r="Q36" i="8" s="1"/>
  <c r="K63" i="1"/>
  <c r="F49" i="5"/>
  <c r="K66" i="1"/>
  <c r="D66" s="1"/>
  <c r="I50" i="5" s="1"/>
  <c r="K70" i="1"/>
  <c r="D70" s="1"/>
  <c r="B51" i="6" s="1"/>
  <c r="K71" i="1"/>
  <c r="D71" s="1"/>
  <c r="C51" i="6" s="1"/>
  <c r="L71" i="1"/>
  <c r="C81" i="6" s="1"/>
  <c r="K49" i="8" s="1"/>
  <c r="K72" i="1"/>
  <c r="D72" s="1"/>
  <c r="D51" i="6" s="1"/>
  <c r="D81"/>
  <c r="L49" i="8" s="1"/>
  <c r="K73" i="1"/>
  <c r="D73" s="1"/>
  <c r="E51" i="6" s="1"/>
  <c r="L73" i="1"/>
  <c r="E81" i="6" s="1"/>
  <c r="M49" i="8" s="1"/>
  <c r="K74" i="1"/>
  <c r="D74" s="1"/>
  <c r="F51" i="6" s="1"/>
  <c r="K75" i="1"/>
  <c r="D75" s="1"/>
  <c r="G51" i="6" s="1"/>
  <c r="L75" i="1"/>
  <c r="G81" i="6" s="1"/>
  <c r="O49" i="8" s="1"/>
  <c r="K76" i="1"/>
  <c r="D76" s="1"/>
  <c r="H51" i="6" s="1"/>
  <c r="L76" i="1"/>
  <c r="H81" i="6" s="1"/>
  <c r="P49" i="8" s="1"/>
  <c r="K77" i="1"/>
  <c r="D77" s="1"/>
  <c r="I51" i="6" s="1"/>
  <c r="I81"/>
  <c r="Q49" i="8" s="1"/>
  <c r="D50" i="1"/>
  <c r="D50" i="4" s="1"/>
  <c r="D52" i="1" l="1"/>
  <c r="F50" i="4" s="1"/>
  <c r="C50" i="6"/>
  <c r="F50"/>
  <c r="E60" i="1"/>
  <c r="F60" s="1"/>
  <c r="N60" s="1"/>
  <c r="C82" i="5" s="1"/>
  <c r="C51" i="8" s="1"/>
  <c r="L60" i="1"/>
  <c r="C80" i="5" s="1"/>
  <c r="C49" i="8" s="1"/>
  <c r="C50" i="5"/>
  <c r="C49" i="4"/>
  <c r="B50" i="6"/>
  <c r="B49" i="4"/>
  <c r="D48" i="1"/>
  <c r="B50" i="4" s="1"/>
  <c r="D50" i="6"/>
  <c r="H50"/>
  <c r="I50"/>
  <c r="I49" i="4"/>
  <c r="I49" i="3"/>
  <c r="B95" i="2"/>
  <c r="B76" i="8" s="1"/>
  <c r="G50" i="6"/>
  <c r="D61" i="1"/>
  <c r="D50" i="5" s="1"/>
  <c r="F61" i="1"/>
  <c r="N61" s="1"/>
  <c r="D82" i="5" s="1"/>
  <c r="D51" i="8" s="1"/>
  <c r="E59" i="1"/>
  <c r="F59" s="1"/>
  <c r="N59" s="1"/>
  <c r="B82" i="5" s="1"/>
  <c r="B51" i="8" s="1"/>
  <c r="D81" i="5"/>
  <c r="D50" i="8" s="1"/>
  <c r="E81" i="5"/>
  <c r="E50" i="8" s="1"/>
  <c r="N62" i="1"/>
  <c r="E82" i="5" s="1"/>
  <c r="E51" i="8" s="1"/>
  <c r="B81" i="5"/>
  <c r="B50" i="8" s="1"/>
  <c r="D80" i="5"/>
  <c r="D49" i="8" s="1"/>
  <c r="B11"/>
  <c r="F11"/>
  <c r="D11"/>
  <c r="B10"/>
  <c r="F10"/>
  <c r="B12"/>
  <c r="F12"/>
  <c r="D12"/>
  <c r="B23"/>
  <c r="C23"/>
  <c r="B25"/>
  <c r="C25"/>
  <c r="G10"/>
  <c r="E10"/>
  <c r="G12"/>
  <c r="E12"/>
  <c r="C12"/>
  <c r="B24"/>
  <c r="E49" i="4"/>
  <c r="L48" i="1"/>
  <c r="B80" i="4" s="1"/>
  <c r="J36" i="8" s="1"/>
  <c r="D54" i="1"/>
  <c r="H50" i="4" s="1"/>
  <c r="G49"/>
  <c r="E50" i="6"/>
  <c r="L70" i="1"/>
  <c r="B81" i="6" s="1"/>
  <c r="J49" i="8" s="1"/>
  <c r="I49" i="5"/>
  <c r="L66" i="1"/>
  <c r="I80" i="5" s="1"/>
  <c r="I49" i="8" s="1"/>
  <c r="L44" i="1"/>
  <c r="I80" i="3" s="1"/>
  <c r="I36" i="8" s="1"/>
</calcChain>
</file>

<file path=xl/sharedStrings.xml><?xml version="1.0" encoding="utf-8"?>
<sst xmlns="http://schemas.openxmlformats.org/spreadsheetml/2006/main" count="791" uniqueCount="295">
  <si>
    <t>LEGS</t>
  </si>
  <si>
    <t>JOINT ini file</t>
  </si>
  <si>
    <t>JOINT</t>
  </si>
  <si>
    <t>value read at zeros</t>
  </si>
  <si>
    <t>zeros</t>
  </si>
  <si>
    <r>
      <t>|</t>
    </r>
    <r>
      <rPr>
        <b/>
        <i/>
        <sz val="14"/>
        <rFont val="Times New Roman"/>
        <family val="1"/>
      </rPr>
      <t>value_read_at_zeros</t>
    </r>
    <r>
      <rPr>
        <b/>
        <sz val="14"/>
        <rFont val="Times New Roman"/>
        <family val="1"/>
      </rPr>
      <t>(i)|-|Zeros(i)|</t>
    </r>
  </si>
  <si>
    <t xml:space="preserve">Min </t>
  </si>
  <si>
    <t>Max</t>
  </si>
  <si>
    <t>Vmin</t>
  </si>
  <si>
    <t>Vmax</t>
  </si>
  <si>
    <t xml:space="preserve">Encoders </t>
  </si>
  <si>
    <t>Calilbration 1</t>
  </si>
  <si>
    <t>Calilbration 2</t>
  </si>
  <si>
    <t>Calilbration 3</t>
  </si>
  <si>
    <t>LeftLeg Joint 0</t>
  </si>
  <si>
    <t>LeftLeg Joint 1</t>
  </si>
  <si>
    <t>LeftLeg Joint 2</t>
  </si>
  <si>
    <t>LeftLeg Joint 3</t>
  </si>
  <si>
    <t>LeftLeg Joint 4</t>
  </si>
  <si>
    <t>LeftLeg Joint 5</t>
  </si>
  <si>
    <t>RightLeg Joint 0</t>
  </si>
  <si>
    <t>RightLeg Joint 1</t>
  </si>
  <si>
    <t>RightLeg Joint 2</t>
  </si>
  <si>
    <t>RightLeg Joint 3</t>
  </si>
  <si>
    <t>RightLeg Joint 4</t>
  </si>
  <si>
    <t>RightLeg Joint 5</t>
  </si>
  <si>
    <t>HEAD - TORSO</t>
  </si>
  <si>
    <t>|value_read_at_zeros|</t>
  </si>
  <si>
    <t>Head Joint 0</t>
  </si>
  <si>
    <t>Head Joint 1</t>
  </si>
  <si>
    <t>Head Joint 2</t>
  </si>
  <si>
    <t>Head Joint 3</t>
  </si>
  <si>
    <t>Head Joint 4</t>
  </si>
  <si>
    <t>Head Joint 5</t>
  </si>
  <si>
    <t>Torso Joint 0</t>
  </si>
  <si>
    <t>Torso Joint 1</t>
  </si>
  <si>
    <t>Torso Joint 2</t>
  </si>
  <si>
    <t>LEFT_ARM</t>
  </si>
  <si>
    <t>value_read_at_zeros</t>
  </si>
  <si>
    <t>LeftArm Joint 0</t>
  </si>
  <si>
    <t>LeftArm Joint 1</t>
  </si>
  <si>
    <t>LeftArm Joint2</t>
  </si>
  <si>
    <t>LeftArm Joint 3</t>
  </si>
  <si>
    <t>LeftArm Joint 4</t>
  </si>
  <si>
    <t>LeftArm Joint 5</t>
  </si>
  <si>
    <t>LeftArm Joint 6</t>
  </si>
  <si>
    <t>LeftArm Joint 7</t>
  </si>
  <si>
    <t>LEFT_HAND</t>
  </si>
  <si>
    <t>LeftHand Joint 0</t>
  </si>
  <si>
    <t>LeftHand Joint 1</t>
  </si>
  <si>
    <t>LeftHand Joint 2</t>
  </si>
  <si>
    <t>LeftHand Joint 3</t>
  </si>
  <si>
    <t>LeftHand Joint 4</t>
  </si>
  <si>
    <t>LeftHand Joint 5</t>
  </si>
  <si>
    <t>LeftHand Joint 6</t>
  </si>
  <si>
    <t>LeftHand Joint 7</t>
  </si>
  <si>
    <t>RIGHT_ARM</t>
  </si>
  <si>
    <t>RightArm Joint 0</t>
  </si>
  <si>
    <t>RightArm Joint 1</t>
  </si>
  <si>
    <t>RightArm Joint2</t>
  </si>
  <si>
    <t>RightArm Joint 3</t>
  </si>
  <si>
    <t>RightArm Joint 4</t>
  </si>
  <si>
    <t>RightArm Joint 5</t>
  </si>
  <si>
    <t>RightArm Joint 6</t>
  </si>
  <si>
    <t>RightArm Joint 7</t>
  </si>
  <si>
    <t>RIGHT_HAND</t>
  </si>
  <si>
    <t>RightHand Joint 0</t>
  </si>
  <si>
    <t>RightHand Joint 1</t>
  </si>
  <si>
    <t>RightHand Joint 2</t>
  </si>
  <si>
    <t>RightHand Joint 3</t>
  </si>
  <si>
    <t>RightHand Joint 4</t>
  </si>
  <si>
    <t>RightHand Joint 5</t>
  </si>
  <si>
    <t>RightHand Joint 6</t>
  </si>
  <si>
    <t>RightHand Joint 7</t>
  </si>
  <si>
    <t>COLORS LEGEND</t>
  </si>
  <si>
    <t>value to be inserted by the user</t>
  </si>
  <si>
    <t>not used</t>
  </si>
  <si>
    <t>PWM value</t>
  </si>
  <si>
    <t>from 0 to 1333</t>
  </si>
  <si>
    <t>It is the value of the PWM limit for limiting the power of the motor</t>
  </si>
  <si>
    <t>Current limit BLL</t>
  </si>
  <si>
    <t>from 0 to 8000 mA</t>
  </si>
  <si>
    <t xml:space="preserve">// by MAGGIA </t>
  </si>
  <si>
    <t>// Initialization file for robot leg, 12 dof on can bus controller.</t>
  </si>
  <si>
    <t>//</t>
  </si>
  <si>
    <t>[CAN]</t>
  </si>
  <si>
    <t xml:space="preserve">CanAddresses </t>
  </si>
  <si>
    <t>5 6 7 8 9 10</t>
  </si>
  <si>
    <t>CanDeviceNum</t>
  </si>
  <si>
    <t>CanMyAddress</t>
  </si>
  <si>
    <t>CanPollingInterval</t>
  </si>
  <si>
    <t>CanTimeout</t>
  </si>
  <si>
    <t>CanTxTimeout    500</t>
  </si>
  <si>
    <t>CanRxTimeout    500</t>
  </si>
  <si>
    <t xml:space="preserve">broadcast_pos    </t>
  </si>
  <si>
    <t xml:space="preserve">broadcast_pid      </t>
  </si>
  <si>
    <t xml:space="preserve">broadcast_fault    </t>
  </si>
  <si>
    <t xml:space="preserve">broadcast_current  </t>
  </si>
  <si>
    <t xml:space="preserve">broadcast_overflow </t>
  </si>
  <si>
    <t xml:space="preserve">broadcast_canprint </t>
  </si>
  <si>
    <t xml:space="preserve">broadcast_vel_acc  </t>
  </si>
  <si>
    <t xml:space="preserve">[GENERAL] </t>
  </si>
  <si>
    <t xml:space="preserve">Joints </t>
  </si>
  <si>
    <t>// the number of joints of the robot part</t>
  </si>
  <si>
    <t xml:space="preserve">  </t>
  </si>
  <si>
    <t xml:space="preserve">Verbose </t>
  </si>
  <si>
    <t xml:space="preserve">[LIMITS] </t>
  </si>
  <si>
    <t xml:space="preserve">// </t>
  </si>
  <si>
    <t>Proportional</t>
  </si>
  <si>
    <t>Derivative</t>
  </si>
  <si>
    <t>Integral</t>
  </si>
  <si>
    <t>Integral Limit</t>
  </si>
  <si>
    <t>PWM Limit</t>
  </si>
  <si>
    <t>scale factor &gt;&gt;</t>
  </si>
  <si>
    <t>offset</t>
  </si>
  <si>
    <t>[PIDS]</t>
  </si>
  <si>
    <t xml:space="preserve">Pid0   </t>
  </si>
  <si>
    <t xml:space="preserve">Pid1 </t>
  </si>
  <si>
    <t xml:space="preserve">Pid2 </t>
  </si>
  <si>
    <t>Pid3</t>
  </si>
  <si>
    <t xml:space="preserve">Pid4  </t>
  </si>
  <si>
    <t>Pid5</t>
  </si>
  <si>
    <t xml:space="preserve">Pid6  </t>
  </si>
  <si>
    <t>Pid7</t>
  </si>
  <si>
    <t xml:space="preserve">Pid8    </t>
  </si>
  <si>
    <t xml:space="preserve">Pid9 </t>
  </si>
  <si>
    <t xml:space="preserve">Pid10  </t>
  </si>
  <si>
    <t>Pid11</t>
  </si>
  <si>
    <t>[CALIBRATION]</t>
  </si>
  <si>
    <t xml:space="preserve">CalibrationType    </t>
  </si>
  <si>
    <t xml:space="preserve">Calibration1   </t>
  </si>
  <si>
    <t xml:space="preserve">Calibration2     </t>
  </si>
  <si>
    <t xml:space="preserve">Calibration3       </t>
  </si>
  <si>
    <t xml:space="preserve">PositionZero      </t>
  </si>
  <si>
    <t xml:space="preserve">VelocityZero     </t>
  </si>
  <si>
    <t>[HOME]</t>
  </si>
  <si>
    <t xml:space="preserve">PositionHome       </t>
  </si>
  <si>
    <t xml:space="preserve">VelocityHome     </t>
  </si>
  <si>
    <t>[ENDINI] // do not remove this line!</t>
  </si>
  <si>
    <t>// Initialization file for robot left_arm, 8 dof on can bus controller.</t>
  </si>
  <si>
    <t>1 2 3 4</t>
  </si>
  <si>
    <t xml:space="preserve">CanTxTimeout  </t>
  </si>
  <si>
    <t xml:space="preserve">CanRxTimeout </t>
  </si>
  <si>
    <t>// Initialization file for robot left hand, 8 dof on can bus controller.</t>
  </si>
  <si>
    <t xml:space="preserve">5 6 7 8 </t>
  </si>
  <si>
    <t xml:space="preserve">NetworkId        </t>
  </si>
  <si>
    <t xml:space="preserve">   LEFTHAND</t>
  </si>
  <si>
    <t xml:space="preserve">CanTxTimeout   </t>
  </si>
  <si>
    <t xml:space="preserve">CanRxTimeout   </t>
  </si>
  <si>
    <t xml:space="preserve">broadcast_pos      </t>
  </si>
  <si>
    <t>[VELOCITY]</t>
  </si>
  <si>
    <t>[LIMITS]</t>
  </si>
  <si>
    <t>// Initialization file for robot right_arm, 8 dof on can bus controller.</t>
  </si>
  <si>
    <t>CanAddresses</t>
  </si>
  <si>
    <t xml:space="preserve"> 1 2 3 4</t>
  </si>
  <si>
    <t>// Initialization file for robot right hand, 8 dof on can bus controller.</t>
  </si>
  <si>
    <t>RIGHTHAND</t>
  </si>
  <si>
    <t>// Initialization file for robot head and torso, 8 dof on can bus controller.</t>
  </si>
  <si>
    <t xml:space="preserve">1 2 3 5 6 </t>
  </si>
  <si>
    <t xml:space="preserve"> </t>
  </si>
  <si>
    <t>Pid8</t>
  </si>
  <si>
    <t>Pid9</t>
  </si>
  <si>
    <t>Formula</t>
  </si>
  <si>
    <t>Author: Marco Maggiali</t>
  </si>
  <si>
    <t>value written in the configuration file</t>
  </si>
  <si>
    <t>path:</t>
  </si>
  <si>
    <t>//name of the robot</t>
  </si>
  <si>
    <t>name icub</t>
  </si>
  <si>
    <t>//parts to be opened by the GUI</t>
  </si>
  <si>
    <t>parts (head torso left_arm right_arm right_leg left_leg)</t>
  </si>
  <si>
    <t>[head_zero]</t>
  </si>
  <si>
    <t>[head_calib]</t>
  </si>
  <si>
    <t>[torso_zero]</t>
  </si>
  <si>
    <t>[torso_calib]</t>
  </si>
  <si>
    <t>CalibrationType</t>
  </si>
  <si>
    <t>[left_arm_calib]</t>
  </si>
  <si>
    <t>[left_arm_zero]</t>
  </si>
  <si>
    <t>[right_arm_calib]</t>
  </si>
  <si>
    <t>[right_arm_zero]</t>
  </si>
  <si>
    <t>[right_leg_calib]</t>
  </si>
  <si>
    <t>[right_leg_zero]</t>
  </si>
  <si>
    <t>[left_leg_calib]</t>
  </si>
  <si>
    <t>[left_leg_zero]</t>
  </si>
  <si>
    <t>//DO NOT REMOVE THIS LINE</t>
  </si>
  <si>
    <t xml:space="preserve">PositionZero   </t>
  </si>
  <si>
    <t xml:space="preserve">//             </t>
  </si>
  <si>
    <t xml:space="preserve">Calibration1    </t>
  </si>
  <si>
    <t xml:space="preserve">CalibrationType     </t>
  </si>
  <si>
    <t xml:space="preserve">Calibration3      </t>
  </si>
  <si>
    <t xml:space="preserve">Calibration2   </t>
  </si>
  <si>
    <t xml:space="preserve">Calibration1  </t>
  </si>
  <si>
    <t xml:space="preserve">PositionZero     </t>
  </si>
  <si>
    <t xml:space="preserve">VelocityZero    </t>
  </si>
  <si>
    <t xml:space="preserve">Calibration3   </t>
  </si>
  <si>
    <t xml:space="preserve">//Joint            </t>
  </si>
  <si>
    <t xml:space="preserve">Calibration1     </t>
  </si>
  <si>
    <t xml:space="preserve">Calibration2       </t>
  </si>
  <si>
    <t xml:space="preserve">//Joint              </t>
  </si>
  <si>
    <t xml:space="preserve">//Joint           </t>
  </si>
  <si>
    <t xml:space="preserve">PositionZero    </t>
  </si>
  <si>
    <t xml:space="preserve">CalibrationType   </t>
  </si>
  <si>
    <t xml:space="preserve">Calibration3    </t>
  </si>
  <si>
    <t xml:space="preserve">VelocityZero   </t>
  </si>
  <si>
    <t xml:space="preserve">//Joint        </t>
  </si>
  <si>
    <t xml:space="preserve">Calibration2      </t>
  </si>
  <si>
    <t xml:space="preserve">//Joint             </t>
  </si>
  <si>
    <t xml:space="preserve">HOME Position </t>
  </si>
  <si>
    <t xml:space="preserve">HOME Velocity </t>
  </si>
  <si>
    <t xml:space="preserve"> // Joint       </t>
  </si>
  <si>
    <t xml:space="preserve">// Joint      </t>
  </si>
  <si>
    <t xml:space="preserve">Max             </t>
  </si>
  <si>
    <t xml:space="preserve">Min             </t>
  </si>
  <si>
    <t xml:space="preserve">Zeros                     </t>
  </si>
  <si>
    <t xml:space="preserve">Encoder                </t>
  </si>
  <si>
    <t xml:space="preserve">AxisMap             </t>
  </si>
  <si>
    <t xml:space="preserve">//Joint          </t>
  </si>
  <si>
    <t xml:space="preserve">MaxDAC          </t>
  </si>
  <si>
    <t xml:space="preserve">// Joint          </t>
  </si>
  <si>
    <t xml:space="preserve">Currents      </t>
  </si>
  <si>
    <t xml:space="preserve">// Joint            </t>
  </si>
  <si>
    <t xml:space="preserve">Calibration2    </t>
  </si>
  <si>
    <t xml:space="preserve">// Joint        </t>
  </si>
  <si>
    <t xml:space="preserve">Zeros            </t>
  </si>
  <si>
    <t xml:space="preserve">Encoder            </t>
  </si>
  <si>
    <t xml:space="preserve">// Joint         </t>
  </si>
  <si>
    <t xml:space="preserve">//                  </t>
  </si>
  <si>
    <t xml:space="preserve">//               </t>
  </si>
  <si>
    <t xml:space="preserve">MaxDAC         </t>
  </si>
  <si>
    <t xml:space="preserve">Max                  </t>
  </si>
  <si>
    <t xml:space="preserve">Min                  </t>
  </si>
  <si>
    <t xml:space="preserve">AxisMap        </t>
  </si>
  <si>
    <t xml:space="preserve">Max                 </t>
  </si>
  <si>
    <t xml:space="preserve">Min                 </t>
  </si>
  <si>
    <t xml:space="preserve">Currents             </t>
  </si>
  <si>
    <t xml:space="preserve">// Joint           </t>
  </si>
  <si>
    <t xml:space="preserve">Encoder                  </t>
  </si>
  <si>
    <t xml:space="preserve">MaxDAC             </t>
  </si>
  <si>
    <t xml:space="preserve">//                          </t>
  </si>
  <si>
    <t xml:space="preserve">Shifts           </t>
  </si>
  <si>
    <t xml:space="preserve">//                      </t>
  </si>
  <si>
    <t xml:space="preserve">AxisMap                </t>
  </si>
  <si>
    <t xml:space="preserve">Encoder                   </t>
  </si>
  <si>
    <t xml:space="preserve">Shifts             </t>
  </si>
  <si>
    <t xml:space="preserve">Max                </t>
  </si>
  <si>
    <t xml:space="preserve">Min               </t>
  </si>
  <si>
    <t xml:space="preserve">Currents              </t>
  </si>
  <si>
    <t xml:space="preserve">// Joint             </t>
  </si>
  <si>
    <t xml:space="preserve">Zeros                      </t>
  </si>
  <si>
    <t xml:space="preserve">//                        </t>
  </si>
  <si>
    <t xml:space="preserve"> Position Zero</t>
  </si>
  <si>
    <t xml:space="preserve">Velocity Zero </t>
  </si>
  <si>
    <t>analog (left_arm)</t>
  </si>
  <si>
    <t>[ANALOG-left_arm]</t>
  </si>
  <si>
    <t>CanAddress 0x0D</t>
  </si>
  <si>
    <t>Format 16</t>
  </si>
  <si>
    <t>Channels 6</t>
  </si>
  <si>
    <t>InitMessage (0x20D 0x07 0x00)</t>
  </si>
  <si>
    <t>//InitMessage (0x20D 0x07 0x03)    //non calibrated values</t>
  </si>
  <si>
    <t>CloseMessage (0x20D 0x07 0x01)</t>
  </si>
  <si>
    <t>UseCalibration 1</t>
  </si>
  <si>
    <t>analog (left_leg right_leg)</t>
  </si>
  <si>
    <t>[ANALOG-left_leg]</t>
  </si>
  <si>
    <t>SpeedMessage (0x20D 0x08 0x03)</t>
  </si>
  <si>
    <t>//InitMessage (0x20D 0x07 0x03)</t>
  </si>
  <si>
    <t>//non calibrated values</t>
  </si>
  <si>
    <t>[ANALOG-right_leg]</t>
  </si>
  <si>
    <t>CanAddress 0x0E</t>
  </si>
  <si>
    <t>InitMessage (0x20E 0x07 0x00)</t>
  </si>
  <si>
    <t>//InitMessage (0x20E 0x07 0x03)</t>
  </si>
  <si>
    <t>CloseMessage (0x20E 0x07 0x01)</t>
  </si>
  <si>
    <t>analog (left_hand)</t>
  </si>
  <si>
    <t>[ANALOG-left_hand]</t>
  </si>
  <si>
    <t>Format 8</t>
  </si>
  <si>
    <t>Channels 16</t>
  </si>
  <si>
    <t>analog (right_arm)</t>
  </si>
  <si>
    <t>[ANALOG-right_arm]</t>
  </si>
  <si>
    <t>analog (right_hand)</t>
  </si>
  <si>
    <t>[ANALOG-right_hand]</t>
  </si>
  <si>
    <t xml:space="preserve"> //MAIS BOARD</t>
  </si>
  <si>
    <t>//STRAIN BOARD</t>
  </si>
  <si>
    <t>29/3/2010</t>
  </si>
  <si>
    <t>SpeedMessage (0x20E 0x08 0x03)</t>
  </si>
  <si>
    <t xml:space="preserve">Delta  </t>
  </si>
  <si>
    <t>Release: 0.6   added the information about the anolog input from the strain and mais board and I have changed the PID of the hands.</t>
  </si>
  <si>
    <t xml:space="preserve"> Position  Zero</t>
  </si>
  <si>
    <t>text</t>
  </si>
  <si>
    <t>value that can be changed by a SUPERUSER</t>
  </si>
  <si>
    <t>P</t>
  </si>
  <si>
    <t>D</t>
  </si>
  <si>
    <t>I</t>
  </si>
  <si>
    <t>Shift</t>
  </si>
  <si>
    <t>PWM limit</t>
  </si>
  <si>
    <t>Current limit</t>
  </si>
  <si>
    <t>D:\icub\app\iCubHertfordshire01\conf</t>
  </si>
  <si>
    <t>SpeedMessage (0x20E 0x08 0x0A)</t>
  </si>
</sst>
</file>

<file path=xl/styles.xml><?xml version="1.0" encoding="utf-8"?>
<styleSheet xmlns="http://schemas.openxmlformats.org/spreadsheetml/2006/main">
  <numFmts count="2">
    <numFmt numFmtId="164" formatCode="0.0"/>
    <numFmt numFmtId="165" formatCode="0.000"/>
  </numFmts>
  <fonts count="27"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20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i/>
      <sz val="11"/>
      <color indexed="23"/>
      <name val="Calibri"/>
      <family val="2"/>
    </font>
    <font>
      <sz val="11"/>
      <color indexed="17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sz val="11"/>
      <color indexed="62"/>
      <name val="Calibri"/>
      <family val="2"/>
    </font>
    <font>
      <sz val="11"/>
      <color indexed="52"/>
      <name val="Calibri"/>
      <family val="2"/>
    </font>
    <font>
      <sz val="11"/>
      <color indexed="60"/>
      <name val="Calibri"/>
      <family val="2"/>
    </font>
    <font>
      <b/>
      <sz val="11"/>
      <color indexed="63"/>
      <name val="Calibri"/>
      <family val="2"/>
    </font>
    <font>
      <b/>
      <sz val="18"/>
      <color indexed="56"/>
      <name val="Cambria"/>
      <family val="2"/>
    </font>
    <font>
      <b/>
      <sz val="11"/>
      <color indexed="8"/>
      <name val="Calibri"/>
      <family val="2"/>
    </font>
    <font>
      <sz val="11"/>
      <color indexed="10"/>
      <name val="Calibri"/>
      <family val="2"/>
    </font>
    <font>
      <b/>
      <sz val="16"/>
      <color indexed="8"/>
      <name val="Calibri"/>
      <family val="2"/>
    </font>
    <font>
      <b/>
      <sz val="16"/>
      <color indexed="10"/>
      <name val="Calibri"/>
      <family val="2"/>
    </font>
    <font>
      <sz val="14"/>
      <color indexed="8"/>
      <name val="Calibri"/>
      <family val="2"/>
    </font>
    <font>
      <b/>
      <sz val="14"/>
      <name val="Times New Roman"/>
      <family val="1"/>
    </font>
    <font>
      <b/>
      <i/>
      <sz val="14"/>
      <name val="Times New Roman"/>
      <family val="1"/>
    </font>
    <font>
      <b/>
      <sz val="11"/>
      <color indexed="20"/>
      <name val="Calibri"/>
      <family val="2"/>
    </font>
    <font>
      <sz val="14"/>
      <name val="Calibri"/>
      <family val="2"/>
    </font>
    <font>
      <b/>
      <sz val="14"/>
      <name val="Calibri"/>
      <family val="2"/>
    </font>
    <font>
      <sz val="11"/>
      <color indexed="8"/>
      <name val="Calibri"/>
      <family val="2"/>
    </font>
    <font>
      <sz val="14"/>
      <name val="Calibri"/>
      <family val="2"/>
      <scheme val="minor"/>
    </font>
  </fonts>
  <fills count="37">
    <fill>
      <patternFill patternType="none"/>
    </fill>
    <fill>
      <patternFill patternType="gray125"/>
    </fill>
    <fill>
      <patternFill patternType="solid">
        <fgColor indexed="31"/>
        <bgColor indexed="22"/>
      </patternFill>
    </fill>
    <fill>
      <patternFill patternType="solid">
        <fgColor indexed="45"/>
        <bgColor indexed="29"/>
      </patternFill>
    </fill>
    <fill>
      <patternFill patternType="solid">
        <fgColor indexed="42"/>
        <bgColor indexed="27"/>
      </patternFill>
    </fill>
    <fill>
      <patternFill patternType="solid">
        <fgColor indexed="46"/>
        <bgColor indexed="24"/>
      </patternFill>
    </fill>
    <fill>
      <patternFill patternType="solid">
        <fgColor indexed="27"/>
        <bgColor indexed="41"/>
      </patternFill>
    </fill>
    <fill>
      <patternFill patternType="solid">
        <fgColor indexed="47"/>
        <bgColor indexed="22"/>
      </patternFill>
    </fill>
    <fill>
      <patternFill patternType="solid">
        <fgColor indexed="44"/>
        <bgColor indexed="31"/>
      </patternFill>
    </fill>
    <fill>
      <patternFill patternType="solid">
        <fgColor indexed="29"/>
        <bgColor indexed="45"/>
      </patternFill>
    </fill>
    <fill>
      <patternFill patternType="solid">
        <fgColor indexed="11"/>
        <bgColor indexed="49"/>
      </patternFill>
    </fill>
    <fill>
      <patternFill patternType="solid">
        <fgColor indexed="51"/>
        <bgColor indexed="13"/>
      </patternFill>
    </fill>
    <fill>
      <patternFill patternType="solid">
        <fgColor indexed="30"/>
        <bgColor indexed="21"/>
      </patternFill>
    </fill>
    <fill>
      <patternFill patternType="solid">
        <fgColor indexed="20"/>
        <bgColor indexed="36"/>
      </patternFill>
    </fill>
    <fill>
      <patternFill patternType="solid">
        <fgColor indexed="49"/>
        <bgColor indexed="40"/>
      </patternFill>
    </fill>
    <fill>
      <patternFill patternType="solid">
        <fgColor indexed="52"/>
        <bgColor indexed="51"/>
      </patternFill>
    </fill>
    <fill>
      <patternFill patternType="solid">
        <fgColor indexed="62"/>
        <bgColor indexed="56"/>
      </patternFill>
    </fill>
    <fill>
      <patternFill patternType="solid">
        <fgColor indexed="10"/>
        <bgColor indexed="60"/>
      </patternFill>
    </fill>
    <fill>
      <patternFill patternType="solid">
        <fgColor indexed="57"/>
        <bgColor indexed="21"/>
      </patternFill>
    </fill>
    <fill>
      <patternFill patternType="solid">
        <fgColor indexed="53"/>
        <bgColor indexed="52"/>
      </patternFill>
    </fill>
    <fill>
      <patternFill patternType="solid">
        <fgColor indexed="22"/>
        <bgColor indexed="31"/>
      </patternFill>
    </fill>
    <fill>
      <patternFill patternType="solid">
        <fgColor indexed="55"/>
        <bgColor indexed="23"/>
      </patternFill>
    </fill>
    <fill>
      <patternFill patternType="solid">
        <fgColor indexed="43"/>
        <bgColor indexed="26"/>
      </patternFill>
    </fill>
    <fill>
      <patternFill patternType="solid">
        <fgColor indexed="26"/>
        <bgColor indexed="9"/>
      </patternFill>
    </fill>
    <fill>
      <patternFill patternType="solid">
        <fgColor indexed="9"/>
        <bgColor indexed="26"/>
      </patternFill>
    </fill>
    <fill>
      <patternFill patternType="solid">
        <fgColor indexed="13"/>
        <bgColor indexed="34"/>
      </patternFill>
    </fill>
    <fill>
      <patternFill patternType="solid">
        <fgColor rgb="FFFFFF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FF00"/>
        <bgColor indexed="26"/>
      </patternFill>
    </fill>
    <fill>
      <patternFill patternType="solid">
        <fgColor theme="0"/>
        <bgColor indexed="49"/>
      </patternFill>
    </fill>
    <fill>
      <patternFill patternType="solid">
        <fgColor theme="0" tint="-0.249977111117893"/>
        <bgColor indexed="31"/>
      </patternFill>
    </fill>
    <fill>
      <patternFill patternType="solid">
        <fgColor rgb="FFFFC000"/>
        <bgColor indexed="60"/>
      </patternFill>
    </fill>
    <fill>
      <patternFill patternType="solid">
        <fgColor rgb="FFFFFF00"/>
        <bgColor indexed="60"/>
      </patternFill>
    </fill>
    <fill>
      <patternFill patternType="solid">
        <fgColor rgb="FFFF0000"/>
        <bgColor indexed="49"/>
      </patternFill>
    </fill>
    <fill>
      <patternFill patternType="solid">
        <fgColor rgb="FFFF0000"/>
        <bgColor indexed="26"/>
      </patternFill>
    </fill>
    <fill>
      <patternFill patternType="solid">
        <fgColor rgb="FFFFC000"/>
        <bgColor indexed="64"/>
      </patternFill>
    </fill>
    <fill>
      <patternFill patternType="solid">
        <fgColor theme="0"/>
        <bgColor indexed="60"/>
      </patternFill>
    </fill>
  </fills>
  <borders count="30">
    <border>
      <left/>
      <right/>
      <top/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/>
      <bottom style="double">
        <color indexed="5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/>
      <right style="medium">
        <color indexed="8"/>
      </right>
      <top style="medium">
        <color indexed="8"/>
      </top>
      <bottom style="medium">
        <color indexed="8"/>
      </bottom>
      <diagonal/>
    </border>
    <border>
      <left style="thin">
        <color indexed="8"/>
      </left>
      <right/>
      <top style="thin">
        <color indexed="8"/>
      </top>
      <bottom style="thin">
        <color indexed="8"/>
      </bottom>
      <diagonal/>
    </border>
    <border>
      <left style="hair">
        <color indexed="8"/>
      </left>
      <right style="hair">
        <color indexed="8"/>
      </right>
      <top style="hair">
        <color indexed="8"/>
      </top>
      <bottom style="hair">
        <color indexed="8"/>
      </bottom>
      <diagonal/>
    </border>
    <border>
      <left style="medium">
        <color indexed="8"/>
      </left>
      <right style="medium">
        <color indexed="8"/>
      </right>
      <top style="medium">
        <color indexed="8"/>
      </top>
      <bottom style="medium">
        <color indexed="8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8"/>
      </left>
      <right/>
      <top/>
      <bottom style="thin">
        <color indexed="8"/>
      </bottom>
      <diagonal/>
    </border>
    <border>
      <left style="thin">
        <color indexed="8"/>
      </left>
      <right/>
      <top style="thin">
        <color indexed="8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medium">
        <color indexed="8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</borders>
  <cellStyleXfs count="42">
    <xf numFmtId="0" fontId="0" fillId="0" borderId="0"/>
    <xf numFmtId="0" fontId="25" fillId="2" borderId="0" applyNumberFormat="0" applyBorder="0" applyAlignment="0" applyProtection="0"/>
    <xf numFmtId="0" fontId="25" fillId="3" borderId="0" applyNumberFormat="0" applyBorder="0" applyAlignment="0" applyProtection="0"/>
    <xf numFmtId="0" fontId="25" fillId="4" borderId="0" applyNumberFormat="0" applyBorder="0" applyAlignment="0" applyProtection="0"/>
    <xf numFmtId="0" fontId="25" fillId="5" borderId="0" applyNumberFormat="0" applyBorder="0" applyAlignment="0" applyProtection="0"/>
    <xf numFmtId="0" fontId="25" fillId="6" borderId="0" applyNumberFormat="0" applyBorder="0" applyAlignment="0" applyProtection="0"/>
    <xf numFmtId="0" fontId="25" fillId="7" borderId="0" applyNumberFormat="0" applyBorder="0" applyAlignment="0" applyProtection="0"/>
    <xf numFmtId="0" fontId="25" fillId="8" borderId="0" applyNumberFormat="0" applyBorder="0" applyAlignment="0" applyProtection="0"/>
    <xf numFmtId="0" fontId="25" fillId="9" borderId="0" applyNumberFormat="0" applyBorder="0" applyAlignment="0" applyProtection="0"/>
    <xf numFmtId="0" fontId="25" fillId="10" borderId="0" applyNumberFormat="0" applyBorder="0" applyAlignment="0" applyProtection="0"/>
    <xf numFmtId="0" fontId="25" fillId="5" borderId="0" applyNumberFormat="0" applyBorder="0" applyAlignment="0" applyProtection="0"/>
    <xf numFmtId="0" fontId="25" fillId="8" borderId="0" applyNumberFormat="0" applyBorder="0" applyAlignment="0" applyProtection="0"/>
    <xf numFmtId="0" fontId="25" fillId="11" borderId="0" applyNumberFormat="0" applyBorder="0" applyAlignment="0" applyProtection="0"/>
    <xf numFmtId="0" fontId="1" fillId="12" borderId="0" applyNumberFormat="0" applyBorder="0" applyAlignment="0" applyProtection="0"/>
    <xf numFmtId="0" fontId="1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9" borderId="0" applyNumberFormat="0" applyBorder="0" applyAlignment="0" applyProtection="0"/>
    <xf numFmtId="0" fontId="2" fillId="3" borderId="0" applyNumberFormat="0" applyBorder="0" applyAlignment="0" applyProtection="0"/>
    <xf numFmtId="0" fontId="3" fillId="20" borderId="1" applyNumberFormat="0" applyAlignment="0" applyProtection="0"/>
    <xf numFmtId="0" fontId="4" fillId="21" borderId="2" applyNumberFormat="0" applyAlignment="0" applyProtection="0"/>
    <xf numFmtId="0" fontId="5" fillId="0" borderId="0" applyNumberFormat="0" applyFill="0" applyBorder="0" applyAlignment="0" applyProtection="0"/>
    <xf numFmtId="0" fontId="6" fillId="4" borderId="0" applyNumberFormat="0" applyBorder="0" applyAlignment="0" applyProtection="0"/>
    <xf numFmtId="0" fontId="7" fillId="0" borderId="3" applyNumberFormat="0" applyFill="0" applyAlignment="0" applyProtection="0"/>
    <xf numFmtId="0" fontId="8" fillId="0" borderId="4" applyNumberFormat="0" applyFill="0" applyAlignment="0" applyProtection="0"/>
    <xf numFmtId="0" fontId="9" fillId="0" borderId="5" applyNumberFormat="0" applyFill="0" applyAlignment="0" applyProtection="0"/>
    <xf numFmtId="0" fontId="9" fillId="0" borderId="0" applyNumberFormat="0" applyFill="0" applyBorder="0" applyAlignment="0" applyProtection="0"/>
    <xf numFmtId="0" fontId="10" fillId="7" borderId="1" applyNumberFormat="0" applyAlignment="0" applyProtection="0"/>
    <xf numFmtId="0" fontId="11" fillId="0" borderId="6" applyNumberFormat="0" applyFill="0" applyAlignment="0" applyProtection="0"/>
    <xf numFmtId="0" fontId="12" fillId="22" borderId="0" applyNumberFormat="0" applyBorder="0" applyAlignment="0" applyProtection="0"/>
    <xf numFmtId="0" fontId="25" fillId="23" borderId="7" applyNumberFormat="0" applyAlignment="0" applyProtection="0"/>
    <xf numFmtId="0" fontId="13" fillId="20" borderId="8" applyNumberFormat="0" applyAlignment="0" applyProtection="0"/>
    <xf numFmtId="0" fontId="14" fillId="0" borderId="0" applyNumberFormat="0" applyFill="0" applyBorder="0" applyAlignment="0" applyProtection="0"/>
    <xf numFmtId="0" fontId="15" fillId="0" borderId="9" applyNumberFormat="0" applyFill="0" applyAlignment="0" applyProtection="0"/>
    <xf numFmtId="0" fontId="16" fillId="0" borderId="0" applyNumberFormat="0" applyFill="0" applyBorder="0" applyAlignment="0" applyProtection="0"/>
  </cellStyleXfs>
  <cellXfs count="82">
    <xf numFmtId="0" fontId="0" fillId="0" borderId="0" xfId="0"/>
    <xf numFmtId="0" fontId="0" fillId="24" borderId="0" xfId="0" applyFill="1"/>
    <xf numFmtId="0" fontId="16" fillId="0" borderId="0" xfId="0" applyFont="1"/>
    <xf numFmtId="0" fontId="0" fillId="0" borderId="0" xfId="0" applyFill="1"/>
    <xf numFmtId="0" fontId="23" fillId="0" borderId="0" xfId="0" applyFont="1" applyFill="1" applyBorder="1"/>
    <xf numFmtId="164" fontId="23" fillId="0" borderId="0" xfId="0" applyNumberFormat="1" applyFont="1" applyFill="1" applyBorder="1"/>
    <xf numFmtId="0" fontId="23" fillId="0" borderId="0" xfId="0" applyFont="1"/>
    <xf numFmtId="0" fontId="23" fillId="0" borderId="0" xfId="0" applyFont="1" applyFill="1"/>
    <xf numFmtId="164" fontId="23" fillId="0" borderId="0" xfId="0" applyNumberFormat="1" applyFont="1" applyBorder="1"/>
    <xf numFmtId="0" fontId="16" fillId="0" borderId="0" xfId="0" applyFont="1" applyFill="1"/>
    <xf numFmtId="0" fontId="15" fillId="0" borderId="0" xfId="0" applyFont="1" applyAlignment="1">
      <alignment horizontal="center"/>
    </xf>
    <xf numFmtId="0" fontId="0" fillId="10" borderId="12" xfId="0" applyFill="1" applyBorder="1"/>
    <xf numFmtId="0" fontId="0" fillId="25" borderId="12" xfId="0" applyFill="1" applyBorder="1"/>
    <xf numFmtId="0" fontId="0" fillId="17" borderId="12" xfId="0" applyFill="1" applyBorder="1"/>
    <xf numFmtId="0" fontId="0" fillId="0" borderId="12" xfId="0" applyBorder="1"/>
    <xf numFmtId="0" fontId="0" fillId="25" borderId="13" xfId="0" applyFont="1" applyFill="1" applyBorder="1"/>
    <xf numFmtId="0" fontId="0" fillId="25" borderId="10" xfId="0" applyFill="1" applyBorder="1" applyAlignment="1">
      <alignment horizontal="center"/>
    </xf>
    <xf numFmtId="0" fontId="0" fillId="0" borderId="0" xfId="0" applyFill="1" applyBorder="1"/>
    <xf numFmtId="0" fontId="0" fillId="0" borderId="0" xfId="0" applyBorder="1" applyAlignment="1">
      <alignment horizontal="center"/>
    </xf>
    <xf numFmtId="0" fontId="0" fillId="11" borderId="13" xfId="0" applyFont="1" applyFill="1" applyBorder="1"/>
    <xf numFmtId="0" fontId="0" fillId="11" borderId="10" xfId="0" applyFill="1" applyBorder="1"/>
    <xf numFmtId="0" fontId="0" fillId="0" borderId="0" xfId="0" applyNumberFormat="1"/>
    <xf numFmtId="0" fontId="22" fillId="3" borderId="11" xfId="25" applyNumberFormat="1" applyFont="1" applyBorder="1" applyAlignment="1" applyProtection="1">
      <alignment horizontal="center"/>
    </xf>
    <xf numFmtId="164" fontId="23" fillId="25" borderId="14" xfId="0" applyNumberFormat="1" applyFont="1" applyFill="1" applyBorder="1"/>
    <xf numFmtId="164" fontId="23" fillId="17" borderId="14" xfId="0" applyNumberFormat="1" applyFont="1" applyFill="1" applyBorder="1"/>
    <xf numFmtId="0" fontId="23" fillId="17" borderId="14" xfId="0" applyFont="1" applyFill="1" applyBorder="1"/>
    <xf numFmtId="0" fontId="22" fillId="3" borderId="15" xfId="25" applyNumberFormat="1" applyFont="1" applyBorder="1" applyAlignment="1" applyProtection="1">
      <alignment horizontal="center"/>
    </xf>
    <xf numFmtId="2" fontId="23" fillId="17" borderId="14" xfId="0" applyNumberFormat="1" applyFont="1" applyFill="1" applyBorder="1"/>
    <xf numFmtId="0" fontId="22" fillId="3" borderId="16" xfId="25" applyNumberFormat="1" applyFont="1" applyBorder="1" applyAlignment="1" applyProtection="1">
      <alignment horizontal="center"/>
    </xf>
    <xf numFmtId="0" fontId="22" fillId="0" borderId="0" xfId="25" applyNumberFormat="1" applyFont="1" applyFill="1" applyBorder="1" applyAlignment="1" applyProtection="1">
      <alignment horizontal="center"/>
    </xf>
    <xf numFmtId="0" fontId="22" fillId="0" borderId="16" xfId="25" applyNumberFormat="1" applyFont="1" applyFill="1" applyBorder="1" applyAlignment="1" applyProtection="1">
      <alignment horizontal="center"/>
    </xf>
    <xf numFmtId="164" fontId="23" fillId="0" borderId="14" xfId="0" applyNumberFormat="1" applyFont="1" applyFill="1" applyBorder="1"/>
    <xf numFmtId="0" fontId="23" fillId="0" borderId="14" xfId="0" applyFont="1" applyFill="1" applyBorder="1"/>
    <xf numFmtId="0" fontId="0" fillId="0" borderId="14" xfId="0" applyBorder="1"/>
    <xf numFmtId="2" fontId="0" fillId="0" borderId="0" xfId="0" applyNumberFormat="1"/>
    <xf numFmtId="0" fontId="19" fillId="26" borderId="18" xfId="0" applyFont="1" applyFill="1" applyBorder="1"/>
    <xf numFmtId="0" fontId="19" fillId="26" borderId="19" xfId="0" applyFont="1" applyFill="1" applyBorder="1"/>
    <xf numFmtId="0" fontId="19" fillId="26" borderId="20" xfId="0" applyFont="1" applyFill="1" applyBorder="1"/>
    <xf numFmtId="0" fontId="17" fillId="27" borderId="17" xfId="0" applyFont="1" applyFill="1" applyBorder="1"/>
    <xf numFmtId="0" fontId="17" fillId="8" borderId="0" xfId="0" applyFont="1" applyFill="1" applyBorder="1"/>
    <xf numFmtId="0" fontId="24" fillId="21" borderId="21" xfId="0" applyFont="1" applyFill="1" applyBorder="1" applyAlignment="1">
      <alignment horizontal="center" vertical="center" wrapText="1"/>
    </xf>
    <xf numFmtId="164" fontId="24" fillId="21" borderId="14" xfId="0" applyNumberFormat="1" applyFont="1" applyFill="1" applyBorder="1" applyAlignment="1">
      <alignment horizontal="center" vertical="center"/>
    </xf>
    <xf numFmtId="164" fontId="20" fillId="21" borderId="14" xfId="0" applyNumberFormat="1" applyFont="1" applyFill="1" applyBorder="1" applyAlignment="1">
      <alignment horizontal="center" vertical="center"/>
    </xf>
    <xf numFmtId="164" fontId="24" fillId="21" borderId="14" xfId="0" applyNumberFormat="1" applyFont="1" applyFill="1" applyBorder="1" applyAlignment="1">
      <alignment horizontal="center" vertical="center" wrapText="1"/>
    </xf>
    <xf numFmtId="0" fontId="23" fillId="10" borderId="14" xfId="0" applyFont="1" applyFill="1" applyBorder="1"/>
    <xf numFmtId="0" fontId="18" fillId="8" borderId="0" xfId="0" applyFont="1" applyFill="1" applyBorder="1"/>
    <xf numFmtId="0" fontId="17" fillId="8" borderId="21" xfId="0" applyFont="1" applyFill="1" applyBorder="1"/>
    <xf numFmtId="0" fontId="17" fillId="8" borderId="22" xfId="0" applyFont="1" applyFill="1" applyBorder="1"/>
    <xf numFmtId="0" fontId="18" fillId="8" borderId="22" xfId="0" applyFont="1" applyFill="1" applyBorder="1"/>
    <xf numFmtId="0" fontId="17" fillId="8" borderId="23" xfId="0" applyFont="1" applyFill="1" applyBorder="1"/>
    <xf numFmtId="0" fontId="23" fillId="29" borderId="14" xfId="0" applyFont="1" applyFill="1" applyBorder="1"/>
    <xf numFmtId="165" fontId="23" fillId="17" borderId="14" xfId="0" applyNumberFormat="1" applyFont="1" applyFill="1" applyBorder="1"/>
    <xf numFmtId="0" fontId="19" fillId="28" borderId="14" xfId="0" applyFont="1" applyFill="1" applyBorder="1"/>
    <xf numFmtId="0" fontId="17" fillId="8" borderId="24" xfId="0" applyFont="1" applyFill="1" applyBorder="1"/>
    <xf numFmtId="0" fontId="17" fillId="8" borderId="25" xfId="0" applyFont="1" applyFill="1" applyBorder="1"/>
    <xf numFmtId="0" fontId="18" fillId="8" borderId="25" xfId="0" applyFont="1" applyFill="1" applyBorder="1"/>
    <xf numFmtId="0" fontId="17" fillId="8" borderId="26" xfId="0" applyFont="1" applyFill="1" applyBorder="1"/>
    <xf numFmtId="0" fontId="23" fillId="0" borderId="14" xfId="0" applyFont="1" applyBorder="1"/>
    <xf numFmtId="164" fontId="23" fillId="0" borderId="14" xfId="0" applyNumberFormat="1" applyFont="1" applyBorder="1"/>
    <xf numFmtId="0" fontId="24" fillId="21" borderId="14" xfId="0" applyFont="1" applyFill="1" applyBorder="1" applyAlignment="1">
      <alignment horizontal="center" vertical="center"/>
    </xf>
    <xf numFmtId="0" fontId="23" fillId="25" borderId="27" xfId="0" applyFont="1" applyFill="1" applyBorder="1"/>
    <xf numFmtId="49" fontId="0" fillId="0" borderId="0" xfId="0" applyNumberFormat="1"/>
    <xf numFmtId="0" fontId="17" fillId="0" borderId="0" xfId="0" applyFont="1"/>
    <xf numFmtId="14" fontId="17" fillId="0" borderId="0" xfId="0" applyNumberFormat="1" applyFont="1"/>
    <xf numFmtId="2" fontId="0" fillId="0" borderId="0" xfId="0" applyNumberFormat="1" applyAlignment="1">
      <alignment horizontal="left"/>
    </xf>
    <xf numFmtId="0" fontId="17" fillId="30" borderId="0" xfId="0" applyFont="1" applyFill="1" applyBorder="1"/>
    <xf numFmtId="164" fontId="23" fillId="31" borderId="14" xfId="0" applyNumberFormat="1" applyFont="1" applyFill="1" applyBorder="1"/>
    <xf numFmtId="164" fontId="23" fillId="32" borderId="14" xfId="0" applyNumberFormat="1" applyFont="1" applyFill="1" applyBorder="1"/>
    <xf numFmtId="164" fontId="23" fillId="33" borderId="14" xfId="0" applyNumberFormat="1" applyFont="1" applyFill="1" applyBorder="1"/>
    <xf numFmtId="0" fontId="23" fillId="34" borderId="14" xfId="0" applyFont="1" applyFill="1" applyBorder="1"/>
    <xf numFmtId="0" fontId="0" fillId="35" borderId="0" xfId="0" applyFill="1"/>
    <xf numFmtId="0" fontId="23" fillId="31" borderId="14" xfId="0" applyFont="1" applyFill="1" applyBorder="1"/>
    <xf numFmtId="165" fontId="23" fillId="31" borderId="14" xfId="0" applyNumberFormat="1" applyFont="1" applyFill="1" applyBorder="1"/>
    <xf numFmtId="0" fontId="19" fillId="35" borderId="14" xfId="0" applyFont="1" applyFill="1" applyBorder="1"/>
    <xf numFmtId="0" fontId="23" fillId="35" borderId="14" xfId="0" applyFont="1" applyFill="1" applyBorder="1"/>
    <xf numFmtId="164" fontId="19" fillId="35" borderId="14" xfId="0" applyNumberFormat="1" applyFont="1" applyFill="1" applyBorder="1"/>
    <xf numFmtId="49" fontId="24" fillId="21" borderId="14" xfId="0" applyNumberFormat="1" applyFont="1" applyFill="1" applyBorder="1" applyAlignment="1">
      <alignment horizontal="center" vertical="center" wrapText="1"/>
    </xf>
    <xf numFmtId="164" fontId="23" fillId="36" borderId="14" xfId="0" applyNumberFormat="1" applyFont="1" applyFill="1" applyBorder="1"/>
    <xf numFmtId="164" fontId="24" fillId="21" borderId="28" xfId="0" applyNumberFormat="1" applyFont="1" applyFill="1" applyBorder="1" applyAlignment="1">
      <alignment horizontal="center" vertical="center"/>
    </xf>
    <xf numFmtId="164" fontId="26" fillId="26" borderId="14" xfId="0" applyNumberFormat="1" applyFont="1" applyFill="1" applyBorder="1"/>
    <xf numFmtId="164" fontId="26" fillId="26" borderId="29" xfId="0" applyNumberFormat="1" applyFont="1" applyFill="1" applyBorder="1"/>
    <xf numFmtId="0" fontId="26" fillId="26" borderId="14" xfId="0" applyFont="1" applyFill="1" applyBorder="1"/>
  </cellXfs>
  <cellStyles count="42">
    <cellStyle name="20% - Accent1" xfId="1" builtinId="30" customBuiltin="1"/>
    <cellStyle name="20% - Accent2" xfId="2" builtinId="34" customBuiltin="1"/>
    <cellStyle name="20% - Accent3" xfId="3" builtinId="38" customBuiltin="1"/>
    <cellStyle name="20% - Accent4" xfId="4" builtinId="42" customBuiltin="1"/>
    <cellStyle name="20% - Accent5" xfId="5" builtinId="46" customBuiltin="1"/>
    <cellStyle name="20% - Accent6" xfId="6" builtinId="50" customBuiltin="1"/>
    <cellStyle name="40% - Accent1" xfId="7" builtinId="31" customBuiltin="1"/>
    <cellStyle name="40% - Accent2" xfId="8" builtinId="35" customBuiltin="1"/>
    <cellStyle name="40% - Accent3" xfId="9" builtinId="39" customBuiltin="1"/>
    <cellStyle name="40% - Accent4" xfId="10" builtinId="43" customBuiltin="1"/>
    <cellStyle name="40% - Accent5" xfId="11" builtinId="47" customBuiltin="1"/>
    <cellStyle name="40% - Accent6" xfId="12" builtinId="51" customBuiltin="1"/>
    <cellStyle name="60% - Accent1" xfId="13" builtinId="32" customBuiltin="1"/>
    <cellStyle name="60% - Accent2" xfId="14" builtinId="36" customBuiltin="1"/>
    <cellStyle name="60% - Accent3" xfId="15" builtinId="40" customBuiltin="1"/>
    <cellStyle name="60% - Accent4" xfId="16" builtinId="44" customBuiltin="1"/>
    <cellStyle name="60% - Accent5" xfId="17" builtinId="48" customBuiltin="1"/>
    <cellStyle name="60% - Accent6" xfId="18" builtinId="52" customBuiltin="1"/>
    <cellStyle name="Accent1" xfId="19" builtinId="29" customBuiltin="1"/>
    <cellStyle name="Accent2" xfId="20" builtinId="33" customBuiltin="1"/>
    <cellStyle name="Accent3" xfId="21" builtinId="37" customBuiltin="1"/>
    <cellStyle name="Accent4" xfId="22" builtinId="41" customBuiltin="1"/>
    <cellStyle name="Accent5" xfId="23" builtinId="45" customBuiltin="1"/>
    <cellStyle name="Accent6" xfId="24" builtinId="49" customBuiltin="1"/>
    <cellStyle name="Bad" xfId="25" builtinId="27" customBuiltin="1"/>
    <cellStyle name="Calculation" xfId="26" builtinId="22" customBuiltin="1"/>
    <cellStyle name="Check Cell" xfId="27" builtinId="23" customBuiltin="1"/>
    <cellStyle name="Explanatory Text" xfId="28" builtinId="53" customBuiltin="1"/>
    <cellStyle name="Good" xfId="29" builtinId="26" customBuiltin="1"/>
    <cellStyle name="Heading 1" xfId="30" builtinId="16" customBuiltin="1"/>
    <cellStyle name="Heading 2" xfId="31" builtinId="17" customBuiltin="1"/>
    <cellStyle name="Heading 3" xfId="32" builtinId="18" customBuiltin="1"/>
    <cellStyle name="Heading 4" xfId="33" builtinId="19" customBuiltin="1"/>
    <cellStyle name="Input" xfId="34" builtinId="20" customBuiltin="1"/>
    <cellStyle name="Linked Cell" xfId="35" builtinId="24" customBuiltin="1"/>
    <cellStyle name="Neutral" xfId="36" builtinId="28" customBuiltin="1"/>
    <cellStyle name="Normal" xfId="0" builtinId="0"/>
    <cellStyle name="Note" xfId="37" builtinId="10" customBuiltin="1"/>
    <cellStyle name="Output" xfId="38" builtinId="21" customBuiltin="1"/>
    <cellStyle name="Title" xfId="39" builtinId="15" customBuiltin="1"/>
    <cellStyle name="Total" xfId="40" builtinId="25" customBuiltin="1"/>
    <cellStyle name="Warning Text" xfId="41" builtinId="11" customBuiltin="1"/>
  </cellStyles>
  <dxfs count="0"/>
  <tableStyles count="0" defaultTableStyle="TableStyleMedium9" defaultPivotStyle="PivotStyleLight16"/>
  <colors>
    <mruColors>
      <color rgb="FF00FF00"/>
    </mruColors>
  </colors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Y107"/>
  <sheetViews>
    <sheetView tabSelected="1" topLeftCell="A23" zoomScale="55" zoomScaleNormal="55" workbookViewId="0">
      <selection activeCell="H81" sqref="G81:H82"/>
    </sheetView>
  </sheetViews>
  <sheetFormatPr defaultRowHeight="15"/>
  <cols>
    <col min="1" max="1" width="6.85546875" customWidth="1"/>
    <col min="2" max="2" width="21.28515625" customWidth="1"/>
    <col min="3" max="3" width="11.5703125" style="1" customWidth="1"/>
    <col min="4" max="4" width="10.85546875" style="1" customWidth="1"/>
    <col min="5" max="5" width="16.7109375" style="2" customWidth="1"/>
    <col min="6" max="6" width="16.140625" style="2" customWidth="1"/>
    <col min="7" max="7" width="8.140625" customWidth="1"/>
    <col min="8" max="8" width="7.28515625" customWidth="1"/>
    <col min="9" max="9" width="8.140625" customWidth="1"/>
    <col min="10" max="10" width="10.5703125" bestFit="1" customWidth="1"/>
    <col min="11" max="11" width="16.140625" customWidth="1"/>
    <col min="12" max="12" width="15.85546875" customWidth="1"/>
    <col min="13" max="13" width="15.5703125" customWidth="1"/>
    <col min="14" max="14" width="14.5703125" customWidth="1"/>
    <col min="15" max="15" width="14.140625" customWidth="1"/>
    <col min="16" max="16" width="13.28515625" customWidth="1"/>
    <col min="17" max="18" width="16.140625" customWidth="1"/>
    <col min="19" max="19" width="13.5703125" customWidth="1"/>
    <col min="22" max="22" width="6.5703125" customWidth="1"/>
    <col min="24" max="24" width="16" customWidth="1"/>
    <col min="25" max="25" width="16.140625" customWidth="1"/>
  </cols>
  <sheetData>
    <row r="1" spans="1:25">
      <c r="C1" s="3"/>
      <c r="D1" s="3"/>
    </row>
    <row r="2" spans="1:25">
      <c r="C2" s="3"/>
      <c r="D2" s="3"/>
    </row>
    <row r="3" spans="1:25">
      <c r="C3" s="3"/>
      <c r="D3" s="3"/>
    </row>
    <row r="4" spans="1:25">
      <c r="C4" s="3"/>
      <c r="D4" s="3"/>
    </row>
    <row r="5" spans="1:25" ht="21.75" thickBot="1">
      <c r="B5" s="39" t="s">
        <v>0</v>
      </c>
      <c r="C5" s="39"/>
      <c r="D5" s="39"/>
      <c r="E5" s="45"/>
      <c r="F5" s="45"/>
      <c r="G5" s="39"/>
      <c r="H5" s="39"/>
      <c r="I5" s="39"/>
      <c r="J5" s="39"/>
      <c r="K5" s="39"/>
      <c r="L5" s="39"/>
      <c r="M5" s="39"/>
      <c r="N5" s="39"/>
      <c r="O5" s="39"/>
      <c r="P5" s="39"/>
      <c r="Q5" s="39"/>
      <c r="R5" s="39"/>
      <c r="S5" s="39"/>
      <c r="T5" s="39"/>
      <c r="U5" s="39"/>
      <c r="V5" s="39"/>
      <c r="W5" s="39"/>
      <c r="X5" s="39"/>
      <c r="Y5" s="39"/>
    </row>
    <row r="6" spans="1:25" ht="47.25" customHeight="1" thickBot="1">
      <c r="A6" s="40" t="s">
        <v>1</v>
      </c>
      <c r="B6" s="59" t="s">
        <v>2</v>
      </c>
      <c r="C6" s="41" t="s">
        <v>3</v>
      </c>
      <c r="D6" s="41" t="s">
        <v>4</v>
      </c>
      <c r="E6" s="42" t="s">
        <v>5</v>
      </c>
      <c r="F6" s="43" t="s">
        <v>162</v>
      </c>
      <c r="G6" s="41" t="s">
        <v>6</v>
      </c>
      <c r="H6" s="41" t="s">
        <v>7</v>
      </c>
      <c r="I6" s="41" t="s">
        <v>8</v>
      </c>
      <c r="J6" s="41" t="s">
        <v>9</v>
      </c>
      <c r="K6" s="41" t="s">
        <v>10</v>
      </c>
      <c r="L6" s="41" t="s">
        <v>11</v>
      </c>
      <c r="M6" s="41" t="s">
        <v>12</v>
      </c>
      <c r="N6" s="41" t="s">
        <v>13</v>
      </c>
      <c r="O6" s="76" t="s">
        <v>284</v>
      </c>
      <c r="P6" s="41" t="s">
        <v>250</v>
      </c>
      <c r="Q6" s="41" t="s">
        <v>206</v>
      </c>
      <c r="R6" s="41" t="s">
        <v>207</v>
      </c>
      <c r="S6" s="41" t="s">
        <v>282</v>
      </c>
      <c r="T6" s="41" t="s">
        <v>287</v>
      </c>
      <c r="U6" s="41" t="s">
        <v>288</v>
      </c>
      <c r="V6" s="41" t="s">
        <v>289</v>
      </c>
      <c r="W6" s="78" t="s">
        <v>290</v>
      </c>
      <c r="X6" s="78" t="s">
        <v>291</v>
      </c>
      <c r="Y6" s="78" t="s">
        <v>292</v>
      </c>
    </row>
    <row r="7" spans="1:25" ht="18.75">
      <c r="A7" s="26">
        <v>0</v>
      </c>
      <c r="B7" s="44" t="s">
        <v>14</v>
      </c>
      <c r="C7" s="79">
        <v>59.5</v>
      </c>
      <c r="D7" s="24">
        <v>180</v>
      </c>
      <c r="E7" s="68">
        <f>(ABS(C7)-ABS(D7))</f>
        <v>-120.5</v>
      </c>
      <c r="F7" s="68">
        <f>IF(E7&gt;=0,(E7*11.375),(360+E7)*11.375)</f>
        <v>2724.3125</v>
      </c>
      <c r="G7" s="73">
        <v>-30</v>
      </c>
      <c r="H7" s="73">
        <v>90</v>
      </c>
      <c r="I7" s="33"/>
      <c r="J7" s="33"/>
      <c r="K7" s="27">
        <v>11.375</v>
      </c>
      <c r="L7" s="71">
        <f>D7*K7</f>
        <v>2047.5</v>
      </c>
      <c r="M7" s="71">
        <v>10</v>
      </c>
      <c r="N7" s="66">
        <f>+F7</f>
        <v>2724.3125</v>
      </c>
      <c r="O7" s="66">
        <v>0</v>
      </c>
      <c r="P7" s="66">
        <v>10</v>
      </c>
      <c r="Q7" s="66">
        <v>0</v>
      </c>
      <c r="R7" s="66">
        <v>10</v>
      </c>
      <c r="S7" s="67">
        <v>0</v>
      </c>
      <c r="T7" s="66"/>
      <c r="U7" s="66"/>
      <c r="V7" s="66"/>
      <c r="W7" s="66"/>
      <c r="X7" s="66"/>
      <c r="Y7" s="66"/>
    </row>
    <row r="8" spans="1:25" ht="18.75">
      <c r="A8" s="22">
        <v>1</v>
      </c>
      <c r="B8" s="44" t="s">
        <v>15</v>
      </c>
      <c r="C8" s="79">
        <v>41.1</v>
      </c>
      <c r="D8" s="24">
        <v>180</v>
      </c>
      <c r="E8" s="68">
        <f t="shared" ref="E8:E18" si="0">(ABS(C8)-ABS(D8))</f>
        <v>-138.9</v>
      </c>
      <c r="F8" s="68">
        <f t="shared" ref="F8:F18" si="1">IF(E8&gt;=0,(E8*11.375),(360+E8)*11.375)</f>
        <v>2515.0124999999998</v>
      </c>
      <c r="G8" s="73">
        <v>0</v>
      </c>
      <c r="H8" s="73">
        <v>90</v>
      </c>
      <c r="I8" s="33"/>
      <c r="J8" s="33"/>
      <c r="K8" s="27">
        <v>11.375</v>
      </c>
      <c r="L8" s="71">
        <f t="shared" ref="L8:L18" si="2">D8*K8</f>
        <v>2047.5</v>
      </c>
      <c r="M8" s="71">
        <v>10</v>
      </c>
      <c r="N8" s="66">
        <f>F8</f>
        <v>2515.0124999999998</v>
      </c>
      <c r="O8" s="66">
        <v>0</v>
      </c>
      <c r="P8" s="66">
        <v>10</v>
      </c>
      <c r="Q8" s="66">
        <v>0</v>
      </c>
      <c r="R8" s="66">
        <v>10</v>
      </c>
      <c r="S8" s="67">
        <v>0</v>
      </c>
      <c r="T8" s="66"/>
      <c r="U8" s="66"/>
      <c r="V8" s="66"/>
      <c r="W8" s="66"/>
      <c r="X8" s="66"/>
      <c r="Y8" s="66"/>
    </row>
    <row r="9" spans="1:25" ht="18.75">
      <c r="A9" s="22">
        <v>2</v>
      </c>
      <c r="B9" s="44" t="s">
        <v>16</v>
      </c>
      <c r="C9" s="79">
        <v>280.7</v>
      </c>
      <c r="D9" s="24">
        <v>180</v>
      </c>
      <c r="E9" s="68">
        <f t="shared" si="0"/>
        <v>100.69999999999999</v>
      </c>
      <c r="F9" s="68">
        <f t="shared" si="1"/>
        <v>1145.4624999999999</v>
      </c>
      <c r="G9" s="73">
        <v>-80</v>
      </c>
      <c r="H9" s="73">
        <v>78</v>
      </c>
      <c r="I9" s="33"/>
      <c r="J9" s="33"/>
      <c r="K9" s="27">
        <v>11.375</v>
      </c>
      <c r="L9" s="71">
        <f t="shared" si="2"/>
        <v>2047.5</v>
      </c>
      <c r="M9" s="71">
        <v>10</v>
      </c>
      <c r="N9" s="66">
        <f t="shared" ref="N9:N18" si="3">+F9</f>
        <v>1145.4624999999999</v>
      </c>
      <c r="O9" s="66">
        <v>0</v>
      </c>
      <c r="P9" s="66">
        <v>10</v>
      </c>
      <c r="Q9" s="66">
        <v>0</v>
      </c>
      <c r="R9" s="66">
        <v>10</v>
      </c>
      <c r="S9" s="67">
        <v>0</v>
      </c>
      <c r="T9" s="66"/>
      <c r="U9" s="66"/>
      <c r="V9" s="66"/>
      <c r="W9" s="66"/>
      <c r="X9" s="66"/>
      <c r="Y9" s="66"/>
    </row>
    <row r="10" spans="1:25" ht="18.75">
      <c r="A10" s="22">
        <v>3</v>
      </c>
      <c r="B10" s="44" t="s">
        <v>17</v>
      </c>
      <c r="C10" s="79">
        <v>182.2</v>
      </c>
      <c r="D10" s="24">
        <v>180</v>
      </c>
      <c r="E10" s="68">
        <f t="shared" si="0"/>
        <v>2.1999999999999886</v>
      </c>
      <c r="F10" s="68">
        <f t="shared" si="1"/>
        <v>25.024999999999871</v>
      </c>
      <c r="G10" s="73">
        <v>-120</v>
      </c>
      <c r="H10" s="73">
        <v>0</v>
      </c>
      <c r="I10" s="33"/>
      <c r="J10" s="33"/>
      <c r="K10" s="27">
        <v>11.375</v>
      </c>
      <c r="L10" s="71">
        <f t="shared" si="2"/>
        <v>2047.5</v>
      </c>
      <c r="M10" s="71">
        <v>10</v>
      </c>
      <c r="N10" s="66">
        <f t="shared" si="3"/>
        <v>25.024999999999871</v>
      </c>
      <c r="O10" s="66">
        <v>0</v>
      </c>
      <c r="P10" s="66">
        <v>10</v>
      </c>
      <c r="Q10" s="66">
        <v>0</v>
      </c>
      <c r="R10" s="66">
        <v>10</v>
      </c>
      <c r="S10" s="67">
        <v>0</v>
      </c>
      <c r="T10" s="66"/>
      <c r="U10" s="66"/>
      <c r="V10" s="66"/>
      <c r="W10" s="66"/>
      <c r="X10" s="66"/>
      <c r="Y10" s="66"/>
    </row>
    <row r="11" spans="1:25" ht="18.75">
      <c r="A11" s="22">
        <v>4</v>
      </c>
      <c r="B11" s="44" t="s">
        <v>18</v>
      </c>
      <c r="C11" s="79">
        <v>215.5</v>
      </c>
      <c r="D11" s="24">
        <v>180</v>
      </c>
      <c r="E11" s="68">
        <f t="shared" si="0"/>
        <v>35.5</v>
      </c>
      <c r="F11" s="68">
        <f t="shared" si="1"/>
        <v>403.8125</v>
      </c>
      <c r="G11" s="73">
        <v>-20</v>
      </c>
      <c r="H11" s="73">
        <v>39</v>
      </c>
      <c r="I11" s="33"/>
      <c r="J11" s="33"/>
      <c r="K11" s="27">
        <v>11.375</v>
      </c>
      <c r="L11" s="71">
        <f t="shared" si="2"/>
        <v>2047.5</v>
      </c>
      <c r="M11" s="71">
        <v>10</v>
      </c>
      <c r="N11" s="66">
        <f t="shared" si="3"/>
        <v>403.8125</v>
      </c>
      <c r="O11" s="66">
        <v>0</v>
      </c>
      <c r="P11" s="66">
        <v>10</v>
      </c>
      <c r="Q11" s="66">
        <v>0</v>
      </c>
      <c r="R11" s="66">
        <v>10</v>
      </c>
      <c r="S11" s="67">
        <v>0</v>
      </c>
      <c r="T11" s="66"/>
      <c r="U11" s="66"/>
      <c r="V11" s="66"/>
      <c r="W11" s="66"/>
      <c r="X11" s="66"/>
      <c r="Y11" s="66"/>
    </row>
    <row r="12" spans="1:25" ht="18.75">
      <c r="A12" s="22">
        <v>5</v>
      </c>
      <c r="B12" s="44" t="s">
        <v>19</v>
      </c>
      <c r="C12" s="79">
        <v>222.7</v>
      </c>
      <c r="D12" s="24">
        <v>180</v>
      </c>
      <c r="E12" s="68">
        <f t="shared" si="0"/>
        <v>42.699999999999989</v>
      </c>
      <c r="F12" s="68">
        <f t="shared" si="1"/>
        <v>485.71249999999986</v>
      </c>
      <c r="G12" s="73">
        <v>-22</v>
      </c>
      <c r="H12" s="73">
        <v>22</v>
      </c>
      <c r="I12" s="33"/>
      <c r="J12" s="33"/>
      <c r="K12" s="27">
        <v>11.375</v>
      </c>
      <c r="L12" s="71">
        <f t="shared" si="2"/>
        <v>2047.5</v>
      </c>
      <c r="M12" s="71">
        <v>10</v>
      </c>
      <c r="N12" s="66">
        <f t="shared" si="3"/>
        <v>485.71249999999986</v>
      </c>
      <c r="O12" s="66">
        <v>0</v>
      </c>
      <c r="P12" s="66">
        <v>10</v>
      </c>
      <c r="Q12" s="66">
        <v>0</v>
      </c>
      <c r="R12" s="66">
        <v>10</v>
      </c>
      <c r="S12" s="67">
        <v>0</v>
      </c>
      <c r="T12" s="66"/>
      <c r="U12" s="66"/>
      <c r="V12" s="66"/>
      <c r="W12" s="66"/>
      <c r="X12" s="66"/>
      <c r="Y12" s="66"/>
    </row>
    <row r="13" spans="1:25" ht="18.75">
      <c r="A13" s="22">
        <v>6</v>
      </c>
      <c r="B13" s="44" t="s">
        <v>20</v>
      </c>
      <c r="C13" s="79">
        <v>-5.5</v>
      </c>
      <c r="D13" s="24">
        <v>-180</v>
      </c>
      <c r="E13" s="68">
        <f t="shared" si="0"/>
        <v>-174.5</v>
      </c>
      <c r="F13" s="68">
        <f t="shared" si="1"/>
        <v>2110.0625</v>
      </c>
      <c r="G13" s="73">
        <v>-30</v>
      </c>
      <c r="H13" s="73">
        <v>90</v>
      </c>
      <c r="I13" s="33"/>
      <c r="J13" s="33"/>
      <c r="K13" s="27">
        <v>-11.375</v>
      </c>
      <c r="L13" s="71">
        <f t="shared" si="2"/>
        <v>2047.5</v>
      </c>
      <c r="M13" s="71">
        <v>10</v>
      </c>
      <c r="N13" s="66">
        <f t="shared" si="3"/>
        <v>2110.0625</v>
      </c>
      <c r="O13" s="66">
        <v>0</v>
      </c>
      <c r="P13" s="66">
        <v>10</v>
      </c>
      <c r="Q13" s="66">
        <v>0</v>
      </c>
      <c r="R13" s="66">
        <v>10</v>
      </c>
      <c r="S13" s="67">
        <v>0</v>
      </c>
      <c r="T13" s="66"/>
      <c r="U13" s="66"/>
      <c r="V13" s="66"/>
      <c r="W13" s="66"/>
      <c r="X13" s="66"/>
      <c r="Y13" s="66"/>
    </row>
    <row r="14" spans="1:25" ht="18.75">
      <c r="A14" s="22">
        <v>7</v>
      </c>
      <c r="B14" s="44" t="s">
        <v>21</v>
      </c>
      <c r="C14" s="79">
        <v>-191.2</v>
      </c>
      <c r="D14" s="24">
        <v>-180</v>
      </c>
      <c r="E14" s="68">
        <f t="shared" si="0"/>
        <v>11.199999999999989</v>
      </c>
      <c r="F14" s="68">
        <f t="shared" si="1"/>
        <v>127.39999999999986</v>
      </c>
      <c r="G14" s="73">
        <v>0</v>
      </c>
      <c r="H14" s="73">
        <v>90</v>
      </c>
      <c r="I14" s="33"/>
      <c r="J14" s="33"/>
      <c r="K14" s="27">
        <v>-11.375</v>
      </c>
      <c r="L14" s="71">
        <f t="shared" si="2"/>
        <v>2047.5</v>
      </c>
      <c r="M14" s="71">
        <v>10</v>
      </c>
      <c r="N14" s="66">
        <f t="shared" si="3"/>
        <v>127.39999999999986</v>
      </c>
      <c r="O14" s="66">
        <v>0</v>
      </c>
      <c r="P14" s="66">
        <v>10</v>
      </c>
      <c r="Q14" s="66">
        <v>0</v>
      </c>
      <c r="R14" s="66">
        <v>10</v>
      </c>
      <c r="S14" s="67">
        <v>0</v>
      </c>
      <c r="T14" s="66"/>
      <c r="U14" s="66"/>
      <c r="V14" s="66"/>
      <c r="W14" s="66"/>
      <c r="X14" s="66"/>
      <c r="Y14" s="66"/>
    </row>
    <row r="15" spans="1:25" ht="18.75">
      <c r="A15" s="22">
        <v>8</v>
      </c>
      <c r="B15" s="44" t="s">
        <v>22</v>
      </c>
      <c r="C15" s="79">
        <v>-91.8</v>
      </c>
      <c r="D15" s="24">
        <v>-180</v>
      </c>
      <c r="E15" s="68">
        <f t="shared" si="0"/>
        <v>-88.2</v>
      </c>
      <c r="F15" s="68">
        <f t="shared" si="1"/>
        <v>3091.7249999999999</v>
      </c>
      <c r="G15" s="73">
        <v>-80</v>
      </c>
      <c r="H15" s="73">
        <v>78</v>
      </c>
      <c r="I15" s="33"/>
      <c r="J15" s="33"/>
      <c r="K15" s="27">
        <v>-11.375</v>
      </c>
      <c r="L15" s="71">
        <f t="shared" si="2"/>
        <v>2047.5</v>
      </c>
      <c r="M15" s="71">
        <v>10</v>
      </c>
      <c r="N15" s="66">
        <f t="shared" si="3"/>
        <v>3091.7249999999999</v>
      </c>
      <c r="O15" s="66">
        <v>0</v>
      </c>
      <c r="P15" s="66">
        <v>10</v>
      </c>
      <c r="Q15" s="66">
        <v>0</v>
      </c>
      <c r="R15" s="66">
        <v>10</v>
      </c>
      <c r="S15" s="67">
        <v>0</v>
      </c>
      <c r="T15" s="66"/>
      <c r="U15" s="66"/>
      <c r="V15" s="66"/>
      <c r="W15" s="66"/>
      <c r="X15" s="66"/>
      <c r="Y15" s="66"/>
    </row>
    <row r="16" spans="1:25" ht="18.75">
      <c r="A16" s="22">
        <v>9</v>
      </c>
      <c r="B16" s="44" t="s">
        <v>23</v>
      </c>
      <c r="C16" s="79">
        <v>-257.10000000000002</v>
      </c>
      <c r="D16" s="24">
        <v>-180</v>
      </c>
      <c r="E16" s="68">
        <f t="shared" si="0"/>
        <v>77.100000000000023</v>
      </c>
      <c r="F16" s="68">
        <f t="shared" si="1"/>
        <v>877.01250000000027</v>
      </c>
      <c r="G16" s="73">
        <v>-120</v>
      </c>
      <c r="H16" s="73">
        <v>0</v>
      </c>
      <c r="I16" s="33"/>
      <c r="J16" s="33"/>
      <c r="K16" s="27">
        <v>-11.375</v>
      </c>
      <c r="L16" s="71">
        <f t="shared" si="2"/>
        <v>2047.5</v>
      </c>
      <c r="M16" s="71">
        <v>10</v>
      </c>
      <c r="N16" s="66">
        <f t="shared" si="3"/>
        <v>877.01250000000027</v>
      </c>
      <c r="O16" s="66">
        <v>0</v>
      </c>
      <c r="P16" s="66">
        <v>10</v>
      </c>
      <c r="Q16" s="66">
        <v>0</v>
      </c>
      <c r="R16" s="66">
        <v>10</v>
      </c>
      <c r="S16" s="67">
        <v>0</v>
      </c>
      <c r="T16" s="66"/>
      <c r="U16" s="66"/>
      <c r="V16" s="66"/>
      <c r="W16" s="66"/>
      <c r="X16" s="66"/>
      <c r="Y16" s="66"/>
    </row>
    <row r="17" spans="1:25" ht="18.75">
      <c r="A17" s="22">
        <v>10</v>
      </c>
      <c r="B17" s="44" t="s">
        <v>24</v>
      </c>
      <c r="C17" s="79">
        <v>-348.7</v>
      </c>
      <c r="D17" s="24">
        <v>-180</v>
      </c>
      <c r="E17" s="68">
        <f t="shared" si="0"/>
        <v>168.7</v>
      </c>
      <c r="F17" s="68">
        <f t="shared" si="1"/>
        <v>1918.9624999999999</v>
      </c>
      <c r="G17" s="73">
        <v>-20</v>
      </c>
      <c r="H17" s="73">
        <v>39</v>
      </c>
      <c r="I17" s="33"/>
      <c r="J17" s="33"/>
      <c r="K17" s="27">
        <v>-11.375</v>
      </c>
      <c r="L17" s="71">
        <f t="shared" si="2"/>
        <v>2047.5</v>
      </c>
      <c r="M17" s="71">
        <v>10</v>
      </c>
      <c r="N17" s="66">
        <f t="shared" si="3"/>
        <v>1918.9624999999999</v>
      </c>
      <c r="O17" s="66">
        <v>0</v>
      </c>
      <c r="P17" s="66">
        <v>10</v>
      </c>
      <c r="Q17" s="66">
        <v>0</v>
      </c>
      <c r="R17" s="66">
        <v>10</v>
      </c>
      <c r="S17" s="67">
        <v>0</v>
      </c>
      <c r="T17" s="66"/>
      <c r="U17" s="66"/>
      <c r="V17" s="66"/>
      <c r="W17" s="66"/>
      <c r="X17" s="66"/>
      <c r="Y17" s="66"/>
    </row>
    <row r="18" spans="1:25" ht="18.75">
      <c r="A18" s="22">
        <v>11</v>
      </c>
      <c r="B18" s="44" t="s">
        <v>25</v>
      </c>
      <c r="C18" s="79">
        <v>-337.7</v>
      </c>
      <c r="D18" s="24">
        <v>-180</v>
      </c>
      <c r="E18" s="68">
        <f t="shared" si="0"/>
        <v>157.69999999999999</v>
      </c>
      <c r="F18" s="68">
        <f t="shared" si="1"/>
        <v>1793.8374999999999</v>
      </c>
      <c r="G18" s="73">
        <v>-22</v>
      </c>
      <c r="H18" s="73">
        <v>22</v>
      </c>
      <c r="I18" s="33"/>
      <c r="J18" s="33"/>
      <c r="K18" s="27">
        <v>-11.375</v>
      </c>
      <c r="L18" s="71">
        <f t="shared" si="2"/>
        <v>2047.5</v>
      </c>
      <c r="M18" s="71">
        <v>10</v>
      </c>
      <c r="N18" s="66">
        <f t="shared" si="3"/>
        <v>1793.8374999999999</v>
      </c>
      <c r="O18" s="66">
        <v>0</v>
      </c>
      <c r="P18" s="66">
        <v>10</v>
      </c>
      <c r="Q18" s="66">
        <v>0</v>
      </c>
      <c r="R18" s="66">
        <v>10</v>
      </c>
      <c r="S18" s="67">
        <v>0</v>
      </c>
      <c r="T18" s="66"/>
      <c r="U18" s="66"/>
      <c r="V18" s="66"/>
      <c r="W18" s="66"/>
      <c r="X18" s="66"/>
      <c r="Y18" s="66"/>
    </row>
    <row r="19" spans="1:25" ht="18.75">
      <c r="B19" s="4"/>
      <c r="C19" s="5"/>
      <c r="D19" s="5"/>
      <c r="E19" s="5"/>
      <c r="F19" s="5"/>
      <c r="G19" s="6"/>
      <c r="H19" s="5"/>
      <c r="I19" s="5"/>
      <c r="J19" s="6"/>
      <c r="K19" s="6"/>
      <c r="L19" s="6"/>
      <c r="M19" s="6"/>
      <c r="N19" s="5"/>
      <c r="O19" s="5"/>
      <c r="P19" s="5"/>
    </row>
    <row r="20" spans="1:25" ht="18.75">
      <c r="B20" s="4"/>
      <c r="C20" s="5"/>
      <c r="D20" s="5"/>
      <c r="E20" s="5"/>
      <c r="F20" s="5"/>
      <c r="G20" s="6"/>
      <c r="H20" s="5"/>
      <c r="I20" s="5"/>
      <c r="J20" s="6"/>
      <c r="K20" s="6"/>
      <c r="L20" s="6"/>
      <c r="M20" s="6"/>
      <c r="N20" s="5"/>
      <c r="O20" s="5"/>
      <c r="P20" s="5"/>
    </row>
    <row r="21" spans="1:25" ht="18.75">
      <c r="B21" s="4"/>
      <c r="C21" s="5"/>
      <c r="D21" s="5"/>
      <c r="E21" s="5"/>
      <c r="F21" s="5"/>
      <c r="G21" s="6"/>
      <c r="H21" s="5"/>
      <c r="I21" s="5"/>
      <c r="J21" s="6"/>
      <c r="K21" s="6"/>
      <c r="L21" s="6"/>
      <c r="M21" s="6"/>
      <c r="N21" s="5"/>
      <c r="O21" s="5"/>
      <c r="P21" s="5"/>
    </row>
    <row r="22" spans="1:25" ht="21">
      <c r="B22" s="39" t="s">
        <v>26</v>
      </c>
      <c r="C22" s="39"/>
      <c r="D22" s="39"/>
      <c r="E22" s="45"/>
      <c r="F22" s="45"/>
      <c r="G22" s="39"/>
      <c r="H22" s="39"/>
      <c r="I22" s="39"/>
      <c r="J22" s="39"/>
      <c r="K22" s="39"/>
      <c r="L22" s="39"/>
      <c r="M22" s="39"/>
      <c r="N22" s="39"/>
      <c r="O22" s="39"/>
      <c r="P22" s="39"/>
      <c r="Q22" s="39"/>
      <c r="R22" s="39"/>
      <c r="S22" s="39"/>
      <c r="T22" s="39"/>
      <c r="U22" s="39"/>
      <c r="V22" s="39"/>
      <c r="W22" s="39"/>
      <c r="X22" s="39"/>
      <c r="Y22" s="39"/>
    </row>
    <row r="23" spans="1:25" ht="48" customHeight="1">
      <c r="A23" s="76" t="s">
        <v>1</v>
      </c>
      <c r="B23" s="76" t="s">
        <v>2</v>
      </c>
      <c r="C23" s="76" t="s">
        <v>27</v>
      </c>
      <c r="D23" s="76" t="s">
        <v>4</v>
      </c>
      <c r="E23" s="76" t="s">
        <v>5</v>
      </c>
      <c r="F23" s="76" t="s">
        <v>162</v>
      </c>
      <c r="G23" s="76" t="s">
        <v>6</v>
      </c>
      <c r="H23" s="76" t="s">
        <v>7</v>
      </c>
      <c r="I23" s="76" t="s">
        <v>8</v>
      </c>
      <c r="J23" s="76" t="s">
        <v>9</v>
      </c>
      <c r="K23" s="76" t="s">
        <v>10</v>
      </c>
      <c r="L23" s="76" t="s">
        <v>11</v>
      </c>
      <c r="M23" s="76" t="s">
        <v>12</v>
      </c>
      <c r="N23" s="76" t="s">
        <v>13</v>
      </c>
      <c r="O23" s="76" t="s">
        <v>249</v>
      </c>
      <c r="P23" s="76" t="s">
        <v>250</v>
      </c>
      <c r="Q23" s="76" t="s">
        <v>206</v>
      </c>
      <c r="R23" s="76" t="s">
        <v>207</v>
      </c>
      <c r="S23" s="76" t="s">
        <v>282</v>
      </c>
      <c r="T23" s="41" t="s">
        <v>287</v>
      </c>
      <c r="U23" s="41" t="s">
        <v>288</v>
      </c>
      <c r="V23" s="41" t="s">
        <v>289</v>
      </c>
      <c r="W23" s="78" t="s">
        <v>290</v>
      </c>
      <c r="X23" s="78" t="s">
        <v>291</v>
      </c>
      <c r="Y23" s="78" t="s">
        <v>292</v>
      </c>
    </row>
    <row r="24" spans="1:25" ht="18.75">
      <c r="A24" s="26">
        <v>0</v>
      </c>
      <c r="B24" s="44" t="s">
        <v>28</v>
      </c>
      <c r="C24" s="31"/>
      <c r="D24" s="24">
        <v>40</v>
      </c>
      <c r="E24" s="31"/>
      <c r="F24" s="31"/>
      <c r="G24" s="73">
        <v>-39</v>
      </c>
      <c r="H24" s="73">
        <v>24</v>
      </c>
      <c r="I24" s="32"/>
      <c r="J24" s="32"/>
      <c r="K24" s="25">
        <v>-1951.29</v>
      </c>
      <c r="L24" s="71">
        <v>500</v>
      </c>
      <c r="M24" s="66">
        <v>20</v>
      </c>
      <c r="N24" s="66">
        <v>0</v>
      </c>
      <c r="O24" s="66">
        <v>0</v>
      </c>
      <c r="P24" s="66">
        <v>10</v>
      </c>
      <c r="Q24" s="66">
        <v>-40</v>
      </c>
      <c r="R24" s="66">
        <v>10</v>
      </c>
      <c r="S24" s="67">
        <v>0</v>
      </c>
      <c r="T24" s="66"/>
      <c r="U24" s="66"/>
      <c r="V24" s="66"/>
      <c r="W24" s="66"/>
      <c r="X24" s="66"/>
      <c r="Y24" s="66"/>
    </row>
    <row r="25" spans="1:25" ht="18.75">
      <c r="A25" s="22">
        <v>1</v>
      </c>
      <c r="B25" s="44" t="s">
        <v>29</v>
      </c>
      <c r="C25" s="31"/>
      <c r="D25" s="24">
        <v>47</v>
      </c>
      <c r="E25" s="31"/>
      <c r="F25" s="31"/>
      <c r="G25" s="74">
        <v>-47</v>
      </c>
      <c r="H25" s="73">
        <v>47</v>
      </c>
      <c r="I25" s="32"/>
      <c r="J25" s="32"/>
      <c r="K25" s="25">
        <v>-1951.29</v>
      </c>
      <c r="L25" s="71">
        <v>1000</v>
      </c>
      <c r="M25" s="66">
        <v>20</v>
      </c>
      <c r="N25" s="66">
        <f t="shared" ref="N25:N32" si="4">+F25</f>
        <v>0</v>
      </c>
      <c r="O25" s="66">
        <v>0</v>
      </c>
      <c r="P25" s="66">
        <v>10</v>
      </c>
      <c r="Q25" s="66">
        <v>0</v>
      </c>
      <c r="R25" s="66">
        <v>10</v>
      </c>
      <c r="S25" s="67">
        <v>0</v>
      </c>
      <c r="T25" s="66"/>
      <c r="U25" s="66"/>
      <c r="V25" s="66"/>
      <c r="W25" s="66"/>
      <c r="X25" s="66"/>
      <c r="Y25" s="66"/>
    </row>
    <row r="26" spans="1:25" ht="18.75">
      <c r="A26" s="22">
        <v>2</v>
      </c>
      <c r="B26" s="44" t="s">
        <v>30</v>
      </c>
      <c r="C26" s="31"/>
      <c r="D26" s="24">
        <v>55.45</v>
      </c>
      <c r="E26" s="31"/>
      <c r="F26" s="31"/>
      <c r="G26" s="73">
        <v>-52</v>
      </c>
      <c r="H26" s="73">
        <v>52</v>
      </c>
      <c r="I26" s="32"/>
      <c r="J26" s="32"/>
      <c r="K26" s="25">
        <v>-1399.46</v>
      </c>
      <c r="L26" s="71">
        <v>900</v>
      </c>
      <c r="M26" s="66">
        <v>20</v>
      </c>
      <c r="N26" s="66">
        <f t="shared" si="4"/>
        <v>0</v>
      </c>
      <c r="O26" s="66">
        <v>0</v>
      </c>
      <c r="P26" s="66">
        <v>10</v>
      </c>
      <c r="Q26" s="66">
        <v>0</v>
      </c>
      <c r="R26" s="66">
        <v>10</v>
      </c>
      <c r="S26" s="67">
        <v>0</v>
      </c>
      <c r="T26" s="66"/>
      <c r="U26" s="66"/>
      <c r="V26" s="66"/>
      <c r="W26" s="66"/>
      <c r="X26" s="66"/>
      <c r="Y26" s="66"/>
    </row>
    <row r="27" spans="1:25" ht="18.75">
      <c r="A27" s="22">
        <v>3</v>
      </c>
      <c r="B27" s="44" t="s">
        <v>31</v>
      </c>
      <c r="C27" s="31"/>
      <c r="D27" s="24">
        <v>-38.4</v>
      </c>
      <c r="E27" s="31"/>
      <c r="F27" s="31"/>
      <c r="G27" s="73">
        <v>-44</v>
      </c>
      <c r="H27" s="73">
        <v>19</v>
      </c>
      <c r="I27" s="32"/>
      <c r="J27" s="32"/>
      <c r="K27" s="25">
        <v>-1093.33</v>
      </c>
      <c r="L27" s="71">
        <v>600</v>
      </c>
      <c r="M27" s="66">
        <v>-20</v>
      </c>
      <c r="N27" s="66">
        <f t="shared" si="4"/>
        <v>0</v>
      </c>
      <c r="O27" s="66">
        <v>0</v>
      </c>
      <c r="P27" s="66">
        <v>10</v>
      </c>
      <c r="Q27" s="66">
        <v>0</v>
      </c>
      <c r="R27" s="66">
        <v>10</v>
      </c>
      <c r="S27" s="67">
        <v>0</v>
      </c>
      <c r="T27" s="66"/>
      <c r="U27" s="66"/>
      <c r="V27" s="66"/>
      <c r="W27" s="66"/>
      <c r="X27" s="66"/>
      <c r="Y27" s="66"/>
    </row>
    <row r="28" spans="1:25" ht="18.75">
      <c r="A28" s="22">
        <v>4</v>
      </c>
      <c r="B28" s="44" t="s">
        <v>32</v>
      </c>
      <c r="C28" s="31"/>
      <c r="D28" s="24">
        <v>47.35</v>
      </c>
      <c r="E28" s="31"/>
      <c r="F28" s="31"/>
      <c r="G28" s="73">
        <v>-30</v>
      </c>
      <c r="H28" s="73">
        <v>30</v>
      </c>
      <c r="I28" s="32"/>
      <c r="J28" s="32"/>
      <c r="K28" s="25">
        <v>-586.66</v>
      </c>
      <c r="L28" s="71">
        <v>500</v>
      </c>
      <c r="M28" s="66">
        <v>20</v>
      </c>
      <c r="N28" s="66">
        <f t="shared" si="4"/>
        <v>0</v>
      </c>
      <c r="O28" s="66">
        <v>0</v>
      </c>
      <c r="P28" s="66">
        <v>10</v>
      </c>
      <c r="Q28" s="66">
        <v>0</v>
      </c>
      <c r="R28" s="66">
        <v>10</v>
      </c>
      <c r="S28" s="67">
        <v>0</v>
      </c>
      <c r="T28" s="66"/>
      <c r="U28" s="66"/>
      <c r="V28" s="66"/>
      <c r="W28" s="66"/>
      <c r="X28" s="66"/>
      <c r="Y28" s="66"/>
    </row>
    <row r="29" spans="1:25" ht="18.75">
      <c r="A29" s="22">
        <v>5</v>
      </c>
      <c r="B29" s="44" t="s">
        <v>33</v>
      </c>
      <c r="C29" s="31"/>
      <c r="D29" s="24">
        <v>8.9600000000000009</v>
      </c>
      <c r="E29" s="31"/>
      <c r="F29" s="31"/>
      <c r="G29" s="73">
        <v>0</v>
      </c>
      <c r="H29" s="73">
        <v>50</v>
      </c>
      <c r="I29" s="32"/>
      <c r="J29" s="32"/>
      <c r="K29" s="25">
        <v>293.33</v>
      </c>
      <c r="L29" s="71">
        <v>500</v>
      </c>
      <c r="M29" s="66">
        <v>20</v>
      </c>
      <c r="N29" s="66">
        <f t="shared" si="4"/>
        <v>0</v>
      </c>
      <c r="O29" s="66">
        <v>0</v>
      </c>
      <c r="P29" s="66">
        <v>10</v>
      </c>
      <c r="Q29" s="66">
        <v>0</v>
      </c>
      <c r="R29" s="66">
        <v>10</v>
      </c>
      <c r="S29" s="67">
        <v>0</v>
      </c>
      <c r="T29" s="66"/>
      <c r="U29" s="66"/>
      <c r="V29" s="66"/>
      <c r="W29" s="66"/>
      <c r="X29" s="66"/>
      <c r="Y29" s="66"/>
    </row>
    <row r="30" spans="1:25" ht="18.75">
      <c r="A30" s="22">
        <v>6</v>
      </c>
      <c r="B30" s="44" t="s">
        <v>34</v>
      </c>
      <c r="C30" s="79">
        <v>150</v>
      </c>
      <c r="D30" s="24">
        <v>180</v>
      </c>
      <c r="E30" s="68">
        <f>(C30-D30)</f>
        <v>-30</v>
      </c>
      <c r="F30" s="68">
        <f>IF(E30&gt;=0,(E30*11.375),(360+E30)*11.375)</f>
        <v>3753.75</v>
      </c>
      <c r="G30" s="73">
        <v>-50</v>
      </c>
      <c r="H30" s="73">
        <v>50</v>
      </c>
      <c r="I30" s="32"/>
      <c r="J30" s="32"/>
      <c r="K30" s="25">
        <v>11.375</v>
      </c>
      <c r="L30" s="71">
        <f>D30*K30</f>
        <v>2047.5</v>
      </c>
      <c r="M30" s="71">
        <v>10</v>
      </c>
      <c r="N30" s="66">
        <f t="shared" si="4"/>
        <v>3753.75</v>
      </c>
      <c r="O30" s="66">
        <v>0</v>
      </c>
      <c r="P30" s="66">
        <v>10</v>
      </c>
      <c r="Q30" s="66">
        <v>0</v>
      </c>
      <c r="R30" s="66">
        <v>10</v>
      </c>
      <c r="S30" s="67">
        <v>0</v>
      </c>
      <c r="T30" s="66"/>
      <c r="U30" s="66"/>
      <c r="V30" s="66"/>
      <c r="W30" s="66"/>
      <c r="X30" s="66"/>
      <c r="Y30" s="66"/>
    </row>
    <row r="31" spans="1:25" ht="18.75">
      <c r="A31" s="22">
        <v>7</v>
      </c>
      <c r="B31" s="44" t="s">
        <v>35</v>
      </c>
      <c r="C31" s="79">
        <v>124</v>
      </c>
      <c r="D31" s="24">
        <v>180</v>
      </c>
      <c r="E31" s="68">
        <f>(C31-D31)</f>
        <v>-56</v>
      </c>
      <c r="F31" s="68">
        <f>IF(E31&gt;=0,(E31*11.375),(360+E31)*11.375)</f>
        <v>3458</v>
      </c>
      <c r="G31" s="73">
        <v>-30</v>
      </c>
      <c r="H31" s="73">
        <v>30</v>
      </c>
      <c r="I31" s="32"/>
      <c r="J31" s="32"/>
      <c r="K31" s="25">
        <v>11.375</v>
      </c>
      <c r="L31" s="71">
        <f>D31*K31</f>
        <v>2047.5</v>
      </c>
      <c r="M31" s="71">
        <v>10</v>
      </c>
      <c r="N31" s="66">
        <f t="shared" si="4"/>
        <v>3458</v>
      </c>
      <c r="O31" s="66">
        <v>0</v>
      </c>
      <c r="P31" s="66">
        <v>10</v>
      </c>
      <c r="Q31" s="66">
        <v>0</v>
      </c>
      <c r="R31" s="66">
        <v>10</v>
      </c>
      <c r="S31" s="67">
        <v>0</v>
      </c>
      <c r="T31" s="66"/>
      <c r="U31" s="66"/>
      <c r="V31" s="66"/>
      <c r="W31" s="66"/>
      <c r="X31" s="66"/>
      <c r="Y31" s="66"/>
    </row>
    <row r="32" spans="1:25" ht="19.5" thickBot="1">
      <c r="A32" s="28">
        <v>8</v>
      </c>
      <c r="B32" s="44" t="s">
        <v>36</v>
      </c>
      <c r="C32" s="80">
        <v>319.3</v>
      </c>
      <c r="D32" s="24">
        <v>180</v>
      </c>
      <c r="E32" s="68">
        <f>(C32-D32)</f>
        <v>139.30000000000001</v>
      </c>
      <c r="F32" s="68">
        <f>IF(E32&gt;=0,(E32*11.375),(360+E32)*11.375)</f>
        <v>1584.5375000000001</v>
      </c>
      <c r="G32" s="73">
        <v>-22</v>
      </c>
      <c r="H32" s="73">
        <v>70</v>
      </c>
      <c r="I32" s="32"/>
      <c r="J32" s="32"/>
      <c r="K32" s="25">
        <v>11.375</v>
      </c>
      <c r="L32" s="71">
        <f>D32*K32</f>
        <v>2047.5</v>
      </c>
      <c r="M32" s="71">
        <v>10</v>
      </c>
      <c r="N32" s="66">
        <f t="shared" si="4"/>
        <v>1584.5375000000001</v>
      </c>
      <c r="O32" s="66">
        <v>0</v>
      </c>
      <c r="P32" s="66">
        <v>10</v>
      </c>
      <c r="Q32" s="66">
        <v>-20</v>
      </c>
      <c r="R32" s="66">
        <v>10</v>
      </c>
      <c r="S32" s="67">
        <v>0</v>
      </c>
      <c r="T32" s="66"/>
      <c r="U32" s="66"/>
      <c r="V32" s="66"/>
      <c r="W32" s="66"/>
      <c r="X32" s="66"/>
      <c r="Y32" s="66"/>
    </row>
    <row r="33" spans="1:25" ht="18.75">
      <c r="A33" s="29"/>
      <c r="B33" s="4"/>
      <c r="C33" s="5"/>
      <c r="D33" s="5"/>
      <c r="E33" s="5"/>
      <c r="F33" s="5"/>
      <c r="G33" s="4"/>
      <c r="H33" s="4"/>
      <c r="I33" s="4"/>
      <c r="J33" s="4"/>
      <c r="K33" s="4"/>
      <c r="L33" s="4"/>
      <c r="M33" s="4"/>
      <c r="N33" s="6"/>
      <c r="O33" s="6"/>
      <c r="P33" s="6"/>
    </row>
    <row r="34" spans="1:25" ht="18.75">
      <c r="A34" s="29"/>
      <c r="B34" s="6"/>
      <c r="C34" s="7"/>
      <c r="D34" s="7"/>
      <c r="E34" s="6"/>
      <c r="F34" s="6"/>
      <c r="G34" s="6"/>
      <c r="H34" s="6"/>
      <c r="I34" s="6"/>
      <c r="J34" s="6"/>
      <c r="K34" s="6"/>
      <c r="L34" s="6"/>
      <c r="M34" s="6"/>
      <c r="N34" s="6"/>
      <c r="O34" s="6"/>
      <c r="P34" s="6"/>
    </row>
    <row r="35" spans="1:25" ht="21">
      <c r="A35" s="29"/>
      <c r="B35" s="39" t="s">
        <v>37</v>
      </c>
      <c r="C35" s="39"/>
      <c r="D35" s="39"/>
      <c r="E35" s="45"/>
      <c r="F35" s="45"/>
      <c r="G35" s="39"/>
      <c r="H35" s="39"/>
      <c r="I35" s="39"/>
      <c r="J35" s="39"/>
      <c r="K35" s="39"/>
      <c r="L35" s="39"/>
      <c r="M35" s="39"/>
      <c r="N35" s="39"/>
      <c r="O35" s="39"/>
      <c r="P35" s="39"/>
      <c r="Q35" s="39"/>
      <c r="R35" s="39"/>
      <c r="S35" s="39"/>
      <c r="T35" s="39"/>
      <c r="U35" s="39"/>
      <c r="V35" s="39"/>
      <c r="W35" s="39"/>
      <c r="X35" s="39"/>
      <c r="Y35" s="39"/>
    </row>
    <row r="36" spans="1:25" ht="39" customHeight="1">
      <c r="A36" s="76" t="s">
        <v>1</v>
      </c>
      <c r="B36" s="76" t="s">
        <v>2</v>
      </c>
      <c r="C36" s="76" t="s">
        <v>38</v>
      </c>
      <c r="D36" s="76" t="s">
        <v>4</v>
      </c>
      <c r="E36" s="76" t="s">
        <v>5</v>
      </c>
      <c r="F36" s="76" t="s">
        <v>162</v>
      </c>
      <c r="G36" s="76" t="s">
        <v>6</v>
      </c>
      <c r="H36" s="76" t="s">
        <v>7</v>
      </c>
      <c r="I36" s="76" t="s">
        <v>8</v>
      </c>
      <c r="J36" s="76" t="s">
        <v>9</v>
      </c>
      <c r="K36" s="76" t="s">
        <v>10</v>
      </c>
      <c r="L36" s="76" t="s">
        <v>11</v>
      </c>
      <c r="M36" s="76" t="s">
        <v>12</v>
      </c>
      <c r="N36" s="76" t="s">
        <v>13</v>
      </c>
      <c r="O36" s="76" t="s">
        <v>249</v>
      </c>
      <c r="P36" s="76" t="s">
        <v>250</v>
      </c>
      <c r="Q36" s="76" t="s">
        <v>206</v>
      </c>
      <c r="R36" s="76" t="s">
        <v>207</v>
      </c>
      <c r="S36" s="76" t="s">
        <v>282</v>
      </c>
      <c r="T36" s="41" t="s">
        <v>287</v>
      </c>
      <c r="U36" s="41" t="s">
        <v>288</v>
      </c>
      <c r="V36" s="41" t="s">
        <v>289</v>
      </c>
      <c r="W36" s="78" t="s">
        <v>290</v>
      </c>
      <c r="X36" s="78" t="s">
        <v>291</v>
      </c>
      <c r="Y36" s="78" t="s">
        <v>292</v>
      </c>
    </row>
    <row r="37" spans="1:25" ht="18.75">
      <c r="A37" s="26">
        <v>0</v>
      </c>
      <c r="B37" s="44" t="s">
        <v>39</v>
      </c>
      <c r="C37" s="79">
        <v>-288.39999999999998</v>
      </c>
      <c r="D37" s="24">
        <v>-180</v>
      </c>
      <c r="E37" s="68">
        <f>(ABS(C37)-ABS(D37))</f>
        <v>108.39999999999998</v>
      </c>
      <c r="F37" s="68">
        <f>IF(E37&gt;=0,(E37*11.375),(360+E37)*11.375)</f>
        <v>1233.0499999999997</v>
      </c>
      <c r="G37" s="73">
        <v>-95.5</v>
      </c>
      <c r="H37" s="73">
        <v>10</v>
      </c>
      <c r="I37" s="32"/>
      <c r="J37" s="33"/>
      <c r="K37" s="25">
        <v>-11.375</v>
      </c>
      <c r="L37" s="71">
        <f>(D37-30)*K37</f>
        <v>2388.75</v>
      </c>
      <c r="M37" s="71">
        <v>10</v>
      </c>
      <c r="N37" s="66">
        <f>+F37</f>
        <v>1233.0499999999997</v>
      </c>
      <c r="O37" s="66">
        <v>-30</v>
      </c>
      <c r="P37" s="66">
        <v>10</v>
      </c>
      <c r="Q37" s="66">
        <v>-30</v>
      </c>
      <c r="R37" s="66">
        <v>10</v>
      </c>
      <c r="S37" s="67">
        <v>4</v>
      </c>
      <c r="T37" s="66"/>
      <c r="U37" s="66"/>
      <c r="V37" s="66"/>
      <c r="W37" s="66"/>
      <c r="X37" s="66"/>
      <c r="Y37" s="66"/>
    </row>
    <row r="38" spans="1:25" ht="18.75">
      <c r="A38" s="22">
        <v>1</v>
      </c>
      <c r="B38" s="44" t="s">
        <v>40</v>
      </c>
      <c r="C38" s="79">
        <v>-165.3</v>
      </c>
      <c r="D38" s="24">
        <v>-315</v>
      </c>
      <c r="E38" s="68">
        <f>(ABS(C38)-ABS(D38))</f>
        <v>-149.69999999999999</v>
      </c>
      <c r="F38" s="68">
        <f>IF(E38&gt;=0,(E38*11.375),(360+E38)*11.375)</f>
        <v>2392.1624999999999</v>
      </c>
      <c r="G38" s="73">
        <v>0</v>
      </c>
      <c r="H38" s="73">
        <v>160.80000000000001</v>
      </c>
      <c r="I38" s="32"/>
      <c r="J38" s="32"/>
      <c r="K38" s="25">
        <v>-11.375</v>
      </c>
      <c r="L38" s="71">
        <f>K38*(D38+30)</f>
        <v>3241.875</v>
      </c>
      <c r="M38" s="71">
        <v>10</v>
      </c>
      <c r="N38" s="66">
        <f>+F38</f>
        <v>2392.1624999999999</v>
      </c>
      <c r="O38" s="66">
        <v>30</v>
      </c>
      <c r="P38" s="66">
        <v>10</v>
      </c>
      <c r="Q38" s="66">
        <v>30</v>
      </c>
      <c r="R38" s="66">
        <v>10</v>
      </c>
      <c r="S38" s="67">
        <v>4</v>
      </c>
      <c r="T38" s="66"/>
      <c r="U38" s="66"/>
      <c r="V38" s="66"/>
      <c r="W38" s="66"/>
      <c r="X38" s="66"/>
      <c r="Y38" s="66"/>
    </row>
    <row r="39" spans="1:25" ht="18.75">
      <c r="A39" s="22">
        <v>2</v>
      </c>
      <c r="B39" s="44" t="s">
        <v>41</v>
      </c>
      <c r="C39" s="79">
        <v>-463.6</v>
      </c>
      <c r="D39" s="24">
        <f>-L39/-K39</f>
        <v>24.257819103972956</v>
      </c>
      <c r="E39" s="69">
        <f>ABS((+C39/(40/65)-(C37-C38)/(40/65)))-ABS(180)</f>
        <v>373.31250000000011</v>
      </c>
      <c r="F39" s="69">
        <f>IF(E39&gt;=0,(E39*11.375),(360+E39)*11.375)</f>
        <v>4246.4296875000009</v>
      </c>
      <c r="G39" s="73">
        <v>-37</v>
      </c>
      <c r="H39" s="73">
        <v>80</v>
      </c>
      <c r="I39" s="32"/>
      <c r="J39" s="32"/>
      <c r="K39" s="25">
        <v>-11.375</v>
      </c>
      <c r="L39" s="72">
        <f>2047*40/65+((D37*K37)-(D38*K38))</f>
        <v>-275.93269230769238</v>
      </c>
      <c r="M39" s="71">
        <v>10</v>
      </c>
      <c r="N39" s="71">
        <f>F39</f>
        <v>4246.4296875000009</v>
      </c>
      <c r="O39" s="71">
        <v>0</v>
      </c>
      <c r="P39" s="66">
        <v>10</v>
      </c>
      <c r="Q39" s="71">
        <v>0</v>
      </c>
      <c r="R39" s="66">
        <v>10</v>
      </c>
      <c r="S39" s="67">
        <v>-17</v>
      </c>
      <c r="T39" s="66"/>
      <c r="U39" s="66"/>
      <c r="V39" s="66"/>
      <c r="W39" s="66"/>
      <c r="X39" s="66"/>
      <c r="Y39" s="66"/>
    </row>
    <row r="40" spans="1:25" ht="18.75">
      <c r="A40" s="22">
        <v>3</v>
      </c>
      <c r="B40" s="44" t="s">
        <v>42</v>
      </c>
      <c r="C40" s="79">
        <v>-219.3</v>
      </c>
      <c r="D40" s="24">
        <v>-180</v>
      </c>
      <c r="E40" s="68">
        <f>(ABS(C40)-ABS(D40))</f>
        <v>39.300000000000011</v>
      </c>
      <c r="F40" s="68">
        <f>IF(E40&gt;=0,(E40*11.375),(360+E40)*11.375)</f>
        <v>447.03750000000014</v>
      </c>
      <c r="G40" s="73">
        <v>15</v>
      </c>
      <c r="H40" s="73">
        <v>106</v>
      </c>
      <c r="I40" s="32"/>
      <c r="J40" s="32"/>
      <c r="K40" s="25">
        <v>-11.375</v>
      </c>
      <c r="L40" s="71">
        <v>1532</v>
      </c>
      <c r="M40" s="71">
        <v>10</v>
      </c>
      <c r="N40" s="66">
        <f>+F40</f>
        <v>447.03750000000014</v>
      </c>
      <c r="O40" s="66">
        <v>45</v>
      </c>
      <c r="P40" s="66">
        <v>10</v>
      </c>
      <c r="Q40" s="66">
        <v>45</v>
      </c>
      <c r="R40" s="66">
        <v>10</v>
      </c>
      <c r="S40" s="67">
        <v>0</v>
      </c>
      <c r="T40" s="66"/>
      <c r="U40" s="66"/>
      <c r="V40" s="66"/>
      <c r="W40" s="66"/>
      <c r="X40" s="66"/>
      <c r="Y40" s="66"/>
    </row>
    <row r="41" spans="1:25" ht="18.75">
      <c r="A41" s="22">
        <v>4</v>
      </c>
      <c r="B41" s="44" t="s">
        <v>43</v>
      </c>
      <c r="C41" s="31"/>
      <c r="D41" s="24">
        <v>90</v>
      </c>
      <c r="E41" s="31"/>
      <c r="F41" s="31"/>
      <c r="G41" s="73">
        <v>-90</v>
      </c>
      <c r="H41" s="73">
        <v>90</v>
      </c>
      <c r="I41" s="32"/>
      <c r="J41" s="32"/>
      <c r="K41" s="25">
        <f>-706.67</f>
        <v>-706.67</v>
      </c>
      <c r="L41" s="71">
        <v>600</v>
      </c>
      <c r="M41" s="71">
        <v>20</v>
      </c>
      <c r="N41" s="66">
        <v>0</v>
      </c>
      <c r="O41" s="66">
        <v>0</v>
      </c>
      <c r="P41" s="66">
        <v>30</v>
      </c>
      <c r="Q41" s="66">
        <v>0</v>
      </c>
      <c r="R41" s="66">
        <v>30</v>
      </c>
      <c r="S41" s="67">
        <v>0</v>
      </c>
      <c r="T41" s="66"/>
      <c r="U41" s="66"/>
      <c r="V41" s="66"/>
      <c r="W41" s="66"/>
      <c r="X41" s="66"/>
      <c r="Y41" s="66"/>
    </row>
    <row r="42" spans="1:25" ht="18.75">
      <c r="A42" s="22">
        <v>5</v>
      </c>
      <c r="B42" s="44" t="s">
        <v>44</v>
      </c>
      <c r="C42" s="31"/>
      <c r="D42" s="24">
        <v>-20</v>
      </c>
      <c r="E42" s="31"/>
      <c r="F42" s="31"/>
      <c r="G42" s="73">
        <v>-90</v>
      </c>
      <c r="H42" s="73">
        <v>0</v>
      </c>
      <c r="I42" s="32"/>
      <c r="J42" s="32"/>
      <c r="K42" s="25">
        <v>-978.46</v>
      </c>
      <c r="L42" s="71">
        <v>750</v>
      </c>
      <c r="M42" s="71">
        <v>-10</v>
      </c>
      <c r="N42" s="66">
        <v>0</v>
      </c>
      <c r="O42" s="66">
        <v>0</v>
      </c>
      <c r="P42" s="66">
        <v>30</v>
      </c>
      <c r="Q42" s="66">
        <v>0</v>
      </c>
      <c r="R42" s="66">
        <v>30</v>
      </c>
      <c r="S42" s="67">
        <v>-8</v>
      </c>
      <c r="T42" s="66"/>
      <c r="U42" s="66"/>
      <c r="V42" s="66"/>
      <c r="W42" s="66"/>
      <c r="X42" s="66"/>
      <c r="Y42" s="66"/>
    </row>
    <row r="43" spans="1:25" ht="18.75">
      <c r="A43" s="22">
        <v>6</v>
      </c>
      <c r="B43" s="44" t="s">
        <v>45</v>
      </c>
      <c r="C43" s="31"/>
      <c r="D43" s="24">
        <v>-52</v>
      </c>
      <c r="E43" s="31"/>
      <c r="F43" s="31"/>
      <c r="G43" s="73">
        <v>-20</v>
      </c>
      <c r="H43" s="73">
        <v>40</v>
      </c>
      <c r="I43" s="32"/>
      <c r="J43" s="32"/>
      <c r="K43" s="25">
        <v>-978.46</v>
      </c>
      <c r="L43" s="71">
        <v>750</v>
      </c>
      <c r="M43" s="71">
        <v>-10</v>
      </c>
      <c r="N43" s="66">
        <v>0</v>
      </c>
      <c r="O43" s="66">
        <v>0</v>
      </c>
      <c r="P43" s="66">
        <v>30</v>
      </c>
      <c r="Q43" s="66">
        <v>40</v>
      </c>
      <c r="R43" s="66">
        <v>30</v>
      </c>
      <c r="S43" s="67">
        <v>-6.4</v>
      </c>
      <c r="T43" s="66"/>
      <c r="U43" s="66"/>
      <c r="V43" s="66"/>
      <c r="W43" s="66"/>
      <c r="X43" s="66"/>
      <c r="Y43" s="66"/>
    </row>
    <row r="44" spans="1:25" ht="18.75">
      <c r="A44" s="22">
        <v>7</v>
      </c>
      <c r="B44" s="44" t="s">
        <v>46</v>
      </c>
      <c r="C44" s="31"/>
      <c r="D44" s="25">
        <f>IF(K44&gt;0,+I44/K44+G44,+I44/K44-G44)</f>
        <v>593.33333333333337</v>
      </c>
      <c r="E44" s="31"/>
      <c r="F44" s="31"/>
      <c r="G44" s="71">
        <v>0</v>
      </c>
      <c r="H44" s="71">
        <v>60</v>
      </c>
      <c r="I44" s="81">
        <v>1780</v>
      </c>
      <c r="J44" s="81">
        <v>1960</v>
      </c>
      <c r="K44" s="27">
        <f>(J44-I44)/(H44-G44)</f>
        <v>3</v>
      </c>
      <c r="L44" s="71">
        <f>ABS(+D44*K44)</f>
        <v>1780</v>
      </c>
      <c r="M44" s="71">
        <v>100</v>
      </c>
      <c r="N44" s="71">
        <v>0</v>
      </c>
      <c r="O44" s="71">
        <v>15</v>
      </c>
      <c r="P44" s="66">
        <v>100</v>
      </c>
      <c r="Q44" s="71">
        <v>15</v>
      </c>
      <c r="R44" s="66">
        <v>100</v>
      </c>
      <c r="S44" s="67">
        <v>0</v>
      </c>
      <c r="T44" s="66"/>
      <c r="U44" s="66"/>
      <c r="V44" s="66"/>
      <c r="W44" s="66"/>
      <c r="X44" s="66"/>
      <c r="Y44" s="66"/>
    </row>
    <row r="45" spans="1:25" ht="18.75">
      <c r="A45" s="30"/>
      <c r="B45" s="8"/>
      <c r="C45" s="5"/>
      <c r="D45" s="5"/>
      <c r="E45" s="8"/>
      <c r="F45" s="8"/>
      <c r="G45" s="6"/>
      <c r="H45" s="6"/>
      <c r="I45" s="6"/>
      <c r="J45" s="6"/>
      <c r="K45" s="6"/>
      <c r="L45" s="6"/>
      <c r="M45" s="6"/>
      <c r="N45" s="6"/>
      <c r="O45" s="6"/>
      <c r="P45" s="6"/>
    </row>
    <row r="46" spans="1:25" ht="21">
      <c r="B46" s="39" t="s">
        <v>47</v>
      </c>
      <c r="C46" s="39"/>
      <c r="D46" s="39"/>
      <c r="E46" s="45"/>
      <c r="F46" s="45"/>
      <c r="G46" s="39"/>
      <c r="H46" s="39"/>
      <c r="I46" s="39"/>
      <c r="J46" s="39"/>
      <c r="K46" s="39"/>
      <c r="L46" s="39"/>
      <c r="M46" s="39"/>
      <c r="N46" s="39"/>
      <c r="O46" s="39"/>
      <c r="P46" s="39"/>
      <c r="Q46" s="39"/>
      <c r="R46" s="39"/>
      <c r="S46" s="65"/>
      <c r="T46" s="39"/>
      <c r="U46" s="39"/>
      <c r="V46" s="39"/>
      <c r="W46" s="39"/>
      <c r="X46" s="39"/>
      <c r="Y46" s="39"/>
    </row>
    <row r="47" spans="1:25" ht="36.75" customHeight="1">
      <c r="A47" s="76" t="s">
        <v>1</v>
      </c>
      <c r="B47" s="76" t="s">
        <v>2</v>
      </c>
      <c r="C47" s="76" t="s">
        <v>38</v>
      </c>
      <c r="D47" s="76" t="s">
        <v>4</v>
      </c>
      <c r="E47" s="76" t="s">
        <v>5</v>
      </c>
      <c r="F47" s="76" t="s">
        <v>162</v>
      </c>
      <c r="G47" s="76" t="s">
        <v>6</v>
      </c>
      <c r="H47" s="76" t="s">
        <v>7</v>
      </c>
      <c r="I47" s="76" t="s">
        <v>8</v>
      </c>
      <c r="J47" s="76" t="s">
        <v>9</v>
      </c>
      <c r="K47" s="76" t="s">
        <v>10</v>
      </c>
      <c r="L47" s="76" t="s">
        <v>11</v>
      </c>
      <c r="M47" s="76" t="s">
        <v>12</v>
      </c>
      <c r="N47" s="76" t="s">
        <v>13</v>
      </c>
      <c r="O47" s="76" t="s">
        <v>249</v>
      </c>
      <c r="P47" s="76" t="s">
        <v>250</v>
      </c>
      <c r="Q47" s="76" t="s">
        <v>206</v>
      </c>
      <c r="R47" s="76" t="s">
        <v>207</v>
      </c>
      <c r="S47" s="76"/>
      <c r="T47" s="41" t="s">
        <v>287</v>
      </c>
      <c r="U47" s="41" t="s">
        <v>288</v>
      </c>
      <c r="V47" s="41" t="s">
        <v>289</v>
      </c>
      <c r="W47" s="78" t="s">
        <v>290</v>
      </c>
      <c r="X47" s="78" t="s">
        <v>291</v>
      </c>
      <c r="Y47" s="78" t="s">
        <v>292</v>
      </c>
    </row>
    <row r="48" spans="1:25" ht="18.75">
      <c r="A48" s="26">
        <v>0</v>
      </c>
      <c r="B48" s="44" t="s">
        <v>48</v>
      </c>
      <c r="C48" s="31"/>
      <c r="D48" s="27">
        <f>IF(K48&gt;0,+I48/K48-G48,+I48/K48-G48)</f>
        <v>19.033683048039755</v>
      </c>
      <c r="E48" s="31"/>
      <c r="F48" s="31"/>
      <c r="G48" s="71">
        <v>0</v>
      </c>
      <c r="H48" s="71">
        <v>90</v>
      </c>
      <c r="I48" s="81">
        <v>383</v>
      </c>
      <c r="J48" s="81">
        <v>2194</v>
      </c>
      <c r="K48" s="27">
        <f t="shared" ref="K48:K54" si="5">(J48-I48)/(H48-G48)</f>
        <v>20.122222222222224</v>
      </c>
      <c r="L48" s="71">
        <f>ABS(D48*K48)</f>
        <v>383</v>
      </c>
      <c r="M48" s="71">
        <v>10</v>
      </c>
      <c r="N48" s="71">
        <v>0</v>
      </c>
      <c r="O48" s="71">
        <v>30</v>
      </c>
      <c r="P48" s="71">
        <v>100</v>
      </c>
      <c r="Q48" s="71">
        <v>30</v>
      </c>
      <c r="R48" s="71">
        <v>10</v>
      </c>
      <c r="S48" s="77">
        <v>0</v>
      </c>
      <c r="T48" s="66"/>
      <c r="U48" s="66"/>
      <c r="V48" s="66"/>
      <c r="W48" s="66"/>
      <c r="X48" s="66"/>
      <c r="Y48" s="66"/>
    </row>
    <row r="49" spans="1:25" ht="19.5" thickBot="1">
      <c r="A49" s="22">
        <v>1</v>
      </c>
      <c r="B49" s="44" t="s">
        <v>49</v>
      </c>
      <c r="C49" s="31"/>
      <c r="D49" s="27">
        <f>-G49+(+I49/K49)</f>
        <v>-100</v>
      </c>
      <c r="E49" s="31"/>
      <c r="F49" s="31"/>
      <c r="G49" s="71">
        <v>0</v>
      </c>
      <c r="H49" s="71">
        <v>90</v>
      </c>
      <c r="I49" s="60">
        <v>250</v>
      </c>
      <c r="J49" s="60">
        <v>25</v>
      </c>
      <c r="K49" s="27">
        <f>(J49-I49)/(H49-G49)</f>
        <v>-2.5</v>
      </c>
      <c r="L49" s="71">
        <f>I49</f>
        <v>250</v>
      </c>
      <c r="M49" s="71">
        <v>10</v>
      </c>
      <c r="N49" s="71">
        <v>6000</v>
      </c>
      <c r="O49" s="71">
        <v>0</v>
      </c>
      <c r="P49" s="71">
        <v>100</v>
      </c>
      <c r="Q49" s="71">
        <v>0</v>
      </c>
      <c r="R49" s="71">
        <v>10</v>
      </c>
      <c r="S49" s="77">
        <v>0</v>
      </c>
      <c r="T49" s="66"/>
      <c r="U49" s="66"/>
      <c r="V49" s="66"/>
      <c r="W49" s="66"/>
      <c r="X49" s="66"/>
      <c r="Y49" s="66"/>
    </row>
    <row r="50" spans="1:25" ht="19.5" thickBot="1">
      <c r="A50" s="22">
        <v>2</v>
      </c>
      <c r="B50" s="44" t="s">
        <v>50</v>
      </c>
      <c r="C50" s="31"/>
      <c r="D50" s="27">
        <f t="shared" ref="D50:D54" si="6">-G50+(+I50/K50)</f>
        <v>-200.93023255813955</v>
      </c>
      <c r="E50" s="31"/>
      <c r="F50" s="31"/>
      <c r="G50" s="71">
        <v>0</v>
      </c>
      <c r="H50" s="71">
        <v>180</v>
      </c>
      <c r="I50" s="60">
        <v>480</v>
      </c>
      <c r="J50" s="60">
        <v>50</v>
      </c>
      <c r="K50" s="27">
        <f t="shared" si="5"/>
        <v>-2.3888888888888888</v>
      </c>
      <c r="L50" s="71">
        <f>J50</f>
        <v>50</v>
      </c>
      <c r="M50" s="71">
        <v>10</v>
      </c>
      <c r="N50" s="71">
        <v>6700</v>
      </c>
      <c r="O50" s="71">
        <v>0</v>
      </c>
      <c r="P50" s="71">
        <v>100</v>
      </c>
      <c r="Q50" s="71">
        <v>0</v>
      </c>
      <c r="R50" s="71">
        <v>10</v>
      </c>
      <c r="S50" s="77">
        <v>0</v>
      </c>
      <c r="T50" s="66"/>
      <c r="U50" s="66"/>
      <c r="V50" s="66"/>
      <c r="W50" s="66"/>
      <c r="X50" s="66"/>
      <c r="Y50" s="66"/>
    </row>
    <row r="51" spans="1:25" ht="19.5" thickBot="1">
      <c r="A51" s="22">
        <v>3</v>
      </c>
      <c r="B51" s="44" t="s">
        <v>51</v>
      </c>
      <c r="C51" s="31"/>
      <c r="D51" s="27">
        <f t="shared" si="6"/>
        <v>-100.46511627906978</v>
      </c>
      <c r="E51" s="31"/>
      <c r="F51" s="31"/>
      <c r="G51" s="71">
        <v>0</v>
      </c>
      <c r="H51" s="71">
        <v>90</v>
      </c>
      <c r="I51" s="60">
        <v>240</v>
      </c>
      <c r="J51" s="60">
        <v>25</v>
      </c>
      <c r="K51" s="27">
        <f t="shared" si="5"/>
        <v>-2.3888888888888888</v>
      </c>
      <c r="L51" s="71">
        <f>I51</f>
        <v>240</v>
      </c>
      <c r="M51" s="71">
        <v>10</v>
      </c>
      <c r="N51" s="71">
        <v>6000</v>
      </c>
      <c r="O51" s="71">
        <v>0</v>
      </c>
      <c r="P51" s="71">
        <v>100</v>
      </c>
      <c r="Q51" s="71">
        <v>0</v>
      </c>
      <c r="R51" s="71">
        <v>10</v>
      </c>
      <c r="S51" s="77">
        <v>0</v>
      </c>
      <c r="T51" s="66"/>
      <c r="U51" s="66"/>
      <c r="V51" s="66"/>
      <c r="W51" s="66"/>
      <c r="X51" s="66"/>
      <c r="Y51" s="66"/>
    </row>
    <row r="52" spans="1:25" ht="19.5" thickBot="1">
      <c r="A52" s="22">
        <v>4</v>
      </c>
      <c r="B52" s="44" t="s">
        <v>52</v>
      </c>
      <c r="C52" s="31"/>
      <c r="D52" s="27">
        <f t="shared" si="6"/>
        <v>-196.36363636363635</v>
      </c>
      <c r="E52" s="31"/>
      <c r="F52" s="31"/>
      <c r="G52" s="71">
        <v>0</v>
      </c>
      <c r="H52" s="71">
        <v>180</v>
      </c>
      <c r="I52" s="60">
        <v>480</v>
      </c>
      <c r="J52" s="60">
        <v>40</v>
      </c>
      <c r="K52" s="27">
        <f t="shared" si="5"/>
        <v>-2.4444444444444446</v>
      </c>
      <c r="L52" s="71">
        <f>J52</f>
        <v>40</v>
      </c>
      <c r="M52" s="71">
        <v>10</v>
      </c>
      <c r="N52" s="71">
        <v>6700</v>
      </c>
      <c r="O52" s="71">
        <v>0</v>
      </c>
      <c r="P52" s="71">
        <v>100</v>
      </c>
      <c r="Q52" s="71">
        <v>0</v>
      </c>
      <c r="R52" s="71">
        <v>10</v>
      </c>
      <c r="S52" s="77">
        <v>0</v>
      </c>
      <c r="T52" s="66"/>
      <c r="U52" s="66"/>
      <c r="V52" s="66"/>
      <c r="W52" s="66"/>
      <c r="X52" s="66"/>
      <c r="Y52" s="66"/>
    </row>
    <row r="53" spans="1:25" ht="19.5" thickBot="1">
      <c r="A53" s="22">
        <v>5</v>
      </c>
      <c r="B53" s="44" t="s">
        <v>53</v>
      </c>
      <c r="C53" s="31"/>
      <c r="D53" s="27">
        <f t="shared" si="6"/>
        <v>-100</v>
      </c>
      <c r="E53" s="31"/>
      <c r="F53" s="31"/>
      <c r="G53" s="71">
        <v>0</v>
      </c>
      <c r="H53" s="71">
        <v>90</v>
      </c>
      <c r="I53" s="60">
        <v>250</v>
      </c>
      <c r="J53" s="60">
        <v>25</v>
      </c>
      <c r="K53" s="27">
        <f t="shared" si="5"/>
        <v>-2.5</v>
      </c>
      <c r="L53" s="71">
        <f>I53</f>
        <v>250</v>
      </c>
      <c r="M53" s="71">
        <v>10</v>
      </c>
      <c r="N53" s="71">
        <v>6000</v>
      </c>
      <c r="O53" s="71">
        <v>0</v>
      </c>
      <c r="P53" s="71">
        <v>100</v>
      </c>
      <c r="Q53" s="71">
        <v>0</v>
      </c>
      <c r="R53" s="71">
        <v>10</v>
      </c>
      <c r="S53" s="77">
        <v>0</v>
      </c>
      <c r="T53" s="66"/>
      <c r="U53" s="66"/>
      <c r="V53" s="66"/>
      <c r="W53" s="66"/>
      <c r="X53" s="66"/>
      <c r="Y53" s="66"/>
    </row>
    <row r="54" spans="1:25" ht="19.5" thickBot="1">
      <c r="A54" s="22">
        <v>6</v>
      </c>
      <c r="B54" s="44" t="s">
        <v>54</v>
      </c>
      <c r="C54" s="31"/>
      <c r="D54" s="27">
        <f t="shared" si="6"/>
        <v>-200.8</v>
      </c>
      <c r="E54" s="31"/>
      <c r="F54" s="31"/>
      <c r="G54" s="71">
        <v>0</v>
      </c>
      <c r="H54" s="71">
        <v>180</v>
      </c>
      <c r="I54" s="60">
        <v>502</v>
      </c>
      <c r="J54" s="60">
        <v>52</v>
      </c>
      <c r="K54" s="27">
        <f t="shared" si="5"/>
        <v>-2.5</v>
      </c>
      <c r="L54" s="71">
        <f>J54</f>
        <v>52</v>
      </c>
      <c r="M54" s="71">
        <v>10</v>
      </c>
      <c r="N54" s="71">
        <v>-6700</v>
      </c>
      <c r="O54" s="71">
        <v>0</v>
      </c>
      <c r="P54" s="71">
        <v>100</v>
      </c>
      <c r="Q54" s="71">
        <v>0</v>
      </c>
      <c r="R54" s="71">
        <v>10</v>
      </c>
      <c r="S54" s="77">
        <v>0</v>
      </c>
      <c r="T54" s="66"/>
      <c r="U54" s="66"/>
      <c r="V54" s="66"/>
      <c r="W54" s="66"/>
      <c r="X54" s="66"/>
      <c r="Y54" s="66"/>
    </row>
    <row r="55" spans="1:25" ht="19.5" thickBot="1">
      <c r="A55" s="22">
        <v>7</v>
      </c>
      <c r="B55" s="44" t="s">
        <v>55</v>
      </c>
      <c r="C55" s="31"/>
      <c r="D55" s="27">
        <f>-G55+(+I55/K55)</f>
        <v>-335.85365853658539</v>
      </c>
      <c r="E55" s="31"/>
      <c r="F55" s="31"/>
      <c r="G55" s="71">
        <v>0</v>
      </c>
      <c r="H55" s="71">
        <v>270</v>
      </c>
      <c r="I55" s="60">
        <v>765</v>
      </c>
      <c r="J55" s="60">
        <v>150</v>
      </c>
      <c r="K55" s="27">
        <f>(J55-I55)/(H55-G55)</f>
        <v>-2.2777777777777777</v>
      </c>
      <c r="L55" s="71">
        <f>I55</f>
        <v>765</v>
      </c>
      <c r="M55" s="71">
        <v>10</v>
      </c>
      <c r="N55" s="71">
        <v>14000</v>
      </c>
      <c r="O55" s="71">
        <v>0</v>
      </c>
      <c r="P55" s="71">
        <v>100</v>
      </c>
      <c r="Q55" s="71">
        <v>0</v>
      </c>
      <c r="R55" s="71">
        <v>10</v>
      </c>
      <c r="S55" s="77">
        <v>0</v>
      </c>
    </row>
    <row r="56" spans="1:25" ht="18.75">
      <c r="B56" s="57"/>
      <c r="C56" s="31"/>
      <c r="D56" s="31"/>
      <c r="E56" s="58"/>
      <c r="F56" s="58"/>
      <c r="G56" s="57"/>
      <c r="H56" s="57"/>
      <c r="I56" s="57"/>
      <c r="J56" s="57"/>
      <c r="K56" s="57"/>
      <c r="L56" s="57"/>
      <c r="M56" s="57"/>
      <c r="N56" s="57"/>
      <c r="O56" s="57"/>
      <c r="P56" s="57"/>
    </row>
    <row r="57" spans="1:25" ht="21.75" thickBot="1">
      <c r="B57" s="53" t="s">
        <v>56</v>
      </c>
      <c r="C57" s="54"/>
      <c r="D57" s="54"/>
      <c r="E57" s="55"/>
      <c r="F57" s="55"/>
      <c r="G57" s="54"/>
      <c r="H57" s="54"/>
      <c r="I57" s="54"/>
      <c r="J57" s="54"/>
      <c r="K57" s="54"/>
      <c r="L57" s="54"/>
      <c r="M57" s="54"/>
      <c r="N57" s="54"/>
      <c r="O57" s="54"/>
      <c r="P57" s="56"/>
      <c r="Q57" s="54"/>
      <c r="R57" s="56"/>
      <c r="S57" s="39"/>
      <c r="T57" s="39"/>
      <c r="U57" s="39"/>
      <c r="V57" s="39"/>
      <c r="W57" s="39"/>
      <c r="X57" s="39"/>
      <c r="Y57" s="39"/>
    </row>
    <row r="58" spans="1:25" ht="51.75" customHeight="1">
      <c r="A58" s="76" t="s">
        <v>1</v>
      </c>
      <c r="B58" s="76" t="s">
        <v>2</v>
      </c>
      <c r="C58" s="76" t="s">
        <v>38</v>
      </c>
      <c r="D58" s="76" t="s">
        <v>4</v>
      </c>
      <c r="E58" s="76" t="s">
        <v>5</v>
      </c>
      <c r="F58" s="76" t="s">
        <v>162</v>
      </c>
      <c r="G58" s="76" t="s">
        <v>6</v>
      </c>
      <c r="H58" s="76" t="s">
        <v>7</v>
      </c>
      <c r="I58" s="76" t="s">
        <v>8</v>
      </c>
      <c r="J58" s="76" t="s">
        <v>9</v>
      </c>
      <c r="K58" s="76" t="s">
        <v>10</v>
      </c>
      <c r="L58" s="76" t="s">
        <v>11</v>
      </c>
      <c r="M58" s="76" t="s">
        <v>12</v>
      </c>
      <c r="N58" s="76" t="s">
        <v>13</v>
      </c>
      <c r="O58" s="76" t="s">
        <v>249</v>
      </c>
      <c r="P58" s="76" t="s">
        <v>250</v>
      </c>
      <c r="Q58" s="76" t="s">
        <v>206</v>
      </c>
      <c r="R58" s="76" t="s">
        <v>207</v>
      </c>
      <c r="S58" s="76" t="s">
        <v>282</v>
      </c>
      <c r="T58" s="41" t="s">
        <v>287</v>
      </c>
      <c r="U58" s="41" t="s">
        <v>288</v>
      </c>
      <c r="V58" s="41" t="s">
        <v>289</v>
      </c>
      <c r="W58" s="78" t="s">
        <v>290</v>
      </c>
      <c r="X58" s="78" t="s">
        <v>291</v>
      </c>
      <c r="Y58" s="78" t="s">
        <v>292</v>
      </c>
    </row>
    <row r="59" spans="1:25" ht="18.75">
      <c r="A59" s="26">
        <v>0</v>
      </c>
      <c r="B59" s="44" t="s">
        <v>57</v>
      </c>
      <c r="C59" s="23">
        <v>141.1</v>
      </c>
      <c r="D59" s="24">
        <v>180</v>
      </c>
      <c r="E59" s="68">
        <f>(ABS(C59)-ABS(D59))</f>
        <v>-38.900000000000006</v>
      </c>
      <c r="F59" s="68">
        <f>IF(E59&gt;=0,(E59*11.375),(360+E59)*11.375)</f>
        <v>3652.5125000000003</v>
      </c>
      <c r="G59" s="73">
        <v>-95.5</v>
      </c>
      <c r="H59" s="73">
        <v>10</v>
      </c>
      <c r="I59" s="50"/>
      <c r="J59" s="50"/>
      <c r="K59" s="51">
        <v>11.375</v>
      </c>
      <c r="L59" s="66">
        <f>(D59-30)*K59</f>
        <v>1706.25</v>
      </c>
      <c r="M59" s="66">
        <v>10</v>
      </c>
      <c r="N59" s="66">
        <f>+F59</f>
        <v>3652.5125000000003</v>
      </c>
      <c r="O59" s="66">
        <v>-30</v>
      </c>
      <c r="P59" s="66">
        <v>10</v>
      </c>
      <c r="Q59" s="66">
        <v>-30</v>
      </c>
      <c r="R59" s="66">
        <v>10</v>
      </c>
      <c r="S59" s="67">
        <v>1</v>
      </c>
      <c r="T59" s="66"/>
      <c r="U59" s="66"/>
      <c r="V59" s="66"/>
      <c r="W59" s="66"/>
      <c r="X59" s="66"/>
      <c r="Y59" s="66"/>
    </row>
    <row r="60" spans="1:25" ht="18.75">
      <c r="A60" s="22">
        <v>1</v>
      </c>
      <c r="B60" s="44" t="s">
        <v>58</v>
      </c>
      <c r="C60" s="23">
        <v>56.4</v>
      </c>
      <c r="D60" s="24">
        <f>45</f>
        <v>45</v>
      </c>
      <c r="E60" s="68">
        <f>(ABS(C60)-ABS(D60))</f>
        <v>11.399999999999999</v>
      </c>
      <c r="F60" s="68">
        <f>IF(E60&gt;=0,(E60*11.375),(360+E60)*11.375)</f>
        <v>129.67499999999998</v>
      </c>
      <c r="G60" s="73">
        <v>0</v>
      </c>
      <c r="H60" s="73">
        <v>161</v>
      </c>
      <c r="I60" s="50"/>
      <c r="J60" s="50"/>
      <c r="K60" s="51">
        <v>11.375</v>
      </c>
      <c r="L60" s="66">
        <f>(D60+30)*K60</f>
        <v>853.125</v>
      </c>
      <c r="M60" s="66">
        <v>10</v>
      </c>
      <c r="N60" s="66">
        <f>+F60</f>
        <v>129.67499999999998</v>
      </c>
      <c r="O60" s="66">
        <v>30</v>
      </c>
      <c r="P60" s="66">
        <v>10</v>
      </c>
      <c r="Q60" s="66">
        <v>30</v>
      </c>
      <c r="R60" s="66">
        <v>10</v>
      </c>
      <c r="S60" s="67">
        <v>8</v>
      </c>
      <c r="T60" s="66"/>
      <c r="U60" s="66"/>
      <c r="V60" s="66"/>
      <c r="W60" s="66"/>
      <c r="X60" s="66"/>
      <c r="Y60" s="66"/>
    </row>
    <row r="61" spans="1:25" ht="18.75">
      <c r="A61" s="22">
        <v>2</v>
      </c>
      <c r="B61" s="44" t="s">
        <v>59</v>
      </c>
      <c r="C61" s="52">
        <v>309.7</v>
      </c>
      <c r="D61" s="24">
        <f>L61/K61</f>
        <v>245.74218089602704</v>
      </c>
      <c r="E61" s="69">
        <f>ABS((+C61/(40/65)-(C59-C60)/(40/65)))-ABS(180)</f>
        <v>185.625</v>
      </c>
      <c r="F61" s="69">
        <f>IF(E61&gt;=0,(E61*11.375),(360+E61)*11.375)</f>
        <v>2111.484375</v>
      </c>
      <c r="G61" s="73">
        <v>-37</v>
      </c>
      <c r="H61" s="73">
        <v>80</v>
      </c>
      <c r="I61" s="50"/>
      <c r="J61" s="50"/>
      <c r="K61" s="51">
        <v>11.375</v>
      </c>
      <c r="L61" s="72">
        <f>2047*40/65+((D59*K59)-(D60*K60))</f>
        <v>2795.3173076923076</v>
      </c>
      <c r="M61" s="66">
        <v>10</v>
      </c>
      <c r="N61" s="66">
        <f>F61</f>
        <v>2111.484375</v>
      </c>
      <c r="O61" s="71">
        <v>0</v>
      </c>
      <c r="P61" s="66">
        <v>10</v>
      </c>
      <c r="Q61" s="71">
        <v>0</v>
      </c>
      <c r="R61" s="66">
        <v>10</v>
      </c>
      <c r="S61" s="67">
        <v>2</v>
      </c>
      <c r="T61" s="66"/>
      <c r="U61" s="66"/>
      <c r="V61" s="66"/>
      <c r="W61" s="66"/>
      <c r="X61" s="66"/>
      <c r="Y61" s="66"/>
    </row>
    <row r="62" spans="1:25" ht="18.75">
      <c r="A62" s="22">
        <v>3</v>
      </c>
      <c r="B62" s="44" t="s">
        <v>60</v>
      </c>
      <c r="C62" s="23">
        <v>337</v>
      </c>
      <c r="D62" s="24">
        <v>180</v>
      </c>
      <c r="E62" s="68">
        <f>(ABS(C62)-ABS(D62))</f>
        <v>157</v>
      </c>
      <c r="F62" s="68">
        <f>IF(E62&gt;=0,(E62*11.375),(360+E62)*11.375)</f>
        <v>1785.875</v>
      </c>
      <c r="G62" s="73">
        <v>15</v>
      </c>
      <c r="H62" s="73">
        <v>106</v>
      </c>
      <c r="I62" s="50"/>
      <c r="J62" s="50"/>
      <c r="K62" s="51">
        <v>11.375</v>
      </c>
      <c r="L62" s="71">
        <v>2558</v>
      </c>
      <c r="M62" s="66">
        <v>10</v>
      </c>
      <c r="N62" s="66">
        <f>+F62</f>
        <v>1785.875</v>
      </c>
      <c r="O62" s="66">
        <v>45</v>
      </c>
      <c r="P62" s="66">
        <v>10</v>
      </c>
      <c r="Q62" s="66">
        <v>45</v>
      </c>
      <c r="R62" s="66">
        <v>10</v>
      </c>
      <c r="S62" s="67">
        <v>0</v>
      </c>
      <c r="T62" s="66"/>
      <c r="U62" s="66"/>
      <c r="V62" s="66"/>
      <c r="W62" s="66"/>
      <c r="X62" s="66"/>
      <c r="Y62" s="66"/>
    </row>
    <row r="63" spans="1:25" ht="18.75">
      <c r="A63" s="22">
        <v>4</v>
      </c>
      <c r="B63" s="44" t="s">
        <v>61</v>
      </c>
      <c r="C63" s="32"/>
      <c r="D63" s="25">
        <v>90</v>
      </c>
      <c r="E63" s="31"/>
      <c r="F63" s="31"/>
      <c r="G63" s="75">
        <v>-90</v>
      </c>
      <c r="H63" s="75">
        <v>90</v>
      </c>
      <c r="I63" s="31"/>
      <c r="J63" s="31"/>
      <c r="K63" s="51">
        <f>706.67</f>
        <v>706.67</v>
      </c>
      <c r="L63" s="66">
        <v>600</v>
      </c>
      <c r="M63" s="66">
        <v>-20</v>
      </c>
      <c r="N63" s="66">
        <v>0</v>
      </c>
      <c r="O63" s="66">
        <v>0</v>
      </c>
      <c r="P63" s="66">
        <v>30</v>
      </c>
      <c r="Q63" s="66">
        <v>0</v>
      </c>
      <c r="R63" s="66">
        <v>30</v>
      </c>
      <c r="S63" s="67">
        <v>0</v>
      </c>
      <c r="T63" s="66"/>
      <c r="U63" s="66"/>
      <c r="V63" s="66"/>
      <c r="W63" s="66"/>
      <c r="X63" s="66"/>
      <c r="Y63" s="66"/>
    </row>
    <row r="64" spans="1:25" ht="18.75">
      <c r="A64" s="22">
        <v>5</v>
      </c>
      <c r="B64" s="44" t="s">
        <v>62</v>
      </c>
      <c r="C64" s="31"/>
      <c r="D64" s="25">
        <v>-20</v>
      </c>
      <c r="E64" s="31"/>
      <c r="F64" s="31"/>
      <c r="G64" s="75">
        <v>-90</v>
      </c>
      <c r="H64" s="75">
        <v>0</v>
      </c>
      <c r="I64" s="31"/>
      <c r="J64" s="31"/>
      <c r="K64" s="51">
        <v>978.46</v>
      </c>
      <c r="L64" s="66">
        <v>750</v>
      </c>
      <c r="M64" s="66">
        <v>10</v>
      </c>
      <c r="N64" s="66">
        <v>0</v>
      </c>
      <c r="O64" s="66">
        <v>0</v>
      </c>
      <c r="P64" s="66">
        <v>30</v>
      </c>
      <c r="Q64" s="66">
        <v>0</v>
      </c>
      <c r="R64" s="66">
        <v>30</v>
      </c>
      <c r="S64" s="67">
        <v>10</v>
      </c>
      <c r="T64" s="66"/>
      <c r="U64" s="66"/>
      <c r="V64" s="66"/>
      <c r="W64" s="66"/>
      <c r="X64" s="66"/>
      <c r="Y64" s="66"/>
    </row>
    <row r="65" spans="1:25" ht="18.75">
      <c r="A65" s="22">
        <v>6</v>
      </c>
      <c r="B65" s="44" t="s">
        <v>63</v>
      </c>
      <c r="C65" s="31"/>
      <c r="D65" s="25">
        <v>-52</v>
      </c>
      <c r="E65" s="31"/>
      <c r="F65" s="31"/>
      <c r="G65" s="75">
        <v>-20</v>
      </c>
      <c r="H65" s="75">
        <v>40</v>
      </c>
      <c r="I65" s="31"/>
      <c r="J65" s="31"/>
      <c r="K65" s="51">
        <v>978.46</v>
      </c>
      <c r="L65" s="66">
        <v>750</v>
      </c>
      <c r="M65" s="66">
        <v>10</v>
      </c>
      <c r="N65" s="66">
        <v>0</v>
      </c>
      <c r="O65" s="66">
        <v>0</v>
      </c>
      <c r="P65" s="66">
        <v>30</v>
      </c>
      <c r="Q65" s="66">
        <v>40</v>
      </c>
      <c r="R65" s="66">
        <v>30</v>
      </c>
      <c r="S65" s="67">
        <v>7</v>
      </c>
      <c r="T65" s="66"/>
      <c r="U65" s="66"/>
      <c r="V65" s="66"/>
      <c r="W65" s="66"/>
      <c r="X65" s="66"/>
      <c r="Y65" s="66"/>
    </row>
    <row r="66" spans="1:25" ht="18.75">
      <c r="A66" s="22">
        <v>7</v>
      </c>
      <c r="B66" s="44" t="s">
        <v>64</v>
      </c>
      <c r="C66" s="31"/>
      <c r="D66" s="25">
        <f>IF(K66&gt;0,+I66/K66+G66,+I66/K66-G66)</f>
        <v>760</v>
      </c>
      <c r="E66" s="31"/>
      <c r="F66" s="31"/>
      <c r="G66" s="66">
        <v>0</v>
      </c>
      <c r="H66" s="66">
        <v>60</v>
      </c>
      <c r="I66" s="81">
        <v>1900</v>
      </c>
      <c r="J66" s="81">
        <v>2050</v>
      </c>
      <c r="K66" s="51">
        <f>(J66-I66)/(H66-G66)</f>
        <v>2.5</v>
      </c>
      <c r="L66" s="66">
        <f>ABS(+D66*K66)</f>
        <v>1900</v>
      </c>
      <c r="M66" s="66">
        <v>100</v>
      </c>
      <c r="N66" s="66">
        <v>0</v>
      </c>
      <c r="O66" s="71">
        <v>15</v>
      </c>
      <c r="P66" s="66">
        <v>100</v>
      </c>
      <c r="Q66" s="71">
        <v>15</v>
      </c>
      <c r="R66" s="66">
        <v>100</v>
      </c>
      <c r="S66" s="67">
        <v>0</v>
      </c>
    </row>
    <row r="67" spans="1:25" ht="19.5" thickBot="1">
      <c r="B67" s="6"/>
      <c r="C67" s="7"/>
      <c r="D67" s="7"/>
      <c r="E67" s="6"/>
      <c r="F67" s="6"/>
      <c r="G67" s="6"/>
      <c r="H67" s="6"/>
      <c r="I67" s="6"/>
      <c r="J67" s="6"/>
      <c r="K67" s="6"/>
      <c r="L67" s="6"/>
      <c r="M67" s="6"/>
      <c r="N67" s="6"/>
      <c r="O67" s="6"/>
      <c r="P67" s="6"/>
    </row>
    <row r="68" spans="1:25" ht="21.75" thickBot="1">
      <c r="B68" s="46" t="s">
        <v>65</v>
      </c>
      <c r="C68" s="47"/>
      <c r="D68" s="47"/>
      <c r="E68" s="48"/>
      <c r="F68" s="48"/>
      <c r="G68" s="47"/>
      <c r="H68" s="47"/>
      <c r="I68" s="47"/>
      <c r="J68" s="47"/>
      <c r="K68" s="47"/>
      <c r="L68" s="47"/>
      <c r="M68" s="47"/>
      <c r="N68" s="47"/>
      <c r="O68" s="47"/>
      <c r="P68" s="49"/>
      <c r="Q68" s="47"/>
      <c r="R68" s="49"/>
      <c r="S68" s="65"/>
      <c r="T68" s="39"/>
      <c r="U68" s="39"/>
      <c r="V68" s="39"/>
      <c r="W68" s="39"/>
      <c r="X68" s="39"/>
      <c r="Y68" s="39"/>
    </row>
    <row r="69" spans="1:25" ht="36.75" customHeight="1">
      <c r="A69" s="76" t="s">
        <v>1</v>
      </c>
      <c r="B69" s="76" t="s">
        <v>2</v>
      </c>
      <c r="C69" s="76" t="s">
        <v>38</v>
      </c>
      <c r="D69" s="76" t="s">
        <v>4</v>
      </c>
      <c r="E69" s="76" t="s">
        <v>5</v>
      </c>
      <c r="F69" s="76" t="s">
        <v>162</v>
      </c>
      <c r="G69" s="76" t="s">
        <v>6</v>
      </c>
      <c r="H69" s="76" t="s">
        <v>7</v>
      </c>
      <c r="I69" s="76" t="s">
        <v>8</v>
      </c>
      <c r="J69" s="76" t="s">
        <v>9</v>
      </c>
      <c r="K69" s="76" t="s">
        <v>10</v>
      </c>
      <c r="L69" s="76" t="s">
        <v>11</v>
      </c>
      <c r="M69" s="76" t="s">
        <v>12</v>
      </c>
      <c r="N69" s="76" t="s">
        <v>13</v>
      </c>
      <c r="O69" s="76" t="s">
        <v>249</v>
      </c>
      <c r="P69" s="76" t="s">
        <v>250</v>
      </c>
      <c r="Q69" s="76" t="s">
        <v>206</v>
      </c>
      <c r="R69" s="76" t="s">
        <v>207</v>
      </c>
      <c r="S69" s="76"/>
      <c r="T69" s="41" t="s">
        <v>287</v>
      </c>
      <c r="U69" s="41" t="s">
        <v>288</v>
      </c>
      <c r="V69" s="41" t="s">
        <v>289</v>
      </c>
      <c r="W69" s="78" t="s">
        <v>290</v>
      </c>
      <c r="X69" s="78" t="s">
        <v>291</v>
      </c>
      <c r="Y69" s="78" t="s">
        <v>292</v>
      </c>
    </row>
    <row r="70" spans="1:25" ht="18.75">
      <c r="A70" s="26">
        <v>0</v>
      </c>
      <c r="B70" s="44" t="s">
        <v>66</v>
      </c>
      <c r="C70" s="31"/>
      <c r="D70" s="27">
        <f>IF(K70&gt;0,+I70/K70-G70,+I70/K70+G70)</f>
        <v>25.636363636363637</v>
      </c>
      <c r="E70" s="31"/>
      <c r="F70" s="31"/>
      <c r="G70" s="71">
        <v>0</v>
      </c>
      <c r="H70" s="71">
        <v>90</v>
      </c>
      <c r="I70" s="81">
        <v>470</v>
      </c>
      <c r="J70" s="81">
        <v>2120</v>
      </c>
      <c r="K70" s="27">
        <f t="shared" ref="K70:K77" si="7">(J70-I70)/(H70-G70)</f>
        <v>18.333333333333332</v>
      </c>
      <c r="L70" s="66">
        <f>ABS(D70*K70)</f>
        <v>470</v>
      </c>
      <c r="M70" s="71">
        <v>10</v>
      </c>
      <c r="N70" s="71">
        <v>0</v>
      </c>
      <c r="O70" s="71">
        <v>30</v>
      </c>
      <c r="P70" s="71">
        <v>100</v>
      </c>
      <c r="Q70" s="71">
        <v>30</v>
      </c>
      <c r="R70" s="71">
        <v>10</v>
      </c>
      <c r="S70" s="77">
        <v>0</v>
      </c>
      <c r="T70" s="66"/>
      <c r="U70" s="66"/>
      <c r="V70" s="66"/>
      <c r="W70" s="66"/>
      <c r="X70" s="66"/>
      <c r="Y70" s="66"/>
    </row>
    <row r="71" spans="1:25" ht="19.5" thickBot="1">
      <c r="A71" s="22">
        <v>1</v>
      </c>
      <c r="B71" s="44" t="s">
        <v>67</v>
      </c>
      <c r="C71" s="31"/>
      <c r="D71" s="27">
        <f t="shared" ref="D71:D77" si="8">-G71+(+I71/K71)</f>
        <v>-99.825327510917035</v>
      </c>
      <c r="E71" s="31"/>
      <c r="F71" s="31"/>
      <c r="G71" s="71">
        <v>0</v>
      </c>
      <c r="H71" s="71">
        <v>90</v>
      </c>
      <c r="I71" s="60">
        <v>254</v>
      </c>
      <c r="J71" s="60">
        <v>25</v>
      </c>
      <c r="K71" s="27">
        <f t="shared" si="7"/>
        <v>-2.5444444444444443</v>
      </c>
      <c r="L71" s="71">
        <f>I71</f>
        <v>254</v>
      </c>
      <c r="M71" s="71">
        <v>10</v>
      </c>
      <c r="N71" s="71">
        <v>6000</v>
      </c>
      <c r="O71" s="71">
        <v>0</v>
      </c>
      <c r="P71" s="71">
        <v>100</v>
      </c>
      <c r="Q71" s="71">
        <v>0</v>
      </c>
      <c r="R71" s="71">
        <v>10</v>
      </c>
      <c r="S71" s="77">
        <v>0</v>
      </c>
      <c r="T71" s="66"/>
      <c r="U71" s="66"/>
      <c r="V71" s="66"/>
      <c r="W71" s="66"/>
      <c r="X71" s="66"/>
      <c r="Y71" s="66"/>
    </row>
    <row r="72" spans="1:25" ht="19.5" thickBot="1">
      <c r="A72" s="22">
        <v>2</v>
      </c>
      <c r="B72" s="44" t="s">
        <v>68</v>
      </c>
      <c r="C72" s="31"/>
      <c r="D72" s="27">
        <f t="shared" si="8"/>
        <v>-191.51385927505331</v>
      </c>
      <c r="E72" s="31"/>
      <c r="F72" s="31"/>
      <c r="G72" s="71">
        <v>0</v>
      </c>
      <c r="H72" s="71">
        <v>180</v>
      </c>
      <c r="I72" s="60">
        <v>499</v>
      </c>
      <c r="J72" s="60">
        <v>30</v>
      </c>
      <c r="K72" s="27">
        <f t="shared" si="7"/>
        <v>-2.6055555555555556</v>
      </c>
      <c r="L72" s="71">
        <f>+J72</f>
        <v>30</v>
      </c>
      <c r="M72" s="71">
        <v>10</v>
      </c>
      <c r="N72" s="71">
        <v>6700</v>
      </c>
      <c r="O72" s="71">
        <v>0</v>
      </c>
      <c r="P72" s="71">
        <v>100</v>
      </c>
      <c r="Q72" s="71">
        <v>0</v>
      </c>
      <c r="R72" s="71">
        <v>10</v>
      </c>
      <c r="S72" s="77">
        <v>0</v>
      </c>
      <c r="T72" s="66"/>
      <c r="U72" s="66"/>
      <c r="V72" s="66"/>
      <c r="W72" s="66"/>
      <c r="X72" s="66"/>
      <c r="Y72" s="66"/>
    </row>
    <row r="73" spans="1:25" ht="19.5" thickBot="1">
      <c r="A73" s="22">
        <v>3</v>
      </c>
      <c r="B73" s="44" t="s">
        <v>69</v>
      </c>
      <c r="C73" s="31"/>
      <c r="D73" s="27">
        <f t="shared" si="8"/>
        <v>-99.825327510917035</v>
      </c>
      <c r="E73" s="31"/>
      <c r="F73" s="31"/>
      <c r="G73" s="71">
        <v>0</v>
      </c>
      <c r="H73" s="71">
        <v>90</v>
      </c>
      <c r="I73" s="60">
        <v>254</v>
      </c>
      <c r="J73" s="60">
        <v>25</v>
      </c>
      <c r="K73" s="27">
        <f t="shared" si="7"/>
        <v>-2.5444444444444443</v>
      </c>
      <c r="L73" s="71">
        <f>I73</f>
        <v>254</v>
      </c>
      <c r="M73" s="71">
        <v>10</v>
      </c>
      <c r="N73" s="71">
        <v>6000</v>
      </c>
      <c r="O73" s="71">
        <v>0</v>
      </c>
      <c r="P73" s="71">
        <v>100</v>
      </c>
      <c r="Q73" s="71">
        <v>0</v>
      </c>
      <c r="R73" s="71">
        <v>10</v>
      </c>
      <c r="S73" s="77">
        <v>0</v>
      </c>
      <c r="T73" s="66"/>
      <c r="U73" s="66"/>
      <c r="V73" s="66"/>
      <c r="W73" s="66"/>
      <c r="X73" s="66"/>
      <c r="Y73" s="66"/>
    </row>
    <row r="74" spans="1:25" ht="19.5" thickBot="1">
      <c r="A74" s="22">
        <v>4</v>
      </c>
      <c r="B74" s="44" t="s">
        <v>70</v>
      </c>
      <c r="C74" s="31"/>
      <c r="D74" s="27">
        <f t="shared" si="8"/>
        <v>-191.51385927505331</v>
      </c>
      <c r="E74" s="31"/>
      <c r="F74" s="31"/>
      <c r="G74" s="71">
        <v>0</v>
      </c>
      <c r="H74" s="71">
        <v>180</v>
      </c>
      <c r="I74" s="60">
        <v>499</v>
      </c>
      <c r="J74" s="60">
        <v>30</v>
      </c>
      <c r="K74" s="27">
        <f t="shared" si="7"/>
        <v>-2.6055555555555556</v>
      </c>
      <c r="L74" s="71">
        <f>+J74</f>
        <v>30</v>
      </c>
      <c r="M74" s="71">
        <v>10</v>
      </c>
      <c r="N74" s="71">
        <v>-6700</v>
      </c>
      <c r="O74" s="71">
        <v>0</v>
      </c>
      <c r="P74" s="71">
        <v>100</v>
      </c>
      <c r="Q74" s="71">
        <v>0</v>
      </c>
      <c r="R74" s="71">
        <v>10</v>
      </c>
      <c r="S74" s="77">
        <v>0</v>
      </c>
      <c r="T74" s="66"/>
      <c r="U74" s="66"/>
      <c r="V74" s="66"/>
      <c r="W74" s="66"/>
      <c r="X74" s="66"/>
      <c r="Y74" s="66"/>
    </row>
    <row r="75" spans="1:25" ht="19.5" thickBot="1">
      <c r="A75" s="22">
        <v>5</v>
      </c>
      <c r="B75" s="44" t="s">
        <v>71</v>
      </c>
      <c r="C75" s="31"/>
      <c r="D75" s="27">
        <f t="shared" si="8"/>
        <v>-100</v>
      </c>
      <c r="E75" s="31"/>
      <c r="F75" s="31"/>
      <c r="G75" s="71">
        <v>0</v>
      </c>
      <c r="H75" s="71">
        <v>90</v>
      </c>
      <c r="I75" s="60">
        <v>250</v>
      </c>
      <c r="J75" s="60">
        <v>25</v>
      </c>
      <c r="K75" s="27">
        <f t="shared" si="7"/>
        <v>-2.5</v>
      </c>
      <c r="L75" s="71">
        <f>I75</f>
        <v>250</v>
      </c>
      <c r="M75" s="71">
        <v>10</v>
      </c>
      <c r="N75" s="71">
        <v>6000</v>
      </c>
      <c r="O75" s="71">
        <v>0</v>
      </c>
      <c r="P75" s="71">
        <v>100</v>
      </c>
      <c r="Q75" s="71">
        <v>0</v>
      </c>
      <c r="R75" s="71">
        <v>10</v>
      </c>
      <c r="S75" s="77">
        <v>0</v>
      </c>
      <c r="T75" s="66"/>
      <c r="U75" s="66"/>
      <c r="V75" s="66"/>
      <c r="W75" s="66"/>
      <c r="X75" s="66"/>
      <c r="Y75" s="66"/>
    </row>
    <row r="76" spans="1:25" ht="19.5" thickBot="1">
      <c r="A76" s="22">
        <v>6</v>
      </c>
      <c r="B76" s="44" t="s">
        <v>72</v>
      </c>
      <c r="C76" s="31"/>
      <c r="D76" s="27">
        <f t="shared" si="8"/>
        <v>-195.30201342281879</v>
      </c>
      <c r="E76" s="31"/>
      <c r="F76" s="31"/>
      <c r="G76" s="71">
        <v>0</v>
      </c>
      <c r="H76" s="71">
        <v>180</v>
      </c>
      <c r="I76" s="60">
        <v>485</v>
      </c>
      <c r="J76" s="60">
        <v>38</v>
      </c>
      <c r="K76" s="27">
        <f t="shared" si="7"/>
        <v>-2.4833333333333334</v>
      </c>
      <c r="L76" s="71">
        <f>J76</f>
        <v>38</v>
      </c>
      <c r="M76" s="71">
        <v>10</v>
      </c>
      <c r="N76" s="71">
        <v>6700</v>
      </c>
      <c r="O76" s="71">
        <v>0</v>
      </c>
      <c r="P76" s="71">
        <v>100</v>
      </c>
      <c r="Q76" s="71">
        <v>0</v>
      </c>
      <c r="R76" s="71">
        <v>10</v>
      </c>
      <c r="S76" s="77">
        <v>0</v>
      </c>
      <c r="T76" s="66"/>
      <c r="U76" s="66"/>
      <c r="V76" s="66"/>
      <c r="W76" s="66"/>
      <c r="X76" s="66"/>
      <c r="Y76" s="66"/>
    </row>
    <row r="77" spans="1:25" ht="19.5" thickBot="1">
      <c r="A77" s="22">
        <v>7</v>
      </c>
      <c r="B77" s="44" t="s">
        <v>73</v>
      </c>
      <c r="C77" s="31"/>
      <c r="D77" s="27">
        <f t="shared" si="8"/>
        <v>-325.93800978792825</v>
      </c>
      <c r="E77" s="31"/>
      <c r="F77" s="31"/>
      <c r="G77" s="71">
        <v>0</v>
      </c>
      <c r="H77" s="71">
        <v>270</v>
      </c>
      <c r="I77" s="60">
        <v>740</v>
      </c>
      <c r="J77" s="60">
        <v>127</v>
      </c>
      <c r="K77" s="27">
        <f t="shared" si="7"/>
        <v>-2.2703703703703701</v>
      </c>
      <c r="L77" s="71">
        <v>738</v>
      </c>
      <c r="M77" s="71">
        <v>10</v>
      </c>
      <c r="N77" s="71">
        <v>14000</v>
      </c>
      <c r="O77" s="71">
        <v>0</v>
      </c>
      <c r="P77" s="71">
        <v>100</v>
      </c>
      <c r="Q77" s="71">
        <v>0</v>
      </c>
      <c r="R77" s="71">
        <v>10</v>
      </c>
      <c r="S77" s="77">
        <v>0</v>
      </c>
      <c r="T77" s="66"/>
      <c r="U77" s="66"/>
      <c r="V77" s="66"/>
      <c r="W77" s="66"/>
      <c r="X77" s="66"/>
      <c r="Y77" s="66"/>
    </row>
    <row r="78" spans="1:25">
      <c r="C78" s="3"/>
      <c r="D78" s="3"/>
      <c r="E78" s="9"/>
      <c r="F78" s="9"/>
    </row>
    <row r="79" spans="1:25">
      <c r="C79" s="3"/>
      <c r="D79" s="3"/>
    </row>
    <row r="80" spans="1:25" ht="18.75">
      <c r="C80" s="3"/>
      <c r="D80" s="5"/>
      <c r="E80" s="5"/>
      <c r="F80" s="5"/>
    </row>
    <row r="81" spans="1:5">
      <c r="B81" s="10" t="s">
        <v>74</v>
      </c>
      <c r="C81" s="3"/>
      <c r="D81" s="3"/>
    </row>
    <row r="82" spans="1:5">
      <c r="C82" s="3"/>
      <c r="D82" s="3"/>
    </row>
    <row r="83" spans="1:5">
      <c r="B83" s="11"/>
      <c r="C83" s="3"/>
      <c r="D83" s="3" t="s">
        <v>285</v>
      </c>
    </row>
    <row r="84" spans="1:5">
      <c r="C84" s="3"/>
      <c r="D84" s="3"/>
    </row>
    <row r="85" spans="1:5">
      <c r="B85" s="12"/>
      <c r="C85" s="3"/>
      <c r="D85" s="3" t="s">
        <v>75</v>
      </c>
    </row>
    <row r="86" spans="1:5">
      <c r="C86" s="3"/>
      <c r="D86" s="3"/>
    </row>
    <row r="87" spans="1:5">
      <c r="B87" s="70"/>
      <c r="D87" s="1" t="s">
        <v>286</v>
      </c>
    </row>
    <row r="89" spans="1:5">
      <c r="B89" s="13"/>
      <c r="C89" s="3"/>
      <c r="D89" s="3" t="s">
        <v>164</v>
      </c>
    </row>
    <row r="90" spans="1:5">
      <c r="C90" s="3"/>
      <c r="D90" s="3"/>
    </row>
    <row r="91" spans="1:5">
      <c r="B91" s="14"/>
      <c r="C91" s="3"/>
      <c r="D91" s="3" t="s">
        <v>76</v>
      </c>
    </row>
    <row r="92" spans="1:5" ht="21">
      <c r="A92" s="62" t="s">
        <v>163</v>
      </c>
      <c r="B92" s="62"/>
      <c r="C92" s="3"/>
      <c r="D92" s="3"/>
    </row>
    <row r="93" spans="1:5" ht="21">
      <c r="A93" s="62" t="s">
        <v>283</v>
      </c>
      <c r="B93" s="62"/>
      <c r="C93" s="3"/>
      <c r="D93" s="3"/>
    </row>
    <row r="94" spans="1:5" ht="21">
      <c r="A94" s="63" t="s">
        <v>280</v>
      </c>
      <c r="B94" s="62"/>
      <c r="C94" s="3"/>
      <c r="D94" s="3"/>
    </row>
    <row r="95" spans="1:5" ht="15.75" thickBot="1">
      <c r="C95" s="3"/>
      <c r="D95" s="3"/>
    </row>
    <row r="96" spans="1:5" ht="21.75" thickBot="1">
      <c r="A96" s="38" t="s">
        <v>165</v>
      </c>
      <c r="B96" s="37" t="s">
        <v>293</v>
      </c>
      <c r="C96" s="35"/>
      <c r="D96" s="35"/>
      <c r="E96" s="36"/>
    </row>
    <row r="97" spans="2:17">
      <c r="C97" s="3"/>
      <c r="D97" s="3"/>
    </row>
    <row r="98" spans="2:17">
      <c r="C98" s="3"/>
      <c r="D98" s="3"/>
    </row>
    <row r="99" spans="2:17">
      <c r="B99" s="3"/>
      <c r="C99" s="3"/>
      <c r="D99" s="3"/>
      <c r="E99" s="9"/>
      <c r="F99" s="9"/>
    </row>
    <row r="100" spans="2:17">
      <c r="B100" s="3"/>
      <c r="C100" s="3"/>
      <c r="D100" s="3"/>
      <c r="E100" s="9"/>
      <c r="F100" s="9"/>
      <c r="G100" s="9"/>
      <c r="H100" s="9"/>
      <c r="I100" s="9"/>
      <c r="J100" s="9"/>
      <c r="K100" s="9"/>
      <c r="L100" s="9"/>
      <c r="M100" s="9"/>
      <c r="N100" s="9"/>
      <c r="O100" s="9"/>
      <c r="P100" s="9"/>
      <c r="Q100" s="9"/>
    </row>
    <row r="101" spans="2:17">
      <c r="B101" s="3"/>
      <c r="C101" s="3"/>
      <c r="D101" s="3"/>
      <c r="E101" s="9"/>
      <c r="F101" s="9"/>
    </row>
    <row r="102" spans="2:17">
      <c r="B102" s="3"/>
      <c r="C102" s="3"/>
      <c r="D102" s="3"/>
      <c r="E102" s="9"/>
      <c r="F102" s="9"/>
    </row>
    <row r="103" spans="2:17">
      <c r="B103" s="3"/>
      <c r="C103" s="3"/>
      <c r="D103" s="3"/>
      <c r="E103" s="9"/>
      <c r="F103" s="9"/>
    </row>
    <row r="104" spans="2:17">
      <c r="B104" s="3"/>
      <c r="C104" s="3"/>
      <c r="D104" s="3"/>
      <c r="E104" s="9"/>
      <c r="F104" s="9"/>
    </row>
    <row r="105" spans="2:17">
      <c r="B105" s="3"/>
      <c r="C105" s="3"/>
      <c r="D105" s="3"/>
      <c r="E105" s="9"/>
      <c r="F105" s="9"/>
    </row>
    <row r="106" spans="2:17">
      <c r="B106" s="3"/>
      <c r="C106" s="3"/>
      <c r="D106" s="3"/>
      <c r="E106" s="9"/>
      <c r="F106" s="9"/>
    </row>
    <row r="107" spans="2:17">
      <c r="B107" s="3"/>
      <c r="C107" s="3"/>
      <c r="D107" s="3"/>
      <c r="E107" s="9"/>
      <c r="F107" s="9"/>
    </row>
  </sheetData>
  <pageMargins left="0.7" right="0.7" top="0.75" bottom="0.75" header="0.51180555555555551" footer="0.51180555555555551"/>
  <pageSetup firstPageNumber="0" orientation="portrait" horizontalDpi="300" verticalDpi="300" r:id="rId1"/>
  <headerFooter alignWithMargins="0"/>
  <ignoredErrors>
    <ignoredError sqref="N61 N39" formula="1"/>
  </ignoredErrors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3:M105"/>
  <sheetViews>
    <sheetView topLeftCell="A22" zoomScaleNormal="100" workbookViewId="0">
      <selection activeCell="A45" sqref="A45"/>
    </sheetView>
  </sheetViews>
  <sheetFormatPr defaultRowHeight="15"/>
  <cols>
    <col min="1" max="1" width="29.140625" customWidth="1"/>
    <col min="2" max="2" width="16.28515625" customWidth="1"/>
    <col min="3" max="3" width="12.28515625" customWidth="1"/>
    <col min="5" max="5" width="12.85546875" customWidth="1"/>
    <col min="6" max="6" width="11" customWidth="1"/>
    <col min="7" max="7" width="13.140625" customWidth="1"/>
    <col min="8" max="8" width="8.5703125" customWidth="1"/>
  </cols>
  <sheetData>
    <row r="3" spans="1:13">
      <c r="A3" s="15" t="s">
        <v>77</v>
      </c>
      <c r="B3" s="16">
        <v>1333</v>
      </c>
      <c r="D3" t="s">
        <v>78</v>
      </c>
      <c r="F3" t="s">
        <v>79</v>
      </c>
    </row>
    <row r="4" spans="1:13">
      <c r="A4" s="17"/>
      <c r="B4" s="18"/>
    </row>
    <row r="5" spans="1:13">
      <c r="A5" s="19" t="s">
        <v>80</v>
      </c>
      <c r="B5" s="20">
        <v>7000</v>
      </c>
      <c r="D5" t="s">
        <v>81</v>
      </c>
    </row>
    <row r="10" spans="1:13">
      <c r="A10" s="61" t="s">
        <v>82</v>
      </c>
      <c r="B10" s="61"/>
      <c r="C10" s="61"/>
      <c r="D10" s="61"/>
      <c r="E10" s="61"/>
      <c r="F10" s="61"/>
      <c r="G10" s="61"/>
      <c r="H10" s="61"/>
      <c r="I10" s="61"/>
      <c r="J10" s="61"/>
      <c r="K10" s="61"/>
      <c r="L10" s="61"/>
      <c r="M10" s="61"/>
    </row>
    <row r="11" spans="1:13">
      <c r="A11" s="61" t="s">
        <v>83</v>
      </c>
      <c r="B11" s="61"/>
      <c r="C11" s="61"/>
      <c r="D11" s="61"/>
      <c r="E11" s="61"/>
      <c r="F11" s="61"/>
      <c r="G11" s="61"/>
      <c r="H11" s="61"/>
      <c r="I11" s="61"/>
      <c r="J11" s="61"/>
      <c r="K11" s="61"/>
      <c r="L11" s="61"/>
      <c r="M11" s="61"/>
    </row>
    <row r="12" spans="1:13">
      <c r="A12" s="61" t="s">
        <v>84</v>
      </c>
      <c r="B12" s="61"/>
      <c r="C12" s="61"/>
      <c r="D12" s="61"/>
      <c r="E12" s="61"/>
      <c r="F12" s="61"/>
      <c r="G12" s="61"/>
      <c r="H12" s="61"/>
      <c r="I12" s="61"/>
      <c r="J12" s="61"/>
      <c r="K12" s="61"/>
      <c r="L12" s="61"/>
      <c r="M12" s="61"/>
    </row>
    <row r="13" spans="1:13">
      <c r="A13" s="61" t="s">
        <v>85</v>
      </c>
      <c r="B13" s="61"/>
      <c r="C13" s="61"/>
      <c r="D13" s="61"/>
      <c r="E13" s="61"/>
      <c r="F13" s="61"/>
      <c r="G13" s="61"/>
      <c r="H13" s="61"/>
      <c r="I13" s="61"/>
      <c r="J13" s="61"/>
      <c r="K13" s="61"/>
      <c r="L13" s="61"/>
      <c r="M13" s="61"/>
    </row>
    <row r="14" spans="1:13">
      <c r="A14" s="61" t="s">
        <v>86</v>
      </c>
      <c r="B14" s="61" t="s">
        <v>87</v>
      </c>
      <c r="C14" s="61"/>
      <c r="D14" s="61"/>
      <c r="E14" s="61"/>
      <c r="F14" s="61"/>
      <c r="G14" s="61"/>
      <c r="H14" s="61"/>
      <c r="I14" s="61"/>
      <c r="J14" s="61"/>
      <c r="K14" s="61"/>
      <c r="L14" s="61"/>
      <c r="M14" s="61"/>
    </row>
    <row r="15" spans="1:13">
      <c r="A15" s="61" t="s">
        <v>88</v>
      </c>
      <c r="B15" s="61">
        <v>3</v>
      </c>
      <c r="C15" s="61"/>
      <c r="D15" s="61"/>
      <c r="E15" s="61"/>
      <c r="F15" s="61"/>
      <c r="G15" s="61"/>
      <c r="H15" s="61"/>
      <c r="I15" s="61"/>
      <c r="J15" s="61"/>
      <c r="K15" s="61"/>
      <c r="L15" s="61"/>
      <c r="M15" s="61"/>
    </row>
    <row r="16" spans="1:13">
      <c r="A16" s="61" t="s">
        <v>89</v>
      </c>
      <c r="B16" s="61">
        <v>0</v>
      </c>
      <c r="C16" s="61"/>
      <c r="D16" s="61"/>
      <c r="E16" s="61"/>
      <c r="F16" s="61"/>
      <c r="G16" s="61"/>
      <c r="H16" s="61"/>
      <c r="I16" s="61"/>
      <c r="J16" s="61"/>
      <c r="K16" s="61"/>
      <c r="L16" s="61"/>
      <c r="M16" s="61"/>
    </row>
    <row r="17" spans="1:13">
      <c r="A17" s="61" t="s">
        <v>90</v>
      </c>
      <c r="B17" s="61">
        <v>10</v>
      </c>
      <c r="C17" s="61"/>
      <c r="D17" s="61"/>
      <c r="E17" s="61"/>
      <c r="F17" s="61"/>
      <c r="G17" s="61"/>
      <c r="H17" s="61"/>
      <c r="I17" s="61"/>
      <c r="J17" s="61"/>
      <c r="K17" s="61"/>
      <c r="L17" s="61"/>
      <c r="M17" s="61"/>
    </row>
    <row r="18" spans="1:13">
      <c r="A18" s="61" t="s">
        <v>91</v>
      </c>
      <c r="B18" s="61">
        <v>300</v>
      </c>
      <c r="C18" s="61"/>
      <c r="D18" s="61"/>
      <c r="E18" s="61"/>
      <c r="F18" s="61"/>
      <c r="G18" s="61"/>
      <c r="H18" s="61"/>
      <c r="I18" s="61"/>
      <c r="J18" s="61"/>
      <c r="K18" s="61"/>
      <c r="L18" s="61"/>
      <c r="M18" s="61"/>
    </row>
    <row r="19" spans="1:13">
      <c r="A19" s="61" t="s">
        <v>92</v>
      </c>
      <c r="B19" s="61"/>
      <c r="C19" s="61"/>
      <c r="D19" s="61"/>
      <c r="E19" s="61"/>
      <c r="F19" s="61"/>
      <c r="G19" s="61"/>
      <c r="H19" s="61"/>
      <c r="I19" s="61"/>
      <c r="J19" s="61"/>
      <c r="K19" s="61"/>
      <c r="L19" s="61"/>
      <c r="M19" s="61"/>
    </row>
    <row r="20" spans="1:13">
      <c r="A20" s="61" t="s">
        <v>93</v>
      </c>
      <c r="B20" s="61"/>
      <c r="C20" s="61"/>
      <c r="D20" s="61"/>
      <c r="E20" s="61"/>
      <c r="F20" s="61"/>
      <c r="G20" s="61"/>
      <c r="H20" s="61"/>
      <c r="I20" s="61"/>
      <c r="J20" s="61"/>
      <c r="K20" s="61"/>
      <c r="L20" s="61"/>
      <c r="M20" s="61"/>
    </row>
    <row r="21" spans="1:13">
      <c r="A21" s="61" t="s">
        <v>94</v>
      </c>
      <c r="B21" s="61">
        <v>1</v>
      </c>
      <c r="C21" s="61">
        <v>1</v>
      </c>
      <c r="D21" s="61">
        <v>1</v>
      </c>
      <c r="E21" s="61">
        <v>1</v>
      </c>
      <c r="F21" s="61">
        <v>1</v>
      </c>
      <c r="G21" s="61">
        <v>1</v>
      </c>
      <c r="H21" s="61">
        <v>1</v>
      </c>
      <c r="I21" s="61">
        <v>1</v>
      </c>
      <c r="J21" s="61">
        <v>1</v>
      </c>
      <c r="K21" s="61">
        <v>1</v>
      </c>
      <c r="L21" s="61">
        <v>1</v>
      </c>
      <c r="M21" s="61">
        <v>1</v>
      </c>
    </row>
    <row r="22" spans="1:13">
      <c r="A22" s="61" t="s">
        <v>95</v>
      </c>
      <c r="B22" s="61">
        <v>0</v>
      </c>
      <c r="C22" s="61">
        <v>0</v>
      </c>
      <c r="D22" s="61">
        <v>0</v>
      </c>
      <c r="E22" s="61">
        <v>0</v>
      </c>
      <c r="F22" s="61">
        <v>0</v>
      </c>
      <c r="G22" s="61">
        <v>0</v>
      </c>
      <c r="H22" s="61">
        <v>0</v>
      </c>
      <c r="I22" s="61">
        <v>0</v>
      </c>
      <c r="J22" s="61">
        <v>0</v>
      </c>
      <c r="K22" s="61">
        <v>0</v>
      </c>
      <c r="L22" s="61">
        <v>0</v>
      </c>
      <c r="M22" s="61">
        <v>0</v>
      </c>
    </row>
    <row r="23" spans="1:13">
      <c r="A23" s="61" t="s">
        <v>96</v>
      </c>
      <c r="B23" s="61">
        <v>1</v>
      </c>
      <c r="C23" s="61">
        <v>1</v>
      </c>
      <c r="D23" s="61">
        <v>1</v>
      </c>
      <c r="E23" s="61">
        <v>1</v>
      </c>
      <c r="F23" s="61">
        <v>1</v>
      </c>
      <c r="G23" s="61">
        <v>1</v>
      </c>
      <c r="H23" s="61">
        <v>1</v>
      </c>
      <c r="I23" s="61">
        <v>1</v>
      </c>
      <c r="J23" s="61">
        <v>1</v>
      </c>
      <c r="K23" s="61">
        <v>1</v>
      </c>
      <c r="L23" s="61">
        <v>1</v>
      </c>
      <c r="M23" s="61">
        <v>1</v>
      </c>
    </row>
    <row r="24" spans="1:13">
      <c r="A24" s="61" t="s">
        <v>97</v>
      </c>
      <c r="B24" s="61">
        <v>0</v>
      </c>
      <c r="C24" s="61">
        <v>0</v>
      </c>
      <c r="D24" s="61">
        <v>0</v>
      </c>
      <c r="E24" s="61">
        <v>0</v>
      </c>
      <c r="F24" s="61">
        <v>0</v>
      </c>
      <c r="G24" s="61">
        <v>0</v>
      </c>
      <c r="H24" s="61">
        <v>0</v>
      </c>
      <c r="I24" s="61">
        <v>0</v>
      </c>
      <c r="J24" s="61">
        <v>0</v>
      </c>
      <c r="K24" s="61">
        <v>0</v>
      </c>
      <c r="L24" s="61">
        <v>0</v>
      </c>
      <c r="M24" s="61">
        <v>0</v>
      </c>
    </row>
    <row r="25" spans="1:13">
      <c r="A25" s="61" t="s">
        <v>98</v>
      </c>
      <c r="B25" s="61">
        <v>1</v>
      </c>
      <c r="C25" s="61">
        <v>1</v>
      </c>
      <c r="D25" s="61">
        <v>1</v>
      </c>
      <c r="E25" s="61">
        <v>1</v>
      </c>
      <c r="F25" s="61">
        <v>1</v>
      </c>
      <c r="G25" s="61">
        <v>1</v>
      </c>
      <c r="H25" s="61">
        <v>1</v>
      </c>
      <c r="I25" s="61">
        <v>1</v>
      </c>
      <c r="J25" s="61">
        <v>1</v>
      </c>
      <c r="K25" s="61">
        <v>1</v>
      </c>
      <c r="L25" s="61">
        <v>1</v>
      </c>
      <c r="M25" s="61">
        <v>1</v>
      </c>
    </row>
    <row r="26" spans="1:13">
      <c r="A26" s="61" t="s">
        <v>99</v>
      </c>
      <c r="B26" s="61">
        <v>1</v>
      </c>
      <c r="C26" s="61">
        <v>1</v>
      </c>
      <c r="D26" s="61">
        <v>1</v>
      </c>
      <c r="E26" s="61">
        <v>1</v>
      </c>
      <c r="F26" s="61">
        <v>1</v>
      </c>
      <c r="G26" s="61">
        <v>1</v>
      </c>
      <c r="H26" s="61">
        <v>1</v>
      </c>
      <c r="I26" s="61">
        <v>1</v>
      </c>
      <c r="J26" s="61">
        <v>1</v>
      </c>
      <c r="K26" s="61">
        <v>1</v>
      </c>
      <c r="L26" s="61">
        <v>1</v>
      </c>
      <c r="M26" s="61">
        <v>1</v>
      </c>
    </row>
    <row r="27" spans="1:13">
      <c r="A27" s="61" t="s">
        <v>100</v>
      </c>
      <c r="B27" s="61">
        <v>0</v>
      </c>
      <c r="C27" s="61">
        <v>0</v>
      </c>
      <c r="D27" s="61">
        <v>0</v>
      </c>
      <c r="E27" s="61">
        <v>0</v>
      </c>
      <c r="F27" s="61">
        <v>0</v>
      </c>
      <c r="G27" s="61">
        <v>0</v>
      </c>
      <c r="H27" s="61">
        <v>0</v>
      </c>
      <c r="I27" s="61">
        <v>0</v>
      </c>
      <c r="J27" s="61">
        <v>0</v>
      </c>
      <c r="K27" s="61">
        <v>0</v>
      </c>
      <c r="L27" s="61">
        <v>0</v>
      </c>
      <c r="M27" s="61">
        <v>0</v>
      </c>
    </row>
    <row r="28" spans="1:13">
      <c r="A28" s="61"/>
      <c r="B28" s="61"/>
      <c r="C28" s="61"/>
      <c r="D28" s="61"/>
      <c r="E28" s="61"/>
      <c r="F28" s="61"/>
      <c r="G28" s="61"/>
      <c r="H28" s="61"/>
      <c r="I28" s="61"/>
      <c r="J28" s="61"/>
      <c r="K28" s="61"/>
      <c r="L28" s="61"/>
      <c r="M28" s="61"/>
    </row>
    <row r="29" spans="1:13">
      <c r="A29" s="61" t="s">
        <v>260</v>
      </c>
      <c r="B29" s="61"/>
      <c r="C29" s="61"/>
      <c r="D29" s="61"/>
      <c r="E29" s="61"/>
      <c r="F29" s="61"/>
      <c r="G29" s="61"/>
      <c r="H29" s="61"/>
      <c r="I29" s="61"/>
      <c r="J29" s="61"/>
      <c r="K29" s="61"/>
      <c r="L29" s="61"/>
      <c r="M29" s="61"/>
    </row>
    <row r="30" spans="1:13">
      <c r="A30" s="61"/>
      <c r="B30" s="61"/>
      <c r="C30" s="61"/>
      <c r="D30" s="61"/>
      <c r="E30" s="61"/>
      <c r="F30" s="61"/>
      <c r="G30" s="61"/>
      <c r="H30" s="61"/>
      <c r="I30" s="61"/>
      <c r="J30" s="61"/>
      <c r="K30" s="61"/>
      <c r="L30" s="61"/>
      <c r="M30" s="61"/>
    </row>
    <row r="31" spans="1:13">
      <c r="A31" s="61" t="s">
        <v>261</v>
      </c>
      <c r="B31" s="61"/>
      <c r="C31" s="61"/>
      <c r="D31" s="61"/>
      <c r="E31" s="61"/>
      <c r="F31" s="61"/>
      <c r="G31" s="61"/>
      <c r="H31" s="61"/>
      <c r="I31" s="61"/>
      <c r="J31" s="61"/>
      <c r="K31" s="61"/>
      <c r="L31" s="61"/>
      <c r="M31" s="61"/>
    </row>
    <row r="32" spans="1:13">
      <c r="A32" s="61" t="s">
        <v>253</v>
      </c>
      <c r="B32" t="s">
        <v>279</v>
      </c>
      <c r="C32" s="61"/>
      <c r="D32" s="61"/>
      <c r="E32" s="61"/>
      <c r="F32" s="61"/>
      <c r="G32" s="61"/>
      <c r="H32" s="61"/>
      <c r="I32" s="61"/>
      <c r="J32" s="61"/>
      <c r="K32" s="61"/>
      <c r="L32" s="61"/>
      <c r="M32" s="61"/>
    </row>
    <row r="33" spans="1:13">
      <c r="A33" s="61" t="s">
        <v>254</v>
      </c>
      <c r="B33" s="61"/>
      <c r="C33" s="61"/>
      <c r="D33" s="61"/>
      <c r="E33" s="61"/>
      <c r="F33" s="61"/>
      <c r="G33" s="61"/>
      <c r="H33" s="61"/>
      <c r="I33" s="61"/>
      <c r="J33" s="61"/>
      <c r="K33" s="61"/>
      <c r="L33" s="61"/>
      <c r="M33" s="61"/>
    </row>
    <row r="34" spans="1:13">
      <c r="A34" s="61" t="s">
        <v>255</v>
      </c>
      <c r="B34" s="61"/>
      <c r="C34" s="61"/>
      <c r="D34" s="61"/>
      <c r="E34" s="61"/>
      <c r="F34" s="61"/>
      <c r="G34" s="61"/>
      <c r="H34" s="61"/>
      <c r="I34" s="61"/>
      <c r="J34" s="61"/>
      <c r="K34" s="61"/>
      <c r="L34" s="61"/>
      <c r="M34" s="61"/>
    </row>
    <row r="35" spans="1:13">
      <c r="A35" s="61" t="s">
        <v>262</v>
      </c>
      <c r="B35" s="61"/>
      <c r="C35" s="61"/>
      <c r="D35" s="61"/>
      <c r="E35" s="61"/>
      <c r="F35" s="61"/>
      <c r="G35" s="61"/>
      <c r="H35" s="61"/>
      <c r="I35" s="61"/>
      <c r="J35" s="61"/>
      <c r="K35" s="61"/>
      <c r="L35" s="61"/>
      <c r="M35" s="61"/>
    </row>
    <row r="36" spans="1:13">
      <c r="A36" s="61" t="s">
        <v>256</v>
      </c>
      <c r="B36" s="61"/>
      <c r="C36" s="61"/>
      <c r="D36" s="61"/>
      <c r="E36" s="61"/>
      <c r="F36" s="61"/>
      <c r="G36" s="61"/>
      <c r="H36" s="61"/>
      <c r="I36" s="61"/>
      <c r="J36" s="61"/>
      <c r="K36" s="61"/>
      <c r="L36" s="61"/>
      <c r="M36" s="61"/>
    </row>
    <row r="37" spans="1:13">
      <c r="A37" s="61" t="s">
        <v>263</v>
      </c>
      <c r="B37" s="61"/>
      <c r="C37" s="61" t="s">
        <v>264</v>
      </c>
      <c r="D37" s="61"/>
      <c r="E37" s="61"/>
      <c r="F37" s="61"/>
      <c r="G37" s="61"/>
      <c r="H37" s="61"/>
      <c r="I37" s="61"/>
      <c r="J37" s="61"/>
      <c r="K37" s="61"/>
      <c r="L37" s="61"/>
      <c r="M37" s="61"/>
    </row>
    <row r="38" spans="1:13">
      <c r="A38" s="61" t="s">
        <v>258</v>
      </c>
      <c r="B38" s="61"/>
      <c r="C38" s="61"/>
      <c r="D38" s="61"/>
      <c r="E38" s="61"/>
      <c r="F38" s="61"/>
      <c r="G38" s="61"/>
      <c r="H38" s="61"/>
      <c r="I38" s="61"/>
      <c r="J38" s="61"/>
      <c r="K38" s="61"/>
      <c r="L38" s="61"/>
      <c r="M38" s="61"/>
    </row>
    <row r="39" spans="1:13">
      <c r="A39" s="61" t="s">
        <v>259</v>
      </c>
      <c r="B39" s="61"/>
      <c r="C39" s="61"/>
      <c r="D39" s="61"/>
      <c r="E39" s="61"/>
      <c r="F39" s="61"/>
      <c r="G39" s="61"/>
      <c r="H39" s="61"/>
      <c r="I39" s="61"/>
      <c r="J39" s="61"/>
      <c r="K39" s="61"/>
      <c r="L39" s="61"/>
      <c r="M39" s="61"/>
    </row>
    <row r="40" spans="1:13">
      <c r="A40" s="61"/>
      <c r="B40" s="61"/>
      <c r="C40" s="61"/>
      <c r="D40" s="61"/>
      <c r="E40" s="61"/>
      <c r="F40" s="61"/>
      <c r="G40" s="61"/>
      <c r="H40" s="61"/>
      <c r="I40" s="61"/>
      <c r="J40" s="61"/>
      <c r="K40" s="61"/>
      <c r="L40" s="61"/>
      <c r="M40" s="61"/>
    </row>
    <row r="41" spans="1:13">
      <c r="A41" s="61" t="s">
        <v>265</v>
      </c>
      <c r="B41" s="61"/>
      <c r="C41" s="61"/>
      <c r="D41" s="61"/>
      <c r="E41" s="61"/>
      <c r="F41" s="61"/>
      <c r="G41" s="61"/>
      <c r="H41" s="61"/>
      <c r="I41" s="61"/>
      <c r="J41" s="61"/>
      <c r="K41" s="61"/>
      <c r="L41" s="61"/>
      <c r="M41" s="61"/>
    </row>
    <row r="42" spans="1:13">
      <c r="A42" s="61" t="s">
        <v>266</v>
      </c>
      <c r="B42" t="s">
        <v>279</v>
      </c>
      <c r="C42" s="61"/>
      <c r="D42" s="61"/>
      <c r="E42" s="61"/>
      <c r="F42" s="61"/>
      <c r="G42" s="61"/>
      <c r="H42" s="61"/>
      <c r="I42" s="61"/>
      <c r="J42" s="61"/>
      <c r="K42" s="61"/>
      <c r="L42" s="61"/>
      <c r="M42" s="61"/>
    </row>
    <row r="43" spans="1:13">
      <c r="A43" s="61" t="s">
        <v>254</v>
      </c>
      <c r="B43" s="61"/>
      <c r="C43" s="61"/>
      <c r="D43" s="61"/>
      <c r="E43" s="61"/>
      <c r="F43" s="61"/>
      <c r="G43" s="61"/>
      <c r="H43" s="61"/>
      <c r="I43" s="61"/>
      <c r="J43" s="61"/>
      <c r="K43" s="61"/>
      <c r="L43" s="61"/>
      <c r="M43" s="61"/>
    </row>
    <row r="44" spans="1:13">
      <c r="A44" s="61" t="s">
        <v>255</v>
      </c>
      <c r="B44" s="61"/>
      <c r="C44" s="61"/>
      <c r="D44" s="61"/>
      <c r="E44" s="61"/>
      <c r="F44" s="61"/>
      <c r="G44" s="61"/>
      <c r="H44" s="61"/>
      <c r="I44" s="61"/>
      <c r="J44" s="61"/>
      <c r="K44" s="61"/>
      <c r="L44" s="61"/>
      <c r="M44" s="61"/>
    </row>
    <row r="45" spans="1:13">
      <c r="A45" s="61" t="s">
        <v>281</v>
      </c>
      <c r="B45" s="61"/>
      <c r="C45" s="61"/>
      <c r="D45" s="61"/>
      <c r="E45" s="61"/>
      <c r="F45" s="61"/>
      <c r="G45" s="61"/>
      <c r="H45" s="61"/>
      <c r="I45" s="61"/>
      <c r="J45" s="61"/>
      <c r="K45" s="61"/>
      <c r="L45" s="61"/>
      <c r="M45" s="61"/>
    </row>
    <row r="46" spans="1:13">
      <c r="A46" s="61" t="s">
        <v>267</v>
      </c>
      <c r="B46" s="61"/>
      <c r="C46" s="61"/>
      <c r="D46" s="61"/>
      <c r="E46" s="61"/>
      <c r="F46" s="61"/>
      <c r="G46" s="61"/>
      <c r="H46" s="61"/>
      <c r="I46" s="61"/>
      <c r="J46" s="61"/>
      <c r="K46" s="61"/>
      <c r="L46" s="61"/>
      <c r="M46" s="61"/>
    </row>
    <row r="47" spans="1:13">
      <c r="A47" s="61" t="s">
        <v>268</v>
      </c>
      <c r="B47" s="61"/>
      <c r="C47" s="61" t="s">
        <v>264</v>
      </c>
      <c r="D47" s="61"/>
      <c r="E47" s="61"/>
      <c r="F47" s="61"/>
      <c r="G47" s="61"/>
      <c r="H47" s="61"/>
      <c r="I47" s="61"/>
      <c r="J47" s="61"/>
      <c r="K47" s="61"/>
      <c r="L47" s="61"/>
      <c r="M47" s="61"/>
    </row>
    <row r="48" spans="1:13">
      <c r="A48" s="61" t="s">
        <v>269</v>
      </c>
      <c r="B48" s="61"/>
      <c r="C48" s="61"/>
      <c r="D48" s="61"/>
      <c r="E48" s="61"/>
      <c r="F48" s="61"/>
      <c r="G48" s="61"/>
      <c r="H48" s="61"/>
      <c r="I48" s="61"/>
      <c r="J48" s="61"/>
      <c r="K48" s="61"/>
      <c r="L48" s="61"/>
      <c r="M48" s="61"/>
    </row>
    <row r="49" spans="1:13">
      <c r="A49" s="61" t="s">
        <v>259</v>
      </c>
      <c r="B49" s="61"/>
      <c r="C49" s="61"/>
      <c r="D49" s="61"/>
      <c r="E49" s="61"/>
      <c r="F49" s="61"/>
      <c r="G49" s="61"/>
      <c r="H49" s="61"/>
      <c r="I49" s="61"/>
      <c r="J49" s="61"/>
      <c r="K49" s="61"/>
      <c r="L49" s="61"/>
      <c r="M49" s="61"/>
    </row>
    <row r="50" spans="1:13">
      <c r="A50" s="61"/>
      <c r="B50" s="61"/>
      <c r="C50" s="61"/>
      <c r="D50" s="61"/>
      <c r="E50" s="61"/>
      <c r="F50" s="61"/>
      <c r="G50" s="61"/>
      <c r="H50" s="61"/>
      <c r="I50" s="61"/>
      <c r="J50" s="61"/>
      <c r="K50" s="61"/>
      <c r="L50" s="61"/>
      <c r="M50" s="61"/>
    </row>
    <row r="51" spans="1:13">
      <c r="A51" s="61"/>
      <c r="B51" s="61"/>
      <c r="C51" s="61"/>
      <c r="D51" s="61"/>
      <c r="E51" s="61"/>
      <c r="F51" s="61"/>
      <c r="G51" s="61"/>
      <c r="H51" s="61"/>
      <c r="I51" s="61"/>
      <c r="J51" s="61"/>
      <c r="K51" s="61"/>
      <c r="L51" s="61"/>
      <c r="M51" s="61"/>
    </row>
    <row r="52" spans="1:13">
      <c r="A52" s="61" t="s">
        <v>101</v>
      </c>
      <c r="B52" s="61"/>
      <c r="C52" s="61"/>
      <c r="D52" s="61"/>
      <c r="E52" s="61"/>
      <c r="F52" s="61"/>
      <c r="G52" s="61"/>
      <c r="H52" s="61"/>
      <c r="I52" s="61"/>
      <c r="J52" s="61"/>
      <c r="K52" s="61"/>
      <c r="L52" s="61"/>
      <c r="M52" s="61"/>
    </row>
    <row r="53" spans="1:13">
      <c r="A53" s="61" t="s">
        <v>102</v>
      </c>
      <c r="B53" s="61">
        <v>12</v>
      </c>
      <c r="C53" s="61" t="s">
        <v>103</v>
      </c>
      <c r="D53" s="61"/>
      <c r="E53" s="61"/>
      <c r="F53" s="61"/>
      <c r="G53" s="61"/>
      <c r="H53" s="61"/>
      <c r="I53" s="61"/>
      <c r="J53" s="61"/>
      <c r="K53" s="61"/>
      <c r="L53" s="61"/>
      <c r="M53" s="61"/>
    </row>
    <row r="54" spans="1:13">
      <c r="A54" s="61" t="s">
        <v>217</v>
      </c>
      <c r="B54" s="61">
        <v>0</v>
      </c>
      <c r="C54" s="61">
        <v>1</v>
      </c>
      <c r="D54" s="61">
        <v>2</v>
      </c>
      <c r="E54" s="61">
        <v>3</v>
      </c>
      <c r="F54" s="61">
        <v>4</v>
      </c>
      <c r="G54" s="61">
        <v>5</v>
      </c>
      <c r="H54" s="61">
        <v>6</v>
      </c>
      <c r="I54" s="61">
        <v>7</v>
      </c>
      <c r="J54" s="61">
        <v>8</v>
      </c>
      <c r="K54" s="61">
        <v>9</v>
      </c>
      <c r="L54" s="61">
        <v>10</v>
      </c>
      <c r="M54" s="61">
        <v>11</v>
      </c>
    </row>
    <row r="55" spans="1:13">
      <c r="A55" s="61" t="s">
        <v>216</v>
      </c>
      <c r="B55" s="61">
        <v>100</v>
      </c>
      <c r="C55" s="61">
        <v>100</v>
      </c>
      <c r="D55" s="61">
        <v>100</v>
      </c>
      <c r="E55" s="61">
        <v>100</v>
      </c>
      <c r="F55" s="61">
        <v>100</v>
      </c>
      <c r="G55" s="61">
        <v>100</v>
      </c>
      <c r="H55" s="61">
        <v>100</v>
      </c>
      <c r="I55" s="61">
        <v>100</v>
      </c>
      <c r="J55" s="61">
        <v>100</v>
      </c>
      <c r="K55" s="61">
        <v>100</v>
      </c>
      <c r="L55" s="61">
        <v>100</v>
      </c>
      <c r="M55" s="61">
        <v>100</v>
      </c>
    </row>
    <row r="56" spans="1:13">
      <c r="A56" s="61" t="s">
        <v>104</v>
      </c>
      <c r="B56" s="61"/>
      <c r="C56" s="61"/>
      <c r="D56" s="61"/>
      <c r="E56" s="61"/>
      <c r="F56" s="61"/>
      <c r="G56" s="61"/>
      <c r="H56" s="61"/>
      <c r="I56" s="61"/>
      <c r="J56" s="61"/>
      <c r="K56" s="61"/>
      <c r="L56" s="61"/>
      <c r="M56" s="61"/>
    </row>
    <row r="57" spans="1:13">
      <c r="A57" s="61" t="s">
        <v>215</v>
      </c>
      <c r="B57" s="61">
        <v>0</v>
      </c>
      <c r="C57" s="61">
        <v>1</v>
      </c>
      <c r="D57" s="61">
        <v>2</v>
      </c>
      <c r="E57" s="61">
        <v>3</v>
      </c>
      <c r="F57" s="61">
        <v>4</v>
      </c>
      <c r="G57" s="61">
        <v>5</v>
      </c>
      <c r="H57" s="61">
        <v>6</v>
      </c>
      <c r="I57" s="61">
        <v>7</v>
      </c>
      <c r="J57" s="61">
        <v>8</v>
      </c>
      <c r="K57" s="61">
        <v>9</v>
      </c>
      <c r="L57" s="61">
        <v>10</v>
      </c>
      <c r="M57" s="61">
        <v>11</v>
      </c>
    </row>
    <row r="58" spans="1:13">
      <c r="A58" s="61" t="s">
        <v>214</v>
      </c>
      <c r="B58" s="61">
        <v>2</v>
      </c>
      <c r="C58" s="61">
        <v>3</v>
      </c>
      <c r="D58" s="61">
        <v>0</v>
      </c>
      <c r="E58" s="61">
        <v>1</v>
      </c>
      <c r="F58" s="61">
        <v>4</v>
      </c>
      <c r="G58" s="61">
        <v>5</v>
      </c>
      <c r="H58" s="61">
        <v>8</v>
      </c>
      <c r="I58" s="61">
        <v>9</v>
      </c>
      <c r="J58" s="61">
        <v>6</v>
      </c>
      <c r="K58" s="61">
        <v>7</v>
      </c>
      <c r="L58" s="61">
        <v>10</v>
      </c>
      <c r="M58" s="61">
        <v>11</v>
      </c>
    </row>
    <row r="59" spans="1:13">
      <c r="A59" s="61"/>
      <c r="B59" s="61"/>
      <c r="C59" s="61"/>
      <c r="D59" s="61"/>
      <c r="E59" s="61"/>
      <c r="F59" s="61"/>
      <c r="G59" s="61"/>
      <c r="H59" s="61"/>
      <c r="I59" s="61"/>
      <c r="J59" s="61"/>
      <c r="K59" s="61"/>
      <c r="L59" s="61"/>
      <c r="M59" s="61"/>
    </row>
    <row r="60" spans="1:13">
      <c r="A60" s="61" t="s">
        <v>213</v>
      </c>
      <c r="B60" s="61">
        <f>+INDEX(Sheet1!$K$7:$K18,COLUMN()-COLUMN($B$91)+1)</f>
        <v>11.375</v>
      </c>
      <c r="C60" s="61">
        <f>+INDEX(Sheet1!$K$7:$K18,COLUMN()-COLUMN($B$91)+1)</f>
        <v>11.375</v>
      </c>
      <c r="D60" s="61">
        <f>+INDEX(Sheet1!$K$7:$K18,COLUMN()-COLUMN($B$91)+1)</f>
        <v>11.375</v>
      </c>
      <c r="E60" s="61">
        <f>+INDEX(Sheet1!$K$7:$K18,COLUMN()-COLUMN($B$91)+1)</f>
        <v>11.375</v>
      </c>
      <c r="F60" s="61">
        <f>+INDEX(Sheet1!$K$7:$K18,COLUMN()-COLUMN($B$91)+1)</f>
        <v>11.375</v>
      </c>
      <c r="G60" s="61">
        <f>+INDEX(Sheet1!$K$7:$K18,COLUMN()-COLUMN($B$91)+1)</f>
        <v>11.375</v>
      </c>
      <c r="H60" s="61">
        <f>+INDEX(Sheet1!$K$7:$K18,COLUMN()-COLUMN($B$91)+1)</f>
        <v>-11.375</v>
      </c>
      <c r="I60" s="61">
        <f>+INDEX(Sheet1!$K$7:$K18,COLUMN()-COLUMN($B$91)+1)</f>
        <v>-11.375</v>
      </c>
      <c r="J60" s="61">
        <f>+INDEX(Sheet1!$K$7:$K18,COLUMN()-COLUMN($B$91)+1)</f>
        <v>-11.375</v>
      </c>
      <c r="K60" s="61">
        <f>+INDEX(Sheet1!$K$7:$K18,COLUMN()-COLUMN($B$91)+1)</f>
        <v>-11.375</v>
      </c>
      <c r="L60" s="61">
        <f>+INDEX(Sheet1!$K$7:$K18,COLUMN()-COLUMN($B$91)+1)</f>
        <v>-11.375</v>
      </c>
      <c r="M60" s="61">
        <f>+INDEX(Sheet1!$K$7:$K18,COLUMN()-COLUMN($B$91)+1)</f>
        <v>-11.375</v>
      </c>
    </row>
    <row r="61" spans="1:13">
      <c r="A61" s="61" t="s">
        <v>212</v>
      </c>
      <c r="B61" s="34">
        <f>+INDEX(Sheet1!$D$7:$D19,COLUMN()-COLUMN($B$91)+1)++INDEX(Sheet1!$S$7:$S19,COLUMN()-COLUMN($B$91)+1)</f>
        <v>180</v>
      </c>
      <c r="C61" s="34">
        <f>+INDEX(Sheet1!$D$7:$D19,COLUMN()-COLUMN($B$91)+1)++INDEX(Sheet1!$S$7:$S19,COLUMN()-COLUMN($B$91)+1)</f>
        <v>180</v>
      </c>
      <c r="D61" s="34">
        <f>+INDEX(Sheet1!$D$7:$D19,COLUMN()-COLUMN($B$91)+1)++INDEX(Sheet1!$S$7:$S19,COLUMN()-COLUMN($B$91)+1)</f>
        <v>180</v>
      </c>
      <c r="E61" s="34">
        <f>+INDEX(Sheet1!$D$7:$D19,COLUMN()-COLUMN($B$91)+1)++INDEX(Sheet1!$S$7:$S19,COLUMN()-COLUMN($B$91)+1)</f>
        <v>180</v>
      </c>
      <c r="F61" s="34">
        <f>+INDEX(Sheet1!$D$7:$D19,COLUMN()-COLUMN($B$91)+1)++INDEX(Sheet1!$S$7:$S19,COLUMN()-COLUMN($B$91)+1)</f>
        <v>180</v>
      </c>
      <c r="G61" s="34">
        <f>+INDEX(Sheet1!$D$7:$D19,COLUMN()-COLUMN($B$91)+1)++INDEX(Sheet1!$S$7:$S19,COLUMN()-COLUMN($B$91)+1)</f>
        <v>180</v>
      </c>
      <c r="H61" s="34">
        <f>+INDEX(Sheet1!$D$7:$D19,COLUMN()-COLUMN($B$91)+1)++INDEX(Sheet1!$S$7:$S19,COLUMN()-COLUMN($B$91)+1)</f>
        <v>-180</v>
      </c>
      <c r="I61" s="34">
        <f>+INDEX(Sheet1!$D$7:$D19,COLUMN()-COLUMN($B$91)+1)++INDEX(Sheet1!$S$7:$S19,COLUMN()-COLUMN($B$91)+1)</f>
        <v>-180</v>
      </c>
      <c r="J61" s="34">
        <f>+INDEX(Sheet1!$D$7:$D19,COLUMN()-COLUMN($B$91)+1)++INDEX(Sheet1!$S$7:$S19,COLUMN()-COLUMN($B$91)+1)</f>
        <v>-180</v>
      </c>
      <c r="K61" s="34">
        <f>+INDEX(Sheet1!$D$7:$D19,COLUMN()-COLUMN($B$91)+1)++INDEX(Sheet1!$S$7:$S19,COLUMN()-COLUMN($B$91)+1)</f>
        <v>-180</v>
      </c>
      <c r="L61" s="34">
        <f>+INDEX(Sheet1!$D$7:$D19,COLUMN()-COLUMN($B$91)+1)++INDEX(Sheet1!$S$7:$S19,COLUMN()-COLUMN($B$91)+1)</f>
        <v>-180</v>
      </c>
      <c r="M61" s="34">
        <f>+INDEX(Sheet1!$D$7:$D19,COLUMN()-COLUMN($B$91)+1)++INDEX(Sheet1!$S$7:$S19,COLUMN()-COLUMN($B$91)+1)</f>
        <v>-180</v>
      </c>
    </row>
    <row r="62" spans="1:13">
      <c r="A62" s="61"/>
      <c r="B62" s="61"/>
      <c r="C62" s="61"/>
      <c r="D62" s="61"/>
      <c r="E62" s="61"/>
      <c r="F62" s="61"/>
      <c r="G62" s="61"/>
      <c r="H62" s="61"/>
      <c r="I62" s="61"/>
      <c r="J62" s="61"/>
      <c r="K62" s="61"/>
      <c r="L62" s="61"/>
      <c r="M62" s="61"/>
    </row>
    <row r="63" spans="1:13">
      <c r="A63" s="61" t="s">
        <v>105</v>
      </c>
      <c r="B63" s="61">
        <v>0</v>
      </c>
      <c r="C63" s="61"/>
      <c r="D63" s="61"/>
      <c r="E63" s="61"/>
      <c r="F63" s="61"/>
      <c r="G63" s="61"/>
      <c r="H63" s="61"/>
      <c r="I63" s="61"/>
      <c r="J63" s="61"/>
      <c r="K63" s="61"/>
      <c r="L63" s="61"/>
      <c r="M63" s="61"/>
    </row>
    <row r="64" spans="1:13">
      <c r="A64" s="61"/>
      <c r="B64" s="61"/>
      <c r="C64" s="61"/>
      <c r="D64" s="61"/>
      <c r="E64" s="61"/>
      <c r="F64" s="61"/>
      <c r="G64" s="61"/>
      <c r="H64" s="61"/>
      <c r="I64" s="61"/>
      <c r="J64" s="61"/>
      <c r="K64" s="61"/>
      <c r="L64" s="61"/>
      <c r="M64" s="61"/>
    </row>
    <row r="65" spans="1:13">
      <c r="A65" s="61"/>
      <c r="B65" s="61"/>
      <c r="C65" s="61"/>
      <c r="D65" s="61"/>
      <c r="E65" s="61"/>
      <c r="F65" s="61"/>
      <c r="G65" s="61"/>
      <c r="H65" s="61"/>
      <c r="I65" s="61"/>
      <c r="J65" s="61"/>
      <c r="K65" s="61"/>
      <c r="L65" s="61"/>
      <c r="M65" s="61"/>
    </row>
    <row r="66" spans="1:13">
      <c r="A66" s="61" t="s">
        <v>221</v>
      </c>
      <c r="B66" s="61">
        <v>0</v>
      </c>
      <c r="C66" s="61">
        <v>1</v>
      </c>
      <c r="D66" s="61">
        <v>2</v>
      </c>
      <c r="E66" s="61">
        <v>3</v>
      </c>
      <c r="F66" s="61">
        <v>4</v>
      </c>
      <c r="G66" s="61">
        <v>5</v>
      </c>
      <c r="H66" s="61">
        <v>6</v>
      </c>
      <c r="I66" s="61">
        <v>7</v>
      </c>
      <c r="J66" s="61">
        <v>8</v>
      </c>
      <c r="K66" s="61">
        <v>9</v>
      </c>
      <c r="L66" s="61">
        <v>10</v>
      </c>
      <c r="M66" s="61">
        <v>11</v>
      </c>
    </row>
    <row r="67" spans="1:13">
      <c r="A67" s="61" t="s">
        <v>106</v>
      </c>
      <c r="B67" s="61"/>
      <c r="C67" s="61"/>
      <c r="D67" s="61"/>
      <c r="E67" s="61"/>
      <c r="F67" s="61"/>
      <c r="G67" s="61"/>
      <c r="H67" s="61"/>
      <c r="I67" s="61"/>
      <c r="J67" s="61"/>
      <c r="K67" s="61"/>
      <c r="L67" s="61"/>
      <c r="M67" s="61"/>
    </row>
    <row r="68" spans="1:13">
      <c r="A68" s="61" t="s">
        <v>210</v>
      </c>
      <c r="B68" s="61">
        <f>+INDEX(Sheet1!$H$7:$H26,COLUMN()-COLUMN($B$91)+1)</f>
        <v>90</v>
      </c>
      <c r="C68" s="61">
        <f>+INDEX(Sheet1!$H$7:$H26,COLUMN()-COLUMN($B$91)+1)</f>
        <v>90</v>
      </c>
      <c r="D68" s="61">
        <f>+INDEX(Sheet1!$H$7:$H26,COLUMN()-COLUMN($B$91)+1)</f>
        <v>78</v>
      </c>
      <c r="E68" s="61">
        <f>+INDEX(Sheet1!$H$7:$H26,COLUMN()-COLUMN($B$91)+1)</f>
        <v>0</v>
      </c>
      <c r="F68" s="61">
        <f>+INDEX(Sheet1!$H$7:$H26,COLUMN()-COLUMN($B$91)+1)</f>
        <v>39</v>
      </c>
      <c r="G68" s="61">
        <f>+INDEX(Sheet1!$H$7:$H26,COLUMN()-COLUMN($B$91)+1)</f>
        <v>22</v>
      </c>
      <c r="H68" s="61">
        <f>+INDEX(Sheet1!$H$7:$H26,COLUMN()-COLUMN($B$91)+1)</f>
        <v>90</v>
      </c>
      <c r="I68" s="61">
        <f>+INDEX(Sheet1!$H$7:$H26,COLUMN()-COLUMN($B$91)+1)</f>
        <v>90</v>
      </c>
      <c r="J68" s="61">
        <f>+INDEX(Sheet1!$H$7:$H26,COLUMN()-COLUMN($B$91)+1)</f>
        <v>78</v>
      </c>
      <c r="K68" s="61">
        <f>+INDEX(Sheet1!$H$7:$H26,COLUMN()-COLUMN($B$91)+1)</f>
        <v>0</v>
      </c>
      <c r="L68" s="61">
        <f>+INDEX(Sheet1!$H$7:$H26,COLUMN()-COLUMN($B$91)+1)</f>
        <v>39</v>
      </c>
      <c r="M68" s="61">
        <f>+INDEX(Sheet1!$H$7:$H26,COLUMN()-COLUMN($B$91)+1)</f>
        <v>22</v>
      </c>
    </row>
    <row r="69" spans="1:13">
      <c r="A69" s="61" t="s">
        <v>211</v>
      </c>
      <c r="B69" s="61">
        <f>+INDEX(Sheet1!$G$7:$G27,COLUMN()-COLUMN($B$91)+1)</f>
        <v>-30</v>
      </c>
      <c r="C69" s="61">
        <f>+INDEX(Sheet1!$G$7:$G27,COLUMN()-COLUMN($B$91)+1)</f>
        <v>0</v>
      </c>
      <c r="D69" s="61">
        <f>+INDEX(Sheet1!$G$7:$G27,COLUMN()-COLUMN($B$91)+1)</f>
        <v>-80</v>
      </c>
      <c r="E69" s="61">
        <f>+INDEX(Sheet1!$G$7:$G27,COLUMN()-COLUMN($B$91)+1)</f>
        <v>-120</v>
      </c>
      <c r="F69" s="61">
        <f>+INDEX(Sheet1!$G$7:$G27,COLUMN()-COLUMN($B$91)+1)</f>
        <v>-20</v>
      </c>
      <c r="G69" s="61">
        <f>+INDEX(Sheet1!$G$7:$G27,COLUMN()-COLUMN($B$91)+1)</f>
        <v>-22</v>
      </c>
      <c r="H69" s="61">
        <f>+INDEX(Sheet1!$G$7:$G27,COLUMN()-COLUMN($B$91)+1)</f>
        <v>-30</v>
      </c>
      <c r="I69" s="61">
        <f>+INDEX(Sheet1!$G$7:$G27,COLUMN()-COLUMN($B$91)+1)</f>
        <v>0</v>
      </c>
      <c r="J69" s="61">
        <f>+INDEX(Sheet1!$G$7:$G27,COLUMN()-COLUMN($B$91)+1)</f>
        <v>-80</v>
      </c>
      <c r="K69" s="61">
        <f>+INDEX(Sheet1!$G$7:$G27,COLUMN()-COLUMN($B$91)+1)</f>
        <v>-120</v>
      </c>
      <c r="L69" s="61">
        <f>+INDEX(Sheet1!$G$7:$G27,COLUMN()-COLUMN($B$91)+1)</f>
        <v>-20</v>
      </c>
      <c r="M69" s="61">
        <f>+INDEX(Sheet1!$G$7:$G27,COLUMN()-COLUMN($B$91)+1)</f>
        <v>-22</v>
      </c>
    </row>
    <row r="70" spans="1:13">
      <c r="A70" s="61"/>
      <c r="B70" s="61"/>
      <c r="C70" s="61"/>
      <c r="D70" s="61"/>
      <c r="E70" s="61"/>
      <c r="F70" s="61"/>
      <c r="G70" s="61"/>
      <c r="H70" s="61"/>
      <c r="I70" s="61"/>
      <c r="J70" s="61"/>
      <c r="K70" s="61"/>
      <c r="L70" s="61"/>
      <c r="M70" s="61"/>
    </row>
    <row r="71" spans="1:13">
      <c r="A71" s="61"/>
      <c r="B71" s="61"/>
      <c r="C71" s="61"/>
      <c r="D71" s="61"/>
      <c r="E71" s="61"/>
      <c r="F71" s="61"/>
      <c r="G71" s="61"/>
      <c r="H71" s="61"/>
      <c r="I71" s="61"/>
      <c r="J71" s="61"/>
      <c r="K71" s="61"/>
      <c r="L71" s="61"/>
      <c r="M71" s="61"/>
    </row>
    <row r="72" spans="1:13">
      <c r="A72" s="61" t="s">
        <v>219</v>
      </c>
      <c r="B72" s="61">
        <v>0</v>
      </c>
      <c r="C72" s="61">
        <v>1</v>
      </c>
      <c r="D72" s="61">
        <v>2</v>
      </c>
      <c r="E72" s="61">
        <v>3</v>
      </c>
      <c r="F72" s="61">
        <v>4</v>
      </c>
      <c r="G72" s="61">
        <v>5</v>
      </c>
      <c r="H72" s="61">
        <v>6</v>
      </c>
      <c r="I72" s="61">
        <v>7</v>
      </c>
      <c r="J72" s="61">
        <v>8</v>
      </c>
      <c r="K72" s="61">
        <v>9</v>
      </c>
      <c r="L72" s="61">
        <v>10</v>
      </c>
      <c r="M72" s="61">
        <v>11</v>
      </c>
    </row>
    <row r="73" spans="1:13">
      <c r="A73" s="61" t="s">
        <v>218</v>
      </c>
      <c r="B73" s="61">
        <f>+$B$5</f>
        <v>7000</v>
      </c>
      <c r="C73" s="61">
        <f t="shared" ref="C73:M73" si="0">+$B$5</f>
        <v>7000</v>
      </c>
      <c r="D73" s="61">
        <f t="shared" si="0"/>
        <v>7000</v>
      </c>
      <c r="E73" s="61">
        <f t="shared" si="0"/>
        <v>7000</v>
      </c>
      <c r="F73" s="61">
        <f t="shared" si="0"/>
        <v>7000</v>
      </c>
      <c r="G73" s="61">
        <f t="shared" si="0"/>
        <v>7000</v>
      </c>
      <c r="H73" s="61">
        <f t="shared" si="0"/>
        <v>7000</v>
      </c>
      <c r="I73" s="61">
        <f t="shared" si="0"/>
        <v>7000</v>
      </c>
      <c r="J73" s="61">
        <f t="shared" si="0"/>
        <v>7000</v>
      </c>
      <c r="K73" s="61">
        <f t="shared" si="0"/>
        <v>7000</v>
      </c>
      <c r="L73" s="61">
        <f t="shared" si="0"/>
        <v>7000</v>
      </c>
      <c r="M73" s="61">
        <f t="shared" si="0"/>
        <v>7000</v>
      </c>
    </row>
    <row r="74" spans="1:13">
      <c r="A74" s="61"/>
      <c r="B74" s="61"/>
      <c r="C74" s="61"/>
      <c r="D74" s="61"/>
      <c r="E74" s="61"/>
      <c r="F74" s="61"/>
      <c r="G74" s="61"/>
      <c r="H74" s="61"/>
      <c r="I74" s="61"/>
      <c r="J74" s="61"/>
      <c r="K74" s="61"/>
      <c r="L74" s="61"/>
      <c r="M74" s="61"/>
    </row>
    <row r="75" spans="1:13">
      <c r="A75" s="61" t="s">
        <v>107</v>
      </c>
      <c r="B75" s="61" t="s">
        <v>108</v>
      </c>
      <c r="C75" s="61" t="s">
        <v>109</v>
      </c>
      <c r="D75" s="61" t="s">
        <v>110</v>
      </c>
      <c r="E75" s="61" t="s">
        <v>111</v>
      </c>
      <c r="F75" s="61" t="s">
        <v>112</v>
      </c>
      <c r="G75" s="61" t="s">
        <v>113</v>
      </c>
      <c r="H75" s="61" t="s">
        <v>114</v>
      </c>
      <c r="I75" s="61"/>
      <c r="J75" s="61"/>
      <c r="K75" s="61"/>
      <c r="L75" s="61"/>
      <c r="M75" s="61"/>
    </row>
    <row r="76" spans="1:13">
      <c r="A76" s="61" t="s">
        <v>115</v>
      </c>
      <c r="B76" s="61"/>
      <c r="C76" s="61"/>
      <c r="D76" s="61"/>
      <c r="E76" s="61"/>
      <c r="F76" s="61"/>
      <c r="G76" s="61"/>
      <c r="H76" s="61"/>
      <c r="I76" s="61"/>
      <c r="J76" s="61"/>
      <c r="K76" s="61"/>
      <c r="L76" s="61"/>
      <c r="M76" s="61"/>
    </row>
    <row r="77" spans="1:13">
      <c r="A77" s="61" t="s">
        <v>116</v>
      </c>
      <c r="B77" s="61">
        <v>32000</v>
      </c>
      <c r="C77" s="61">
        <v>100</v>
      </c>
      <c r="D77" s="61">
        <v>60</v>
      </c>
      <c r="E77" s="61">
        <f>+$B$3</f>
        <v>1333</v>
      </c>
      <c r="F77" s="61">
        <f t="shared" ref="F77:F88" si="1">+$B$3</f>
        <v>1333</v>
      </c>
      <c r="G77" s="61">
        <v>13</v>
      </c>
      <c r="H77" s="61">
        <v>0</v>
      </c>
      <c r="I77" s="61"/>
      <c r="J77" s="61"/>
      <c r="K77" s="61"/>
      <c r="L77" s="61"/>
      <c r="M77" s="61"/>
    </row>
    <row r="78" spans="1:13">
      <c r="A78" s="61" t="s">
        <v>117</v>
      </c>
      <c r="B78" s="61">
        <v>-32000</v>
      </c>
      <c r="C78" s="61">
        <v>-100</v>
      </c>
      <c r="D78" s="61">
        <v>-60</v>
      </c>
      <c r="E78" s="61">
        <f t="shared" ref="E78:E88" si="2">+$B$3</f>
        <v>1333</v>
      </c>
      <c r="F78" s="61">
        <f t="shared" si="1"/>
        <v>1333</v>
      </c>
      <c r="G78" s="61">
        <v>13</v>
      </c>
      <c r="H78" s="61">
        <v>0</v>
      </c>
      <c r="I78" s="61"/>
      <c r="J78" s="61"/>
      <c r="K78" s="61"/>
      <c r="L78" s="61"/>
      <c r="M78" s="61"/>
    </row>
    <row r="79" spans="1:13">
      <c r="A79" s="61" t="s">
        <v>118</v>
      </c>
      <c r="B79" s="61">
        <v>32000</v>
      </c>
      <c r="C79" s="61">
        <v>100</v>
      </c>
      <c r="D79" s="61">
        <v>60</v>
      </c>
      <c r="E79" s="61">
        <f t="shared" si="2"/>
        <v>1333</v>
      </c>
      <c r="F79" s="61">
        <f t="shared" si="1"/>
        <v>1333</v>
      </c>
      <c r="G79" s="61">
        <v>13</v>
      </c>
      <c r="H79" s="61">
        <v>0</v>
      </c>
      <c r="I79" s="61"/>
      <c r="J79" s="61"/>
      <c r="K79" s="61"/>
      <c r="L79" s="61"/>
      <c r="M79" s="61"/>
    </row>
    <row r="80" spans="1:13">
      <c r="A80" s="61" t="s">
        <v>119</v>
      </c>
      <c r="B80" s="61">
        <v>-32000</v>
      </c>
      <c r="C80" s="61">
        <v>-100</v>
      </c>
      <c r="D80" s="61">
        <v>-60</v>
      </c>
      <c r="E80" s="61">
        <f t="shared" si="2"/>
        <v>1333</v>
      </c>
      <c r="F80" s="61">
        <f t="shared" si="1"/>
        <v>1333</v>
      </c>
      <c r="G80" s="61">
        <v>13</v>
      </c>
      <c r="H80" s="61">
        <v>0</v>
      </c>
      <c r="I80" s="61"/>
      <c r="J80" s="61"/>
      <c r="K80" s="61"/>
      <c r="L80" s="61"/>
      <c r="M80" s="61"/>
    </row>
    <row r="81" spans="1:13">
      <c r="A81" s="61" t="s">
        <v>120</v>
      </c>
      <c r="B81" s="61">
        <v>-32000</v>
      </c>
      <c r="C81" s="61">
        <v>-100</v>
      </c>
      <c r="D81" s="61">
        <v>-60</v>
      </c>
      <c r="E81" s="61">
        <f t="shared" si="2"/>
        <v>1333</v>
      </c>
      <c r="F81" s="61">
        <f t="shared" si="1"/>
        <v>1333</v>
      </c>
      <c r="G81" s="61">
        <v>13</v>
      </c>
      <c r="H81" s="61">
        <v>0</v>
      </c>
      <c r="I81" s="61"/>
      <c r="J81" s="61"/>
      <c r="K81" s="61"/>
      <c r="L81" s="61"/>
      <c r="M81" s="61"/>
    </row>
    <row r="82" spans="1:13">
      <c r="A82" s="61" t="s">
        <v>121</v>
      </c>
      <c r="B82" s="61">
        <v>-32000</v>
      </c>
      <c r="C82" s="61">
        <v>-100</v>
      </c>
      <c r="D82" s="61">
        <v>-60</v>
      </c>
      <c r="E82" s="61">
        <f t="shared" si="2"/>
        <v>1333</v>
      </c>
      <c r="F82" s="61">
        <f t="shared" si="1"/>
        <v>1333</v>
      </c>
      <c r="G82" s="61">
        <v>13</v>
      </c>
      <c r="H82" s="61">
        <v>0</v>
      </c>
      <c r="I82" s="61"/>
      <c r="J82" s="61"/>
      <c r="K82" s="61"/>
      <c r="L82" s="61"/>
      <c r="M82" s="61"/>
    </row>
    <row r="83" spans="1:13">
      <c r="A83" s="61" t="s">
        <v>122</v>
      </c>
      <c r="B83" s="61">
        <v>32000</v>
      </c>
      <c r="C83" s="61">
        <v>100</v>
      </c>
      <c r="D83" s="61">
        <v>60</v>
      </c>
      <c r="E83" s="61">
        <f t="shared" si="2"/>
        <v>1333</v>
      </c>
      <c r="F83" s="61">
        <f t="shared" si="1"/>
        <v>1333</v>
      </c>
      <c r="G83" s="61">
        <v>13</v>
      </c>
      <c r="H83" s="61">
        <v>0</v>
      </c>
      <c r="I83" s="61"/>
      <c r="J83" s="61"/>
      <c r="K83" s="61"/>
      <c r="L83" s="61"/>
      <c r="M83" s="61"/>
    </row>
    <row r="84" spans="1:13">
      <c r="A84" s="61" t="s">
        <v>123</v>
      </c>
      <c r="B84" s="61">
        <v>-32000</v>
      </c>
      <c r="C84" s="61">
        <v>-100</v>
      </c>
      <c r="D84" s="61">
        <v>-60</v>
      </c>
      <c r="E84" s="61">
        <f t="shared" si="2"/>
        <v>1333</v>
      </c>
      <c r="F84" s="61">
        <f t="shared" si="1"/>
        <v>1333</v>
      </c>
      <c r="G84" s="61">
        <v>13</v>
      </c>
      <c r="H84" s="61">
        <v>0</v>
      </c>
      <c r="I84" s="61"/>
      <c r="J84" s="61"/>
      <c r="K84" s="61"/>
      <c r="L84" s="61"/>
      <c r="M84" s="61"/>
    </row>
    <row r="85" spans="1:13">
      <c r="A85" s="61" t="s">
        <v>124</v>
      </c>
      <c r="B85" s="61">
        <v>32000</v>
      </c>
      <c r="C85" s="61">
        <v>100</v>
      </c>
      <c r="D85" s="61">
        <v>60</v>
      </c>
      <c r="E85" s="61">
        <f t="shared" si="2"/>
        <v>1333</v>
      </c>
      <c r="F85" s="61">
        <f t="shared" si="1"/>
        <v>1333</v>
      </c>
      <c r="G85" s="61">
        <v>13</v>
      </c>
      <c r="H85" s="61">
        <v>0</v>
      </c>
      <c r="I85" s="61"/>
      <c r="J85" s="61"/>
      <c r="K85" s="61"/>
      <c r="L85" s="61"/>
      <c r="M85" s="61"/>
    </row>
    <row r="86" spans="1:13">
      <c r="A86" s="61" t="s">
        <v>125</v>
      </c>
      <c r="B86" s="61">
        <v>-32000</v>
      </c>
      <c r="C86" s="61">
        <v>-100</v>
      </c>
      <c r="D86" s="61">
        <v>-60</v>
      </c>
      <c r="E86" s="61">
        <f t="shared" si="2"/>
        <v>1333</v>
      </c>
      <c r="F86" s="61">
        <f t="shared" si="1"/>
        <v>1333</v>
      </c>
      <c r="G86" s="61">
        <v>13</v>
      </c>
      <c r="H86" s="61">
        <v>0</v>
      </c>
      <c r="I86" s="61"/>
      <c r="J86" s="61"/>
      <c r="K86" s="61"/>
      <c r="L86" s="61"/>
      <c r="M86" s="61"/>
    </row>
    <row r="87" spans="1:13">
      <c r="A87" s="61" t="s">
        <v>126</v>
      </c>
      <c r="B87" s="61">
        <v>-32000</v>
      </c>
      <c r="C87" s="61">
        <v>-100</v>
      </c>
      <c r="D87" s="61">
        <v>-60</v>
      </c>
      <c r="E87" s="61">
        <f t="shared" si="2"/>
        <v>1333</v>
      </c>
      <c r="F87" s="61">
        <f t="shared" si="1"/>
        <v>1333</v>
      </c>
      <c r="G87" s="61">
        <v>13</v>
      </c>
      <c r="H87" s="61">
        <v>0</v>
      </c>
      <c r="I87" s="61"/>
      <c r="J87" s="61"/>
      <c r="K87" s="61"/>
      <c r="L87" s="61"/>
      <c r="M87" s="61"/>
    </row>
    <row r="88" spans="1:13">
      <c r="A88" s="61" t="s">
        <v>127</v>
      </c>
      <c r="B88" s="61">
        <v>-32000</v>
      </c>
      <c r="C88" s="61">
        <v>-100</v>
      </c>
      <c r="D88" s="61">
        <v>-60</v>
      </c>
      <c r="E88" s="61">
        <f t="shared" si="2"/>
        <v>1333</v>
      </c>
      <c r="F88" s="61">
        <f t="shared" si="1"/>
        <v>1333</v>
      </c>
      <c r="G88" s="61">
        <v>13</v>
      </c>
      <c r="H88" s="61">
        <v>0</v>
      </c>
      <c r="I88" s="61"/>
      <c r="J88" s="61"/>
      <c r="K88" s="61"/>
      <c r="L88" s="61"/>
      <c r="M88" s="61"/>
    </row>
    <row r="89" spans="1:13">
      <c r="A89" s="61"/>
      <c r="B89" s="61"/>
      <c r="C89" s="61"/>
      <c r="D89" s="61"/>
      <c r="E89" s="61"/>
      <c r="F89" s="61"/>
      <c r="G89" s="61"/>
      <c r="H89" s="61"/>
      <c r="I89" s="61"/>
      <c r="J89" s="61"/>
      <c r="K89" s="61"/>
      <c r="L89" s="61"/>
      <c r="M89" s="61"/>
    </row>
    <row r="90" spans="1:13">
      <c r="A90" s="61" t="s">
        <v>128</v>
      </c>
      <c r="B90" s="61"/>
      <c r="C90" s="61"/>
      <c r="D90" s="61"/>
      <c r="E90" s="61"/>
      <c r="F90" s="61"/>
      <c r="G90" s="61"/>
      <c r="H90" s="61"/>
      <c r="I90" s="61"/>
      <c r="J90" s="61"/>
      <c r="K90" s="61"/>
      <c r="L90" s="61"/>
      <c r="M90" s="61"/>
    </row>
    <row r="91" spans="1:13">
      <c r="A91" s="61" t="s">
        <v>208</v>
      </c>
      <c r="B91" s="61">
        <v>0</v>
      </c>
      <c r="C91" s="61">
        <v>1</v>
      </c>
      <c r="D91" s="61">
        <v>2</v>
      </c>
      <c r="E91" s="61">
        <v>3</v>
      </c>
      <c r="F91" s="61">
        <v>4</v>
      </c>
      <c r="G91" s="61">
        <v>5</v>
      </c>
      <c r="H91" s="61">
        <v>6</v>
      </c>
      <c r="I91" s="61">
        <v>7</v>
      </c>
      <c r="J91" s="61">
        <v>8</v>
      </c>
      <c r="K91" s="61">
        <v>9</v>
      </c>
      <c r="L91" s="61">
        <v>10</v>
      </c>
      <c r="M91" s="61">
        <v>11</v>
      </c>
    </row>
    <row r="92" spans="1:13">
      <c r="A92" s="61" t="s">
        <v>129</v>
      </c>
      <c r="B92" s="61">
        <v>3</v>
      </c>
      <c r="C92" s="61">
        <v>3</v>
      </c>
      <c r="D92" s="61">
        <v>3</v>
      </c>
      <c r="E92" s="61">
        <v>3</v>
      </c>
      <c r="F92" s="61">
        <v>3</v>
      </c>
      <c r="G92" s="61">
        <v>3</v>
      </c>
      <c r="H92" s="61">
        <v>3</v>
      </c>
      <c r="I92" s="61">
        <v>3</v>
      </c>
      <c r="J92" s="61">
        <v>3</v>
      </c>
      <c r="K92" s="61">
        <v>3</v>
      </c>
      <c r="L92" s="61">
        <v>3</v>
      </c>
      <c r="M92" s="61">
        <v>3</v>
      </c>
    </row>
    <row r="93" spans="1:13">
      <c r="A93" s="61" t="s">
        <v>130</v>
      </c>
      <c r="B93" s="61">
        <f>+INDEX(Sheet1!$L$7:$L18,COLUMN()-COLUMN($B$91)+1)</f>
        <v>2047.5</v>
      </c>
      <c r="C93" s="61">
        <f>+INDEX(Sheet1!$L$7:$L18,COLUMN()-COLUMN($B$91)+1)</f>
        <v>2047.5</v>
      </c>
      <c r="D93" s="61">
        <f>+INDEX(Sheet1!$L$7:$L18,COLUMN()-COLUMN($B$91)+1)</f>
        <v>2047.5</v>
      </c>
      <c r="E93" s="61">
        <f>+INDEX(Sheet1!$L$7:$L18,COLUMN()-COLUMN($B$91)+1)</f>
        <v>2047.5</v>
      </c>
      <c r="F93" s="61">
        <f>+INDEX(Sheet1!$L$7:$L18,COLUMN()-COLUMN($B$91)+1)</f>
        <v>2047.5</v>
      </c>
      <c r="G93" s="61">
        <f>+INDEX(Sheet1!$L$7:$L18,COLUMN()-COLUMN($B$91)+1)</f>
        <v>2047.5</v>
      </c>
      <c r="H93" s="61">
        <f>+INDEX(Sheet1!$L$7:$L18,COLUMN()-COLUMN($B$91)+1)</f>
        <v>2047.5</v>
      </c>
      <c r="I93" s="61">
        <f>+INDEX(Sheet1!$L$7:$L18,COLUMN()-COLUMN($B$91)+1)</f>
        <v>2047.5</v>
      </c>
      <c r="J93" s="61">
        <f>+INDEX(Sheet1!$L$7:$L18,COLUMN()-COLUMN($B$91)+1)</f>
        <v>2047.5</v>
      </c>
      <c r="K93" s="61">
        <f>+INDEX(Sheet1!$L$7:$L18,COLUMN()-COLUMN($B$91)+1)</f>
        <v>2047.5</v>
      </c>
      <c r="L93" s="61">
        <f>+INDEX(Sheet1!$L$7:$L18,COLUMN()-COLUMN($B$91)+1)</f>
        <v>2047.5</v>
      </c>
      <c r="M93" s="61">
        <f>+INDEX(Sheet1!$L$7:$L18,COLUMN()-COLUMN($B$91)+1)</f>
        <v>2047.5</v>
      </c>
    </row>
    <row r="94" spans="1:13">
      <c r="A94" s="61" t="s">
        <v>131</v>
      </c>
      <c r="B94" s="61">
        <f>+INDEX(Sheet1!$M$7:$M19,COLUMN()-COLUMN($B$91)+1)</f>
        <v>10</v>
      </c>
      <c r="C94" s="61">
        <f>+INDEX(Sheet1!$M$7:$M19,COLUMN()-COLUMN($B$91)+1)</f>
        <v>10</v>
      </c>
      <c r="D94" s="61">
        <f>+INDEX(Sheet1!$M$7:$M19,COLUMN()-COLUMN($B$91)+1)</f>
        <v>10</v>
      </c>
      <c r="E94" s="61">
        <f>+INDEX(Sheet1!$M$7:$M19,COLUMN()-COLUMN($B$91)+1)</f>
        <v>10</v>
      </c>
      <c r="F94" s="61">
        <f>+INDEX(Sheet1!$M$7:$M19,COLUMN()-COLUMN($B$91)+1)</f>
        <v>10</v>
      </c>
      <c r="G94" s="61">
        <f>+INDEX(Sheet1!$M$7:$M19,COLUMN()-COLUMN($B$91)+1)</f>
        <v>10</v>
      </c>
      <c r="H94" s="61">
        <f>+INDEX(Sheet1!$M$7:$M19,COLUMN()-COLUMN($B$91)+1)</f>
        <v>10</v>
      </c>
      <c r="I94" s="61">
        <f>+INDEX(Sheet1!$M$7:$M19,COLUMN()-COLUMN($B$91)+1)</f>
        <v>10</v>
      </c>
      <c r="J94" s="61">
        <f>+INDEX(Sheet1!$M$7:$M19,COLUMN()-COLUMN($B$91)+1)</f>
        <v>10</v>
      </c>
      <c r="K94" s="61">
        <f>+INDEX(Sheet1!$M$7:$M19,COLUMN()-COLUMN($B$91)+1)</f>
        <v>10</v>
      </c>
      <c r="L94" s="61">
        <f>+INDEX(Sheet1!$M$7:$M19,COLUMN()-COLUMN($B$91)+1)</f>
        <v>10</v>
      </c>
      <c r="M94" s="61">
        <f>+INDEX(Sheet1!$M$7:$M19,COLUMN()-COLUMN($B$91)+1)</f>
        <v>10</v>
      </c>
    </row>
    <row r="95" spans="1:13">
      <c r="A95" s="61" t="s">
        <v>132</v>
      </c>
      <c r="B95" s="61">
        <f>+INDEX(Sheet1!$N$7:$N20,COLUMN()-COLUMN($B$91)+1)</f>
        <v>2724.3125</v>
      </c>
      <c r="C95" s="61">
        <f>+INDEX(Sheet1!$N$7:$N20,COLUMN()-COLUMN($B$91)+1)</f>
        <v>2515.0124999999998</v>
      </c>
      <c r="D95" s="61">
        <f>+INDEX(Sheet1!$N$7:$N20,COLUMN()-COLUMN($B$91)+1)</f>
        <v>1145.4624999999999</v>
      </c>
      <c r="E95" s="61">
        <f>+INDEX(Sheet1!$N$7:$N20,COLUMN()-COLUMN($B$91)+1)</f>
        <v>25.024999999999871</v>
      </c>
      <c r="F95" s="61">
        <f>+INDEX(Sheet1!$N$7:$N20,COLUMN()-COLUMN($B$91)+1)</f>
        <v>403.8125</v>
      </c>
      <c r="G95" s="61">
        <f>+INDEX(Sheet1!$N$7:$N20,COLUMN()-COLUMN($B$91)+1)</f>
        <v>485.71249999999986</v>
      </c>
      <c r="H95" s="61">
        <f>+INDEX(Sheet1!$N$7:$N20,COLUMN()-COLUMN($B$91)+1)</f>
        <v>2110.0625</v>
      </c>
      <c r="I95" s="61">
        <f>+INDEX(Sheet1!$N$7:$N20,COLUMN()-COLUMN($B$91)+1)</f>
        <v>127.39999999999986</v>
      </c>
      <c r="J95" s="61">
        <f>+INDEX(Sheet1!$N$7:$N20,COLUMN()-COLUMN($B$91)+1)</f>
        <v>3091.7249999999999</v>
      </c>
      <c r="K95" s="61">
        <f>+INDEX(Sheet1!$N$7:$N20,COLUMN()-COLUMN($B$91)+1)</f>
        <v>877.01250000000027</v>
      </c>
      <c r="L95" s="61">
        <f>+INDEX(Sheet1!$N$7:$N20,COLUMN()-COLUMN($B$91)+1)</f>
        <v>1918.9624999999999</v>
      </c>
      <c r="M95" s="61">
        <f>+INDEX(Sheet1!$N$7:$N20,COLUMN()-COLUMN($B$91)+1)</f>
        <v>1793.8374999999999</v>
      </c>
    </row>
    <row r="96" spans="1:13">
      <c r="A96" s="61" t="s">
        <v>133</v>
      </c>
      <c r="B96" s="64">
        <f>+INDEX(Sheet1!$O$7:$O21,COLUMN()-COLUMN($B$91)+1)</f>
        <v>0</v>
      </c>
      <c r="C96" s="64">
        <f>+INDEX(Sheet1!$O$7:$O21,COLUMN()-COLUMN($B$91)+1)</f>
        <v>0</v>
      </c>
      <c r="D96" s="64">
        <f>+INDEX(Sheet1!$O$7:$O21,COLUMN()-COLUMN($B$91)+1)</f>
        <v>0</v>
      </c>
      <c r="E96" s="64">
        <f>+INDEX(Sheet1!$O$7:$O21,COLUMN()-COLUMN($B$91)+1)</f>
        <v>0</v>
      </c>
      <c r="F96" s="64">
        <f>+INDEX(Sheet1!$O$7:$O21,COLUMN()-COLUMN($B$91)+1)</f>
        <v>0</v>
      </c>
      <c r="G96" s="64">
        <f>+INDEX(Sheet1!$O$7:$O21,COLUMN()-COLUMN($B$91)+1)</f>
        <v>0</v>
      </c>
      <c r="H96" s="64">
        <f>+INDEX(Sheet1!$O$7:$O21,COLUMN()-COLUMN($B$91)+1)</f>
        <v>0</v>
      </c>
      <c r="I96" s="64">
        <f>+INDEX(Sheet1!$O$7:$O21,COLUMN()-COLUMN($B$91)+1)</f>
        <v>0</v>
      </c>
      <c r="J96" s="64">
        <f>+INDEX(Sheet1!$O$7:$O21,COLUMN()-COLUMN($B$91)+1)</f>
        <v>0</v>
      </c>
      <c r="K96" s="64">
        <f>+INDEX(Sheet1!$O$7:$O21,COLUMN()-COLUMN($B$91)+1)</f>
        <v>0</v>
      </c>
      <c r="L96" s="64">
        <f>+INDEX(Sheet1!$O$7:$O21,COLUMN()-COLUMN($B$91)+1)</f>
        <v>0</v>
      </c>
      <c r="M96" s="64">
        <f>+INDEX(Sheet1!$O$7:$O21,COLUMN()-COLUMN($B$91)+1)</f>
        <v>0</v>
      </c>
    </row>
    <row r="97" spans="1:13">
      <c r="A97" s="61" t="s">
        <v>134</v>
      </c>
      <c r="B97" s="64">
        <f>+INDEX(Sheet1!$P$7:$P22,COLUMN()-COLUMN($B$91)+1)</f>
        <v>10</v>
      </c>
      <c r="C97" s="64">
        <f>+INDEX(Sheet1!$P$7:$P22,COLUMN()-COLUMN($B$91)+1)</f>
        <v>10</v>
      </c>
      <c r="D97" s="64">
        <f>+INDEX(Sheet1!$P$7:$P22,COLUMN()-COLUMN($B$91)+1)</f>
        <v>10</v>
      </c>
      <c r="E97" s="64">
        <f>+INDEX(Sheet1!$P$7:$P22,COLUMN()-COLUMN($B$91)+1)</f>
        <v>10</v>
      </c>
      <c r="F97" s="64">
        <f>+INDEX(Sheet1!$P$7:$P22,COLUMN()-COLUMN($B$91)+1)</f>
        <v>10</v>
      </c>
      <c r="G97" s="64">
        <f>+INDEX(Sheet1!$P$7:$P22,COLUMN()-COLUMN($B$91)+1)</f>
        <v>10</v>
      </c>
      <c r="H97" s="64">
        <f>+INDEX(Sheet1!$P$7:$P22,COLUMN()-COLUMN($B$91)+1)</f>
        <v>10</v>
      </c>
      <c r="I97" s="64">
        <f>+INDEX(Sheet1!$P$7:$P22,COLUMN()-COLUMN($B$91)+1)</f>
        <v>10</v>
      </c>
      <c r="J97" s="64">
        <f>+INDEX(Sheet1!$P$7:$P22,COLUMN()-COLUMN($B$91)+1)</f>
        <v>10</v>
      </c>
      <c r="K97" s="64">
        <f>+INDEX(Sheet1!$P$7:$P22,COLUMN()-COLUMN($B$91)+1)</f>
        <v>10</v>
      </c>
      <c r="L97" s="64">
        <f>+INDEX(Sheet1!$P$7:$P22,COLUMN()-COLUMN($B$91)+1)</f>
        <v>10</v>
      </c>
      <c r="M97" s="64">
        <f>+INDEX(Sheet1!$P$7:$P22,COLUMN()-COLUMN($B$91)+1)</f>
        <v>10</v>
      </c>
    </row>
    <row r="98" spans="1:13">
      <c r="A98" s="61"/>
      <c r="B98" s="61"/>
      <c r="C98" s="61"/>
      <c r="D98" s="61"/>
      <c r="E98" s="61"/>
      <c r="F98" s="61"/>
      <c r="G98" s="61"/>
      <c r="H98" s="61"/>
      <c r="I98" s="61"/>
      <c r="J98" s="61"/>
      <c r="K98" s="61"/>
      <c r="L98" s="61"/>
      <c r="M98" s="61"/>
    </row>
    <row r="99" spans="1:13">
      <c r="A99" s="61" t="s">
        <v>135</v>
      </c>
      <c r="B99" s="61"/>
      <c r="C99" s="61"/>
      <c r="D99" s="61"/>
      <c r="E99" s="61"/>
      <c r="F99" s="61"/>
      <c r="G99" s="61"/>
      <c r="H99" s="61"/>
      <c r="I99" s="61"/>
      <c r="J99" s="61"/>
      <c r="K99" s="61"/>
      <c r="L99" s="61"/>
      <c r="M99" s="61"/>
    </row>
    <row r="100" spans="1:13">
      <c r="A100" s="61" t="s">
        <v>209</v>
      </c>
      <c r="B100" s="61">
        <v>0</v>
      </c>
      <c r="C100" s="61">
        <v>1</v>
      </c>
      <c r="D100" s="61">
        <v>2</v>
      </c>
      <c r="E100" s="61">
        <v>3</v>
      </c>
      <c r="F100" s="61">
        <v>4</v>
      </c>
      <c r="G100" s="61">
        <v>5</v>
      </c>
      <c r="H100" s="61">
        <v>6</v>
      </c>
      <c r="I100" s="61">
        <v>7</v>
      </c>
      <c r="J100" s="61">
        <v>8</v>
      </c>
      <c r="K100" s="61">
        <v>9</v>
      </c>
      <c r="L100" s="61">
        <v>10</v>
      </c>
      <c r="M100" s="61">
        <v>11</v>
      </c>
    </row>
    <row r="101" spans="1:13">
      <c r="A101" s="61" t="s">
        <v>136</v>
      </c>
      <c r="B101" s="64">
        <f>+INDEX(Sheet1!$Q$7:$Q26,COLUMN()-COLUMN($B$91)+1)</f>
        <v>0</v>
      </c>
      <c r="C101" s="64">
        <f>+INDEX(Sheet1!$Q$7:$Q26,COLUMN()-COLUMN($B$91)+1)</f>
        <v>0</v>
      </c>
      <c r="D101" s="64">
        <f>+INDEX(Sheet1!$Q$7:$Q26,COLUMN()-COLUMN($B$91)+1)</f>
        <v>0</v>
      </c>
      <c r="E101" s="64">
        <f>+INDEX(Sheet1!$Q$7:$Q26,COLUMN()-COLUMN($B$91)+1)</f>
        <v>0</v>
      </c>
      <c r="F101" s="64">
        <f>+INDEX(Sheet1!$Q$7:$Q26,COLUMN()-COLUMN($B$91)+1)</f>
        <v>0</v>
      </c>
      <c r="G101" s="64">
        <f>+INDEX(Sheet1!$Q$7:$Q26,COLUMN()-COLUMN($B$91)+1)</f>
        <v>0</v>
      </c>
      <c r="H101" s="64">
        <f>+INDEX(Sheet1!$Q$7:$Q26,COLUMN()-COLUMN($B$91)+1)</f>
        <v>0</v>
      </c>
      <c r="I101" s="64">
        <f>+INDEX(Sheet1!$Q$7:$Q26,COLUMN()-COLUMN($B$91)+1)</f>
        <v>0</v>
      </c>
      <c r="J101" s="64">
        <f>+INDEX(Sheet1!$Q$7:$Q26,COLUMN()-COLUMN($B$91)+1)</f>
        <v>0</v>
      </c>
      <c r="K101" s="64">
        <f>+INDEX(Sheet1!$Q$7:$Q26,COLUMN()-COLUMN($B$91)+1)</f>
        <v>0</v>
      </c>
      <c r="L101" s="64">
        <f>+INDEX(Sheet1!$Q$7:$Q26,COLUMN()-COLUMN($B$91)+1)</f>
        <v>0</v>
      </c>
      <c r="M101" s="64">
        <f>+INDEX(Sheet1!$Q$7:$Q26,COLUMN()-COLUMN($B$91)+1)</f>
        <v>0</v>
      </c>
    </row>
    <row r="102" spans="1:13">
      <c r="A102" s="61" t="s">
        <v>137</v>
      </c>
      <c r="B102" s="64">
        <f>+INDEX(Sheet1!$R$7:$R27,COLUMN()-COLUMN($B$91)+1)</f>
        <v>10</v>
      </c>
      <c r="C102" s="64">
        <f>+INDEX(Sheet1!$R$7:$R27,COLUMN()-COLUMN($B$91)+1)</f>
        <v>10</v>
      </c>
      <c r="D102" s="64">
        <f>+INDEX(Sheet1!$R$7:$R27,COLUMN()-COLUMN($B$91)+1)</f>
        <v>10</v>
      </c>
      <c r="E102" s="64">
        <f>+INDEX(Sheet1!$R$7:$R27,COLUMN()-COLUMN($B$91)+1)</f>
        <v>10</v>
      </c>
      <c r="F102" s="64">
        <f>+INDEX(Sheet1!$R$7:$R27,COLUMN()-COLUMN($B$91)+1)</f>
        <v>10</v>
      </c>
      <c r="G102" s="64">
        <f>+INDEX(Sheet1!$R$7:$R27,COLUMN()-COLUMN($B$91)+1)</f>
        <v>10</v>
      </c>
      <c r="H102" s="64">
        <f>+INDEX(Sheet1!$R$7:$R27,COLUMN()-COLUMN($B$91)+1)</f>
        <v>10</v>
      </c>
      <c r="I102" s="64">
        <f>+INDEX(Sheet1!$R$7:$R27,COLUMN()-COLUMN($B$91)+1)</f>
        <v>10</v>
      </c>
      <c r="J102" s="64">
        <f>+INDEX(Sheet1!$R$7:$R27,COLUMN()-COLUMN($B$91)+1)</f>
        <v>10</v>
      </c>
      <c r="K102" s="64">
        <f>+INDEX(Sheet1!$R$7:$R27,COLUMN()-COLUMN($B$91)+1)</f>
        <v>10</v>
      </c>
      <c r="L102" s="64">
        <f>+INDEX(Sheet1!$R$7:$R27,COLUMN()-COLUMN($B$91)+1)</f>
        <v>10</v>
      </c>
      <c r="M102" s="64">
        <f>+INDEX(Sheet1!$R$7:$R27,COLUMN()-COLUMN($B$91)+1)</f>
        <v>10</v>
      </c>
    </row>
    <row r="103" spans="1:13">
      <c r="A103" s="61" t="s">
        <v>104</v>
      </c>
      <c r="B103" s="61"/>
      <c r="C103" s="61"/>
      <c r="D103" s="61"/>
      <c r="E103" s="61"/>
      <c r="F103" s="61"/>
      <c r="G103" s="61"/>
      <c r="H103" s="61"/>
      <c r="I103" s="61"/>
      <c r="J103" s="61"/>
      <c r="K103" s="61"/>
      <c r="L103" s="61"/>
      <c r="M103" s="61"/>
    </row>
    <row r="104" spans="1:13">
      <c r="A104" s="61" t="s">
        <v>138</v>
      </c>
      <c r="B104" s="61"/>
      <c r="C104" s="61"/>
      <c r="D104" s="61"/>
      <c r="E104" s="61"/>
      <c r="F104" s="61"/>
      <c r="G104" s="61"/>
      <c r="H104" s="61"/>
      <c r="I104" s="61"/>
      <c r="J104" s="61"/>
      <c r="K104" s="61"/>
      <c r="L104" s="61"/>
      <c r="M104" s="61"/>
    </row>
    <row r="105" spans="1:13">
      <c r="A105" s="61"/>
      <c r="B105" s="61"/>
      <c r="C105" s="61"/>
      <c r="D105" s="61"/>
      <c r="E105" s="61"/>
      <c r="F105" s="61"/>
      <c r="G105" s="61"/>
      <c r="H105" s="61"/>
      <c r="I105" s="61"/>
      <c r="J105" s="61"/>
      <c r="K105" s="61"/>
      <c r="L105" s="61"/>
      <c r="M105" s="61"/>
    </row>
  </sheetData>
  <pageMargins left="0.7" right="0.7" top="0.75" bottom="0.75" header="0.51180555555555551" footer="0.51180555555555551"/>
  <pageSetup firstPageNumber="0" orientation="portrait" horizontalDpi="300" verticalDpi="300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3"/>
  <dimension ref="A3:I93"/>
  <sheetViews>
    <sheetView topLeftCell="A24" zoomScaleNormal="100" workbookViewId="0">
      <selection activeCell="F80" sqref="F80"/>
    </sheetView>
  </sheetViews>
  <sheetFormatPr defaultRowHeight="15"/>
  <cols>
    <col min="1" max="1" width="20.28515625" customWidth="1"/>
    <col min="2" max="2" width="12.5703125" customWidth="1"/>
    <col min="3" max="3" width="12.42578125" customWidth="1"/>
    <col min="5" max="5" width="12.28515625" customWidth="1"/>
    <col min="6" max="6" width="11.85546875" customWidth="1"/>
    <col min="7" max="7" width="14" customWidth="1"/>
  </cols>
  <sheetData>
    <row r="3" spans="1:6">
      <c r="A3" s="15" t="s">
        <v>77</v>
      </c>
      <c r="B3" s="16">
        <v>1333</v>
      </c>
      <c r="D3" t="s">
        <v>78</v>
      </c>
      <c r="F3" t="s">
        <v>79</v>
      </c>
    </row>
    <row r="4" spans="1:6">
      <c r="A4" s="17"/>
      <c r="B4" s="18"/>
    </row>
    <row r="5" spans="1:6">
      <c r="A5" s="19" t="s">
        <v>80</v>
      </c>
      <c r="B5" s="20">
        <v>7000</v>
      </c>
      <c r="D5" t="s">
        <v>81</v>
      </c>
    </row>
    <row r="10" spans="1:6">
      <c r="A10" t="s">
        <v>82</v>
      </c>
    </row>
    <row r="11" spans="1:6">
      <c r="A11" t="s">
        <v>139</v>
      </c>
    </row>
    <row r="12" spans="1:6">
      <c r="A12" t="s">
        <v>84</v>
      </c>
    </row>
    <row r="13" spans="1:6">
      <c r="A13" t="s">
        <v>85</v>
      </c>
    </row>
    <row r="14" spans="1:6">
      <c r="A14" t="s">
        <v>86</v>
      </c>
      <c r="B14" t="s">
        <v>140</v>
      </c>
    </row>
    <row r="15" spans="1:6">
      <c r="A15" t="s">
        <v>88</v>
      </c>
      <c r="B15">
        <v>1</v>
      </c>
    </row>
    <row r="16" spans="1:6">
      <c r="A16" t="s">
        <v>89</v>
      </c>
      <c r="B16">
        <v>0</v>
      </c>
    </row>
    <row r="17" spans="1:9">
      <c r="A17" t="s">
        <v>90</v>
      </c>
      <c r="B17">
        <v>10</v>
      </c>
    </row>
    <row r="18" spans="1:9">
      <c r="A18" t="s">
        <v>91</v>
      </c>
      <c r="B18">
        <v>300</v>
      </c>
    </row>
    <row r="19" spans="1:9">
      <c r="A19" t="s">
        <v>141</v>
      </c>
      <c r="B19">
        <v>500</v>
      </c>
    </row>
    <row r="20" spans="1:9">
      <c r="A20" t="s">
        <v>142</v>
      </c>
      <c r="B20">
        <v>500</v>
      </c>
    </row>
    <row r="21" spans="1:9">
      <c r="A21" t="s">
        <v>94</v>
      </c>
      <c r="B21">
        <v>1</v>
      </c>
      <c r="C21">
        <v>1</v>
      </c>
      <c r="D21">
        <v>1</v>
      </c>
      <c r="E21">
        <v>1</v>
      </c>
      <c r="F21">
        <v>1</v>
      </c>
      <c r="G21">
        <v>1</v>
      </c>
      <c r="H21">
        <v>1</v>
      </c>
      <c r="I21">
        <v>1</v>
      </c>
    </row>
    <row r="22" spans="1:9">
      <c r="A22" t="s">
        <v>95</v>
      </c>
      <c r="B22">
        <v>1</v>
      </c>
      <c r="C22">
        <v>1</v>
      </c>
      <c r="D22">
        <v>1</v>
      </c>
      <c r="E22">
        <v>1</v>
      </c>
      <c r="F22">
        <v>0</v>
      </c>
      <c r="G22">
        <v>0</v>
      </c>
      <c r="H22">
        <v>0</v>
      </c>
      <c r="I22">
        <v>0</v>
      </c>
    </row>
    <row r="23" spans="1:9">
      <c r="A23" t="s">
        <v>96</v>
      </c>
      <c r="B23">
        <v>1</v>
      </c>
      <c r="C23">
        <v>1</v>
      </c>
      <c r="D23">
        <v>1</v>
      </c>
      <c r="E23">
        <v>1</v>
      </c>
      <c r="F23">
        <v>1</v>
      </c>
      <c r="G23">
        <v>1</v>
      </c>
      <c r="H23">
        <v>1</v>
      </c>
      <c r="I23">
        <v>1</v>
      </c>
    </row>
    <row r="24" spans="1:9">
      <c r="A24" t="s">
        <v>97</v>
      </c>
      <c r="B24">
        <v>0</v>
      </c>
      <c r="C24">
        <v>0</v>
      </c>
      <c r="D24">
        <v>0</v>
      </c>
      <c r="E24">
        <v>0</v>
      </c>
      <c r="F24">
        <v>0</v>
      </c>
      <c r="G24">
        <v>0</v>
      </c>
      <c r="H24">
        <v>0</v>
      </c>
      <c r="I24">
        <v>0</v>
      </c>
    </row>
    <row r="25" spans="1:9">
      <c r="A25" t="s">
        <v>98</v>
      </c>
      <c r="B25">
        <v>1</v>
      </c>
      <c r="C25">
        <v>1</v>
      </c>
      <c r="D25">
        <v>1</v>
      </c>
      <c r="E25">
        <v>1</v>
      </c>
      <c r="F25">
        <v>1</v>
      </c>
      <c r="G25">
        <v>1</v>
      </c>
      <c r="H25">
        <v>1</v>
      </c>
      <c r="I25">
        <v>1</v>
      </c>
    </row>
    <row r="26" spans="1:9">
      <c r="A26" t="s">
        <v>99</v>
      </c>
      <c r="B26">
        <v>1</v>
      </c>
      <c r="C26">
        <v>1</v>
      </c>
      <c r="D26">
        <v>1</v>
      </c>
      <c r="E26">
        <v>1</v>
      </c>
      <c r="F26">
        <v>1</v>
      </c>
      <c r="G26">
        <v>1</v>
      </c>
      <c r="H26">
        <v>1</v>
      </c>
      <c r="I26">
        <v>1</v>
      </c>
    </row>
    <row r="27" spans="1:9">
      <c r="A27" t="s">
        <v>100</v>
      </c>
      <c r="B27">
        <v>0</v>
      </c>
      <c r="C27">
        <v>0</v>
      </c>
      <c r="D27">
        <v>0</v>
      </c>
      <c r="E27">
        <v>0</v>
      </c>
      <c r="F27">
        <v>0</v>
      </c>
      <c r="G27">
        <v>0</v>
      </c>
      <c r="H27">
        <v>0</v>
      </c>
      <c r="I27">
        <v>0</v>
      </c>
    </row>
    <row r="30" spans="1:9">
      <c r="A30" t="s">
        <v>251</v>
      </c>
    </row>
    <row r="32" spans="1:9">
      <c r="A32" t="s">
        <v>252</v>
      </c>
    </row>
    <row r="33" spans="1:9">
      <c r="A33" t="s">
        <v>253</v>
      </c>
      <c r="B33" t="s">
        <v>279</v>
      </c>
    </row>
    <row r="34" spans="1:9">
      <c r="A34" t="s">
        <v>254</v>
      </c>
    </row>
    <row r="35" spans="1:9">
      <c r="A35" t="s">
        <v>255</v>
      </c>
    </row>
    <row r="36" spans="1:9">
      <c r="A36" t="s">
        <v>256</v>
      </c>
    </row>
    <row r="37" spans="1:9">
      <c r="A37" t="s">
        <v>257</v>
      </c>
    </row>
    <row r="38" spans="1:9">
      <c r="A38" t="s">
        <v>258</v>
      </c>
    </row>
    <row r="39" spans="1:9">
      <c r="A39" t="s">
        <v>259</v>
      </c>
    </row>
    <row r="41" spans="1:9">
      <c r="A41" t="s">
        <v>101</v>
      </c>
    </row>
    <row r="42" spans="1:9">
      <c r="A42" t="s">
        <v>102</v>
      </c>
      <c r="B42">
        <v>8</v>
      </c>
      <c r="C42" t="s">
        <v>103</v>
      </c>
    </row>
    <row r="43" spans="1:9">
      <c r="A43" t="s">
        <v>226</v>
      </c>
      <c r="B43">
        <v>0</v>
      </c>
      <c r="C43">
        <v>1</v>
      </c>
      <c r="D43">
        <v>2</v>
      </c>
      <c r="E43">
        <v>3</v>
      </c>
      <c r="F43">
        <v>4</v>
      </c>
      <c r="G43">
        <v>5</v>
      </c>
      <c r="H43">
        <v>6</v>
      </c>
      <c r="I43">
        <v>7</v>
      </c>
    </row>
    <row r="44" spans="1:9">
      <c r="A44" t="s">
        <v>227</v>
      </c>
      <c r="B44">
        <v>100</v>
      </c>
      <c r="C44">
        <v>100</v>
      </c>
      <c r="D44">
        <v>100</v>
      </c>
      <c r="E44">
        <v>100</v>
      </c>
      <c r="F44">
        <v>100</v>
      </c>
      <c r="G44">
        <v>100</v>
      </c>
      <c r="H44">
        <v>100</v>
      </c>
      <c r="I44">
        <v>100</v>
      </c>
    </row>
    <row r="45" spans="1:9">
      <c r="A45" t="s">
        <v>104</v>
      </c>
    </row>
    <row r="46" spans="1:9">
      <c r="A46" t="s">
        <v>225</v>
      </c>
      <c r="B46">
        <v>0</v>
      </c>
      <c r="C46">
        <v>1</v>
      </c>
      <c r="D46">
        <v>2</v>
      </c>
      <c r="E46">
        <v>3</v>
      </c>
      <c r="F46">
        <v>4</v>
      </c>
      <c r="G46">
        <v>5</v>
      </c>
      <c r="H46">
        <v>6</v>
      </c>
      <c r="I46">
        <v>7</v>
      </c>
    </row>
    <row r="47" spans="1:9">
      <c r="A47" t="s">
        <v>230</v>
      </c>
      <c r="B47">
        <v>0</v>
      </c>
      <c r="C47">
        <v>1</v>
      </c>
      <c r="D47">
        <v>2</v>
      </c>
      <c r="E47">
        <v>3</v>
      </c>
      <c r="F47">
        <v>4</v>
      </c>
      <c r="G47">
        <v>5</v>
      </c>
      <c r="H47">
        <v>6</v>
      </c>
      <c r="I47">
        <v>7</v>
      </c>
    </row>
    <row r="49" spans="1:9">
      <c r="A49" t="s">
        <v>223</v>
      </c>
      <c r="B49" s="21">
        <f>+INDEX(Sheet1!$K$37:$K$44,COLUMN()-COLUMN($B$82)+1)</f>
        <v>-11.375</v>
      </c>
      <c r="C49" s="21">
        <f>+INDEX(Sheet1!$K$37:$K$44,COLUMN()-COLUMN($B$82)+1)</f>
        <v>-11.375</v>
      </c>
      <c r="D49" s="21">
        <f>+INDEX(Sheet1!$K$37:$K$44,COLUMN()-COLUMN($B$82)+1)</f>
        <v>-11.375</v>
      </c>
      <c r="E49" s="21">
        <f>+INDEX(Sheet1!$K$37:$K$44,COLUMN()-COLUMN($B$82)+1)</f>
        <v>-11.375</v>
      </c>
      <c r="F49" s="21">
        <f>+INDEX(Sheet1!$K$37:$K$44,COLUMN()-COLUMN($B$82)+1)</f>
        <v>-706.67</v>
      </c>
      <c r="G49" s="21">
        <f>+INDEX(Sheet1!$K$37:$K$44,COLUMN()-COLUMN($B$82)+1)</f>
        <v>-978.46</v>
      </c>
      <c r="H49" s="21">
        <f>+INDEX(Sheet1!$K$37:$K$44,COLUMN()-COLUMN($B$82)+1)</f>
        <v>-978.46</v>
      </c>
      <c r="I49" s="21">
        <f>+INDEX(Sheet1!$K$37:$K$44,COLUMN()-COLUMN($B$82)+1)</f>
        <v>3</v>
      </c>
    </row>
    <row r="50" spans="1:9">
      <c r="A50" t="s">
        <v>222</v>
      </c>
      <c r="B50" s="21">
        <f>+INDEX(Sheet1!$D$37:$D$44,COLUMN()-COLUMN($B$82)+1)++INDEX(Sheet1!$S$37:$S$44,COLUMN()-COLUMN($B$82)+1)</f>
        <v>-176</v>
      </c>
      <c r="C50" s="21">
        <f>+INDEX(Sheet1!$D$37:$D$44,COLUMN()-COLUMN($B$82)+1)++INDEX(Sheet1!$S$37:$S$44,COLUMN()-COLUMN($B$82)+1)</f>
        <v>-311</v>
      </c>
      <c r="D50" s="21">
        <f>+INDEX(Sheet1!$D$37:$D$44,COLUMN()-COLUMN($B$82)+1)++INDEX(Sheet1!$S$37:$S$44,COLUMN()-COLUMN($B$82)+1)</f>
        <v>7.257819103972956</v>
      </c>
      <c r="E50" s="21">
        <f>+INDEX(Sheet1!$D$37:$D$44,COLUMN()-COLUMN($B$82)+1)++INDEX(Sheet1!$S$37:$S$44,COLUMN()-COLUMN($B$82)+1)</f>
        <v>-180</v>
      </c>
      <c r="F50" s="21">
        <f>+INDEX(Sheet1!$D$37:$D$44,COLUMN()-COLUMN($B$82)+1)++INDEX(Sheet1!$S$37:$S$44,COLUMN()-COLUMN($B$82)+1)</f>
        <v>90</v>
      </c>
      <c r="G50" s="21">
        <f>+INDEX(Sheet1!$D$37:$D$44,COLUMN()-COLUMN($B$82)+1)++INDEX(Sheet1!$S$37:$S$44,COLUMN()-COLUMN($B$82)+1)</f>
        <v>-28</v>
      </c>
      <c r="H50" s="21">
        <f>+INDEX(Sheet1!$D$37:$D$44,COLUMN()-COLUMN($B$82)+1)++INDEX(Sheet1!$S$37:$S$44,COLUMN()-COLUMN($B$82)+1)</f>
        <v>-58.4</v>
      </c>
      <c r="I50" s="21">
        <f>+INDEX(Sheet1!$D$37:$D$44,COLUMN()-COLUMN($B$82)+1)++INDEX(Sheet1!$S$37:$S$44,COLUMN()-COLUMN($B$82)+1)</f>
        <v>593.33333333333337</v>
      </c>
    </row>
    <row r="52" spans="1:9">
      <c r="A52" t="s">
        <v>105</v>
      </c>
      <c r="B52">
        <v>0</v>
      </c>
    </row>
    <row r="53" spans="1:9" ht="15.75" customHeight="1"/>
    <row r="54" spans="1:9">
      <c r="A54" t="s">
        <v>150</v>
      </c>
    </row>
    <row r="55" spans="1:9">
      <c r="A55" t="s">
        <v>238</v>
      </c>
      <c r="B55">
        <v>8</v>
      </c>
      <c r="C55">
        <v>8</v>
      </c>
      <c r="D55">
        <v>8</v>
      </c>
      <c r="E55">
        <v>8</v>
      </c>
      <c r="F55">
        <v>8</v>
      </c>
      <c r="G55">
        <v>8</v>
      </c>
      <c r="H55">
        <v>8</v>
      </c>
      <c r="I55">
        <v>8</v>
      </c>
    </row>
    <row r="57" spans="1:9">
      <c r="A57" t="s">
        <v>225</v>
      </c>
      <c r="B57">
        <v>0</v>
      </c>
      <c r="C57">
        <v>1</v>
      </c>
      <c r="D57">
        <v>2</v>
      </c>
      <c r="E57">
        <v>3</v>
      </c>
      <c r="F57">
        <v>4</v>
      </c>
      <c r="G57">
        <v>5</v>
      </c>
      <c r="H57">
        <v>6</v>
      </c>
      <c r="I57">
        <v>7</v>
      </c>
    </row>
    <row r="58" spans="1:9">
      <c r="A58" t="s">
        <v>106</v>
      </c>
    </row>
    <row r="59" spans="1:9">
      <c r="A59" t="s">
        <v>228</v>
      </c>
      <c r="B59" s="21">
        <f>+INDEX(Sheet1!$H$37:$H$44,COLUMN()-COLUMN($B$82)+1)</f>
        <v>10</v>
      </c>
      <c r="C59" s="21">
        <f>+INDEX(Sheet1!$H$37:$H$44,COLUMN()-COLUMN($B$82)+1)</f>
        <v>160.80000000000001</v>
      </c>
      <c r="D59" s="21">
        <f>+INDEX(Sheet1!$H$37:$H$44,COLUMN()-COLUMN($B$82)+1)</f>
        <v>80</v>
      </c>
      <c r="E59" s="21">
        <f>+INDEX(Sheet1!$H$37:$H$44,COLUMN()-COLUMN($B$82)+1)</f>
        <v>106</v>
      </c>
      <c r="F59" s="21">
        <f>+INDEX(Sheet1!$H$37:$H$44,COLUMN()-COLUMN($B$82)+1)</f>
        <v>90</v>
      </c>
      <c r="G59" s="21">
        <f>+INDEX(Sheet1!$H$37:$H$44,COLUMN()-COLUMN($B$82)+1)</f>
        <v>0</v>
      </c>
      <c r="H59" s="21">
        <f>+INDEX(Sheet1!$H$37:$H$44,COLUMN()-COLUMN($B$82)+1)</f>
        <v>40</v>
      </c>
      <c r="I59" s="21">
        <f>+INDEX(Sheet1!$H$37:$H$44,COLUMN()-COLUMN($B$82)+1)</f>
        <v>60</v>
      </c>
    </row>
    <row r="60" spans="1:9">
      <c r="A60" t="s">
        <v>229</v>
      </c>
      <c r="B60" s="21">
        <f>+INDEX(Sheet1!$G$37:$G$44,COLUMN()-COLUMN($B$82)+1)</f>
        <v>-95.5</v>
      </c>
      <c r="C60" s="21">
        <f>+INDEX(Sheet1!$G$37:$G$44,COLUMN()-COLUMN($B$82)+1)</f>
        <v>0</v>
      </c>
      <c r="D60" s="21">
        <f>+INDEX(Sheet1!$G$37:$G$44,COLUMN()-COLUMN($B$82)+1)</f>
        <v>-37</v>
      </c>
      <c r="E60" s="21">
        <f>+INDEX(Sheet1!$G$37:$G$44,COLUMN()-COLUMN($B$82)+1)</f>
        <v>15</v>
      </c>
      <c r="F60" s="21">
        <f>+INDEX(Sheet1!$G$37:$G$44,COLUMN()-COLUMN($B$82)+1)</f>
        <v>-90</v>
      </c>
      <c r="G60" s="21">
        <f>+INDEX(Sheet1!$G$37:$G$44,COLUMN()-COLUMN($B$82)+1)</f>
        <v>-90</v>
      </c>
      <c r="H60" s="21">
        <f>+INDEX(Sheet1!$G$37:$G$44,COLUMN()-COLUMN($B$82)+1)</f>
        <v>-20</v>
      </c>
      <c r="I60" s="21">
        <f>+INDEX(Sheet1!$G$37:$G$44,COLUMN()-COLUMN($B$82)+1)</f>
        <v>0</v>
      </c>
    </row>
    <row r="63" spans="1:9">
      <c r="A63" t="s">
        <v>224</v>
      </c>
      <c r="B63">
        <v>0</v>
      </c>
      <c r="C63">
        <v>1</v>
      </c>
      <c r="D63">
        <v>2</v>
      </c>
      <c r="E63">
        <v>3</v>
      </c>
      <c r="F63">
        <v>4</v>
      </c>
      <c r="G63">
        <v>5</v>
      </c>
      <c r="H63">
        <v>6</v>
      </c>
      <c r="I63">
        <v>7</v>
      </c>
    </row>
    <row r="64" spans="1:9">
      <c r="A64" t="s">
        <v>218</v>
      </c>
      <c r="B64" s="21">
        <f>$B$5</f>
        <v>7000</v>
      </c>
      <c r="C64" s="21">
        <f>$B$5</f>
        <v>7000</v>
      </c>
      <c r="D64" s="21">
        <f>$B$5</f>
        <v>7000</v>
      </c>
      <c r="E64" s="21">
        <f>$B$5</f>
        <v>7000</v>
      </c>
      <c r="F64">
        <v>350</v>
      </c>
      <c r="G64">
        <v>500</v>
      </c>
      <c r="H64">
        <v>500</v>
      </c>
      <c r="I64">
        <v>500</v>
      </c>
    </row>
    <row r="66" spans="1:9">
      <c r="A66" t="s">
        <v>107</v>
      </c>
      <c r="B66" t="s">
        <v>108</v>
      </c>
      <c r="C66" t="s">
        <v>109</v>
      </c>
      <c r="D66" t="s">
        <v>110</v>
      </c>
      <c r="E66" t="s">
        <v>111</v>
      </c>
      <c r="F66" t="s">
        <v>112</v>
      </c>
      <c r="G66" t="s">
        <v>113</v>
      </c>
      <c r="H66" t="s">
        <v>114</v>
      </c>
    </row>
    <row r="67" spans="1:9">
      <c r="A67" t="s">
        <v>115</v>
      </c>
    </row>
    <row r="68" spans="1:9">
      <c r="A68" t="s">
        <v>116</v>
      </c>
      <c r="B68">
        <v>32000</v>
      </c>
      <c r="C68">
        <v>50</v>
      </c>
      <c r="D68">
        <v>60</v>
      </c>
      <c r="E68" s="21">
        <f>+$B$3</f>
        <v>1333</v>
      </c>
      <c r="F68" s="21">
        <f t="shared" ref="F68:F75" si="0">+$B$3</f>
        <v>1333</v>
      </c>
      <c r="G68">
        <v>13</v>
      </c>
      <c r="H68">
        <v>0</v>
      </c>
    </row>
    <row r="69" spans="1:9">
      <c r="A69" t="s">
        <v>117</v>
      </c>
      <c r="B69">
        <v>32000</v>
      </c>
      <c r="C69">
        <v>50</v>
      </c>
      <c r="D69">
        <v>60</v>
      </c>
      <c r="E69" s="21">
        <f>+$B$3</f>
        <v>1333</v>
      </c>
      <c r="F69" s="21">
        <f t="shared" si="0"/>
        <v>1333</v>
      </c>
      <c r="G69">
        <v>13</v>
      </c>
      <c r="H69">
        <v>0</v>
      </c>
    </row>
    <row r="70" spans="1:9">
      <c r="A70" t="s">
        <v>118</v>
      </c>
      <c r="B70">
        <v>10000</v>
      </c>
      <c r="C70">
        <v>0</v>
      </c>
      <c r="D70">
        <v>10</v>
      </c>
      <c r="E70" s="21">
        <f t="shared" ref="E70:E75" si="1">+$B$3</f>
        <v>1333</v>
      </c>
      <c r="F70" s="21">
        <f t="shared" si="0"/>
        <v>1333</v>
      </c>
      <c r="G70">
        <v>13</v>
      </c>
      <c r="H70">
        <v>0</v>
      </c>
    </row>
    <row r="71" spans="1:9">
      <c r="A71" t="s">
        <v>119</v>
      </c>
      <c r="B71">
        <v>32000</v>
      </c>
      <c r="C71">
        <v>20</v>
      </c>
      <c r="D71">
        <v>60</v>
      </c>
      <c r="E71" s="21">
        <f>+$B$3</f>
        <v>1333</v>
      </c>
      <c r="F71" s="21">
        <f t="shared" si="0"/>
        <v>1333</v>
      </c>
      <c r="G71">
        <v>13</v>
      </c>
      <c r="H71">
        <v>0</v>
      </c>
    </row>
    <row r="72" spans="1:9">
      <c r="A72" t="s">
        <v>120</v>
      </c>
      <c r="B72">
        <v>200</v>
      </c>
      <c r="C72">
        <v>1000</v>
      </c>
      <c r="D72">
        <v>1</v>
      </c>
      <c r="E72" s="21">
        <f t="shared" si="1"/>
        <v>1333</v>
      </c>
      <c r="F72" s="21">
        <f t="shared" si="0"/>
        <v>1333</v>
      </c>
      <c r="G72">
        <v>6</v>
      </c>
      <c r="H72">
        <v>0</v>
      </c>
    </row>
    <row r="73" spans="1:9">
      <c r="A73" t="s">
        <v>121</v>
      </c>
      <c r="B73">
        <v>100</v>
      </c>
      <c r="C73">
        <v>100</v>
      </c>
      <c r="D73">
        <v>2</v>
      </c>
      <c r="E73" s="21">
        <f t="shared" si="1"/>
        <v>1333</v>
      </c>
      <c r="F73" s="21">
        <f t="shared" si="0"/>
        <v>1333</v>
      </c>
      <c r="G73">
        <v>6</v>
      </c>
      <c r="H73">
        <v>0</v>
      </c>
    </row>
    <row r="74" spans="1:9">
      <c r="A74" t="s">
        <v>122</v>
      </c>
      <c r="B74">
        <v>100</v>
      </c>
      <c r="C74">
        <v>100</v>
      </c>
      <c r="D74">
        <v>2</v>
      </c>
      <c r="E74" s="21">
        <f t="shared" si="1"/>
        <v>1333</v>
      </c>
      <c r="F74" s="21">
        <f t="shared" si="0"/>
        <v>1333</v>
      </c>
      <c r="G74">
        <v>6</v>
      </c>
      <c r="H74">
        <v>0</v>
      </c>
    </row>
    <row r="75" spans="1:9">
      <c r="A75" t="s">
        <v>123</v>
      </c>
      <c r="B75">
        <v>-200</v>
      </c>
      <c r="C75">
        <v>-200</v>
      </c>
      <c r="D75">
        <v>-1</v>
      </c>
      <c r="E75" s="21">
        <f t="shared" si="1"/>
        <v>1333</v>
      </c>
      <c r="F75" s="21">
        <f t="shared" si="0"/>
        <v>1333</v>
      </c>
      <c r="G75">
        <v>4</v>
      </c>
      <c r="H75">
        <v>0</v>
      </c>
    </row>
    <row r="77" spans="1:9">
      <c r="A77" t="s">
        <v>128</v>
      </c>
    </row>
    <row r="78" spans="1:9">
      <c r="A78" t="s">
        <v>224</v>
      </c>
      <c r="B78">
        <v>0</v>
      </c>
      <c r="C78">
        <v>1</v>
      </c>
      <c r="D78">
        <v>2</v>
      </c>
      <c r="E78">
        <v>3</v>
      </c>
      <c r="F78">
        <v>4</v>
      </c>
      <c r="G78">
        <v>5</v>
      </c>
      <c r="H78">
        <v>6</v>
      </c>
      <c r="I78">
        <v>7</v>
      </c>
    </row>
    <row r="79" spans="1:9">
      <c r="A79" t="s">
        <v>129</v>
      </c>
      <c r="B79">
        <v>3</v>
      </c>
      <c r="C79">
        <v>3</v>
      </c>
      <c r="D79">
        <v>3</v>
      </c>
      <c r="E79">
        <v>3</v>
      </c>
      <c r="F79">
        <v>0</v>
      </c>
      <c r="G79">
        <v>2</v>
      </c>
      <c r="H79">
        <v>2</v>
      </c>
      <c r="I79">
        <v>3</v>
      </c>
    </row>
    <row r="80" spans="1:9">
      <c r="A80" t="s">
        <v>130</v>
      </c>
      <c r="B80" s="21">
        <f>+INDEX(Sheet1!$L$37:$L$44,COLUMN()-COLUMN($B$82)+1)</f>
        <v>2388.75</v>
      </c>
      <c r="C80" s="21">
        <f>+INDEX(Sheet1!$L$37:$L$44,COLUMN()-COLUMN($B$82)+1)</f>
        <v>3241.875</v>
      </c>
      <c r="D80" s="21">
        <f>+INDEX(Sheet1!$L$37:$L$44,COLUMN()-COLUMN($B$82)+1)</f>
        <v>-275.93269230769238</v>
      </c>
      <c r="E80" s="21">
        <f>+INDEX(Sheet1!$L$37:$L$44,COLUMN()-COLUMN($B$82)+1)</f>
        <v>1532</v>
      </c>
      <c r="F80" s="21">
        <f>+INDEX(Sheet1!$L$37:$L$44,COLUMN()-COLUMN($B$82)+1)</f>
        <v>600</v>
      </c>
      <c r="G80" s="21">
        <f>+INDEX(Sheet1!$L$37:$L$44,COLUMN()-COLUMN($B$82)+1)</f>
        <v>750</v>
      </c>
      <c r="H80" s="21">
        <f>+INDEX(Sheet1!$L$37:$L$44,COLUMN()-COLUMN($B$82)+1)</f>
        <v>750</v>
      </c>
      <c r="I80" s="21">
        <f>+INDEX(Sheet1!$L$37:$L$44,COLUMN()-COLUMN($B$82)+1)</f>
        <v>1780</v>
      </c>
    </row>
    <row r="81" spans="1:9">
      <c r="A81" t="s">
        <v>131</v>
      </c>
      <c r="B81" s="21">
        <f>+INDEX(Sheet1!$M$37:$M$44,COLUMN()-COLUMN($B$82)+1)</f>
        <v>10</v>
      </c>
      <c r="C81" s="21">
        <f>+INDEX(Sheet1!$M$37:$M$44,COLUMN()-COLUMN($B$82)+1)</f>
        <v>10</v>
      </c>
      <c r="D81" s="21">
        <f>+INDEX(Sheet1!$M$37:$M$44,COLUMN()-COLUMN($B$82)+1)</f>
        <v>10</v>
      </c>
      <c r="E81" s="21">
        <f>+INDEX(Sheet1!$M$37:$M$44,COLUMN()-COLUMN($B$82)+1)</f>
        <v>10</v>
      </c>
      <c r="F81" s="21">
        <f>+INDEX(Sheet1!$M$37:$M$44,COLUMN()-COLUMN($B$82)+1)</f>
        <v>20</v>
      </c>
      <c r="G81" s="21">
        <f>+INDEX(Sheet1!$M$37:$M$44,COLUMN()-COLUMN($B$82)+1)</f>
        <v>-10</v>
      </c>
      <c r="H81" s="21">
        <f>+INDEX(Sheet1!$M$37:$M$44,COLUMN()-COLUMN($B$82)+1)</f>
        <v>-10</v>
      </c>
      <c r="I81" s="21">
        <f>+INDEX(Sheet1!$M$37:$M$44,COLUMN()-COLUMN($B$82)+1)</f>
        <v>100</v>
      </c>
    </row>
    <row r="82" spans="1:9">
      <c r="A82" t="s">
        <v>132</v>
      </c>
      <c r="B82" s="21">
        <f>+INDEX(Sheet1!$N$37:$N$44,COLUMN()-COLUMN($B$82)+1)</f>
        <v>1233.0499999999997</v>
      </c>
      <c r="C82" s="21">
        <f>+INDEX(Sheet1!$N$37:$N$44,COLUMN()-COLUMN($B$82)+1)</f>
        <v>2392.1624999999999</v>
      </c>
      <c r="D82" s="21">
        <f>+INDEX(Sheet1!$N$37:$N$44,COLUMN()-COLUMN($B$82)+1)</f>
        <v>4246.4296875000009</v>
      </c>
      <c r="E82" s="21">
        <f>+INDEX(Sheet1!$N$37:$N$44,COLUMN()-COLUMN($B$82)+1)</f>
        <v>447.03750000000014</v>
      </c>
      <c r="F82" s="21">
        <f>+INDEX(Sheet1!$N$37:$N$44,COLUMN()-COLUMN($B$82)+1)</f>
        <v>0</v>
      </c>
      <c r="G82" s="21">
        <f>+INDEX(Sheet1!$N$37:$N$44,COLUMN()-COLUMN($B$82)+1)</f>
        <v>0</v>
      </c>
      <c r="H82" s="21">
        <f>+INDEX(Sheet1!$N$37:$N$44,COLUMN()-COLUMN($B$82)+1)</f>
        <v>0</v>
      </c>
      <c r="I82" s="21">
        <f>+INDEX(Sheet1!$N$37:$N$44,COLUMN()-COLUMN($B$82)+1)</f>
        <v>0</v>
      </c>
    </row>
    <row r="83" spans="1:9">
      <c r="A83" t="s">
        <v>133</v>
      </c>
      <c r="B83" s="21">
        <f>+INDEX(Sheet1!$O$37:$O$44,COLUMN()-COLUMN($B$82)+1)</f>
        <v>-30</v>
      </c>
      <c r="C83" s="21">
        <f>+INDEX(Sheet1!$O$37:$O$44,COLUMN()-COLUMN($B$82)+1)</f>
        <v>30</v>
      </c>
      <c r="D83" s="21">
        <f>+INDEX(Sheet1!$O$37:$O$44,COLUMN()-COLUMN($B$82)+1)</f>
        <v>0</v>
      </c>
      <c r="E83" s="21">
        <f>+INDEX(Sheet1!$O$37:$O$44,COLUMN()-COLUMN($B$82)+1)</f>
        <v>45</v>
      </c>
      <c r="F83" s="21">
        <f>+INDEX(Sheet1!$O$37:$O$44,COLUMN()-COLUMN($B$82)+1)</f>
        <v>0</v>
      </c>
      <c r="G83" s="21">
        <f>+INDEX(Sheet1!$O$37:$O$44,COLUMN()-COLUMN($B$82)+1)</f>
        <v>0</v>
      </c>
      <c r="H83" s="21">
        <f>+INDEX(Sheet1!$O$37:$O$44,COLUMN()-COLUMN($B$82)+1)</f>
        <v>0</v>
      </c>
      <c r="I83" s="21">
        <f>+INDEX(Sheet1!$O$37:$O$44,COLUMN()-COLUMN($B$82)+1)</f>
        <v>15</v>
      </c>
    </row>
    <row r="84" spans="1:9">
      <c r="A84" t="s">
        <v>134</v>
      </c>
      <c r="B84" s="21">
        <f>+INDEX(Sheet1!$P$37:$P$44,COLUMN()-COLUMN($B$82)+1)</f>
        <v>10</v>
      </c>
      <c r="C84" s="21">
        <f>+INDEX(Sheet1!$P$37:$P$44,COLUMN()-COLUMN($B$82)+1)</f>
        <v>10</v>
      </c>
      <c r="D84" s="21">
        <f>+INDEX(Sheet1!$P$37:$P$44,COLUMN()-COLUMN($B$82)+1)</f>
        <v>10</v>
      </c>
      <c r="E84" s="21">
        <f>+INDEX(Sheet1!$P$37:$P$44,COLUMN()-COLUMN($B$82)+1)</f>
        <v>10</v>
      </c>
      <c r="F84" s="21">
        <f>+INDEX(Sheet1!$P$37:$P$44,COLUMN()-COLUMN($B$82)+1)</f>
        <v>30</v>
      </c>
      <c r="G84" s="21">
        <f>+INDEX(Sheet1!$P$37:$P$44,COLUMN()-COLUMN($B$82)+1)</f>
        <v>30</v>
      </c>
      <c r="H84" s="21">
        <f>+INDEX(Sheet1!$P$37:$P$44,COLUMN()-COLUMN($B$82)+1)</f>
        <v>30</v>
      </c>
      <c r="I84" s="21">
        <f>+INDEX(Sheet1!$P$37:$P$44,COLUMN()-COLUMN($B$82)+1)</f>
        <v>100</v>
      </c>
    </row>
    <row r="86" spans="1:9">
      <c r="A86" t="s">
        <v>135</v>
      </c>
    </row>
    <row r="87" spans="1:9">
      <c r="A87" t="s">
        <v>224</v>
      </c>
      <c r="B87">
        <v>0</v>
      </c>
      <c r="C87">
        <v>1</v>
      </c>
      <c r="D87">
        <v>2</v>
      </c>
      <c r="E87">
        <v>3</v>
      </c>
      <c r="F87">
        <v>4</v>
      </c>
      <c r="G87">
        <v>5</v>
      </c>
      <c r="H87">
        <v>6</v>
      </c>
      <c r="I87">
        <v>7</v>
      </c>
    </row>
    <row r="88" spans="1:9">
      <c r="A88" t="s">
        <v>136</v>
      </c>
      <c r="B88" s="21">
        <f>+INDEX(Sheet1!$Q$37:$Q$44,COLUMN()-COLUMN($B$82)+1)</f>
        <v>-30</v>
      </c>
      <c r="C88" s="21">
        <f>+INDEX(Sheet1!$Q$37:$Q$44,COLUMN()-COLUMN($B$82)+1)</f>
        <v>30</v>
      </c>
      <c r="D88" s="21">
        <f>+INDEX(Sheet1!$Q$37:$Q$44,COLUMN()-COLUMN($B$82)+1)</f>
        <v>0</v>
      </c>
      <c r="E88" s="21">
        <f>+INDEX(Sheet1!$Q$37:$Q$44,COLUMN()-COLUMN($B$82)+1)</f>
        <v>45</v>
      </c>
      <c r="F88" s="21">
        <f>+INDEX(Sheet1!$Q$37:$Q$44,COLUMN()-COLUMN($B$82)+1)</f>
        <v>0</v>
      </c>
      <c r="G88" s="21">
        <f>+INDEX(Sheet1!$Q$37:$Q$44,COLUMN()-COLUMN($B$82)+1)</f>
        <v>0</v>
      </c>
      <c r="H88" s="21">
        <f>+INDEX(Sheet1!$Q$37:$Q$44,COLUMN()-COLUMN($B$82)+1)</f>
        <v>40</v>
      </c>
      <c r="I88" s="21">
        <f>+INDEX(Sheet1!$Q$37:$Q$44,COLUMN()-COLUMN($B$82)+1)</f>
        <v>15</v>
      </c>
    </row>
    <row r="89" spans="1:9">
      <c r="A89" t="s">
        <v>137</v>
      </c>
      <c r="B89" s="21">
        <f>+INDEX(Sheet1!$R$37:$R$44,COLUMN()-COLUMN($B$82)+1)</f>
        <v>10</v>
      </c>
      <c r="C89" s="21">
        <f>+INDEX(Sheet1!$R$37:$R$44,COLUMN()-COLUMN($B$82)+1)</f>
        <v>10</v>
      </c>
      <c r="D89" s="21">
        <f>+INDEX(Sheet1!$R$37:$R$44,COLUMN()-COLUMN($B$82)+1)</f>
        <v>10</v>
      </c>
      <c r="E89" s="21">
        <f>+INDEX(Sheet1!$R$37:$R$44,COLUMN()-COLUMN($B$82)+1)</f>
        <v>10</v>
      </c>
      <c r="F89" s="21">
        <f>+INDEX(Sheet1!$R$37:$R$44,COLUMN()-COLUMN($B$82)+1)</f>
        <v>30</v>
      </c>
      <c r="G89" s="21">
        <f>+INDEX(Sheet1!$R$37:$R$44,COLUMN()-COLUMN($B$82)+1)</f>
        <v>30</v>
      </c>
      <c r="H89" s="21">
        <f>+INDEX(Sheet1!$R$37:$R$44,COLUMN()-COLUMN($B$82)+1)</f>
        <v>30</v>
      </c>
      <c r="I89" s="21">
        <f>+INDEX(Sheet1!$R$37:$R$44,COLUMN()-COLUMN($B$82)+1)</f>
        <v>100</v>
      </c>
    </row>
    <row r="92" spans="1:9">
      <c r="A92" t="s">
        <v>104</v>
      </c>
    </row>
    <row r="93" spans="1:9">
      <c r="A93" t="s">
        <v>138</v>
      </c>
    </row>
  </sheetData>
  <pageMargins left="0.7" right="0.7" top="0.75" bottom="0.75" header="0.51180555555555551" footer="0.51180555555555551"/>
  <pageSetup firstPageNumber="0" orientation="portrait" horizontalDpi="300" verticalDpi="300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4"/>
  <dimension ref="A3:I91"/>
  <sheetViews>
    <sheetView topLeftCell="A22" zoomScaleNormal="100" workbookViewId="0">
      <selection activeCell="A37" sqref="A37"/>
    </sheetView>
  </sheetViews>
  <sheetFormatPr defaultRowHeight="15"/>
  <cols>
    <col min="1" max="1" width="18.5703125" customWidth="1"/>
    <col min="2" max="2" width="11.42578125" customWidth="1"/>
  </cols>
  <sheetData>
    <row r="3" spans="1:6">
      <c r="A3" s="15" t="s">
        <v>77</v>
      </c>
      <c r="B3" s="16">
        <v>1333</v>
      </c>
      <c r="D3" t="s">
        <v>78</v>
      </c>
      <c r="F3" t="s">
        <v>79</v>
      </c>
    </row>
    <row r="4" spans="1:6">
      <c r="A4" s="17"/>
      <c r="B4" s="18"/>
    </row>
    <row r="5" spans="1:6">
      <c r="B5">
        <v>7000</v>
      </c>
    </row>
    <row r="8" spans="1:6">
      <c r="A8" t="s">
        <v>82</v>
      </c>
    </row>
    <row r="9" spans="1:6">
      <c r="A9" t="s">
        <v>143</v>
      </c>
    </row>
    <row r="10" spans="1:6">
      <c r="A10" t="s">
        <v>84</v>
      </c>
    </row>
    <row r="11" spans="1:6">
      <c r="A11" t="s">
        <v>85</v>
      </c>
    </row>
    <row r="12" spans="1:6">
      <c r="A12" t="s">
        <v>86</v>
      </c>
      <c r="B12" t="s">
        <v>144</v>
      </c>
    </row>
    <row r="13" spans="1:6">
      <c r="A13" t="s">
        <v>88</v>
      </c>
      <c r="B13">
        <v>10</v>
      </c>
    </row>
    <row r="14" spans="1:6">
      <c r="A14" t="s">
        <v>145</v>
      </c>
      <c r="B14" t="s">
        <v>146</v>
      </c>
    </row>
    <row r="15" spans="1:6">
      <c r="A15" t="s">
        <v>89</v>
      </c>
      <c r="B15">
        <v>0</v>
      </c>
    </row>
    <row r="16" spans="1:6">
      <c r="A16" t="s">
        <v>90</v>
      </c>
      <c r="B16">
        <v>10</v>
      </c>
    </row>
    <row r="17" spans="1:9">
      <c r="A17" t="s">
        <v>91</v>
      </c>
      <c r="B17">
        <v>300</v>
      </c>
    </row>
    <row r="18" spans="1:9">
      <c r="A18" t="s">
        <v>147</v>
      </c>
      <c r="B18">
        <v>500</v>
      </c>
    </row>
    <row r="19" spans="1:9">
      <c r="A19" t="s">
        <v>148</v>
      </c>
      <c r="B19">
        <v>500</v>
      </c>
    </row>
    <row r="20" spans="1:9">
      <c r="A20" t="s">
        <v>149</v>
      </c>
      <c r="B20">
        <v>1</v>
      </c>
      <c r="C20">
        <v>1</v>
      </c>
      <c r="D20">
        <v>1</v>
      </c>
      <c r="E20">
        <v>1</v>
      </c>
      <c r="F20">
        <v>1</v>
      </c>
      <c r="G20">
        <v>1</v>
      </c>
      <c r="H20">
        <v>1</v>
      </c>
      <c r="I20">
        <v>1</v>
      </c>
    </row>
    <row r="21" spans="1:9">
      <c r="A21" t="s">
        <v>95</v>
      </c>
      <c r="B21">
        <v>0</v>
      </c>
      <c r="C21">
        <v>0</v>
      </c>
      <c r="D21">
        <v>0</v>
      </c>
      <c r="E21">
        <v>0</v>
      </c>
      <c r="F21">
        <v>0</v>
      </c>
      <c r="G21">
        <v>0</v>
      </c>
      <c r="H21">
        <v>0</v>
      </c>
      <c r="I21">
        <v>0</v>
      </c>
    </row>
    <row r="22" spans="1:9">
      <c r="A22" t="s">
        <v>96</v>
      </c>
      <c r="B22">
        <v>1</v>
      </c>
      <c r="C22">
        <v>1</v>
      </c>
      <c r="D22">
        <v>1</v>
      </c>
      <c r="E22">
        <v>1</v>
      </c>
      <c r="F22">
        <v>1</v>
      </c>
      <c r="G22">
        <v>1</v>
      </c>
      <c r="H22">
        <v>1</v>
      </c>
      <c r="I22">
        <v>1</v>
      </c>
    </row>
    <row r="23" spans="1:9">
      <c r="A23" t="s">
        <v>97</v>
      </c>
      <c r="B23">
        <v>0</v>
      </c>
      <c r="C23">
        <v>0</v>
      </c>
      <c r="D23">
        <v>0</v>
      </c>
      <c r="E23">
        <v>0</v>
      </c>
      <c r="F23">
        <v>0</v>
      </c>
      <c r="G23">
        <v>0</v>
      </c>
      <c r="H23">
        <v>0</v>
      </c>
      <c r="I23">
        <v>0</v>
      </c>
    </row>
    <row r="24" spans="1:9">
      <c r="A24" t="s">
        <v>98</v>
      </c>
      <c r="B24">
        <v>1</v>
      </c>
      <c r="C24">
        <v>1</v>
      </c>
      <c r="D24">
        <v>1</v>
      </c>
      <c r="E24">
        <v>1</v>
      </c>
      <c r="F24">
        <v>1</v>
      </c>
      <c r="G24">
        <v>1</v>
      </c>
      <c r="H24">
        <v>1</v>
      </c>
      <c r="I24">
        <v>1</v>
      </c>
    </row>
    <row r="25" spans="1:9">
      <c r="A25" t="s">
        <v>99</v>
      </c>
      <c r="B25">
        <v>1</v>
      </c>
      <c r="C25">
        <v>1</v>
      </c>
      <c r="D25">
        <v>1</v>
      </c>
      <c r="E25">
        <v>1</v>
      </c>
      <c r="F25">
        <v>1</v>
      </c>
      <c r="G25">
        <v>1</v>
      </c>
      <c r="H25">
        <v>1</v>
      </c>
      <c r="I25">
        <v>1</v>
      </c>
    </row>
    <row r="26" spans="1:9">
      <c r="A26" t="s">
        <v>100</v>
      </c>
      <c r="B26">
        <v>0</v>
      </c>
      <c r="C26">
        <v>0</v>
      </c>
      <c r="D26">
        <v>0</v>
      </c>
      <c r="E26">
        <v>0</v>
      </c>
      <c r="F26">
        <v>0</v>
      </c>
      <c r="G26">
        <v>0</v>
      </c>
      <c r="H26">
        <v>0</v>
      </c>
      <c r="I26">
        <v>0</v>
      </c>
    </row>
    <row r="29" spans="1:9">
      <c r="A29" t="s">
        <v>270</v>
      </c>
    </row>
    <row r="31" spans="1:9">
      <c r="A31" t="s">
        <v>271</v>
      </c>
    </row>
    <row r="32" spans="1:9">
      <c r="A32" t="s">
        <v>266</v>
      </c>
      <c r="B32" t="s">
        <v>278</v>
      </c>
    </row>
    <row r="33" spans="1:9">
      <c r="A33" t="s">
        <v>272</v>
      </c>
    </row>
    <row r="34" spans="1:9">
      <c r="A34" t="s">
        <v>273</v>
      </c>
    </row>
    <row r="35" spans="1:9">
      <c r="A35" t="s">
        <v>267</v>
      </c>
    </row>
    <row r="36" spans="1:9">
      <c r="A36" t="s">
        <v>269</v>
      </c>
    </row>
    <row r="37" spans="1:9">
      <c r="A37" s="61" t="s">
        <v>294</v>
      </c>
    </row>
    <row r="41" spans="1:9">
      <c r="A41" t="s">
        <v>101</v>
      </c>
    </row>
    <row r="42" spans="1:9">
      <c r="A42" t="s">
        <v>102</v>
      </c>
      <c r="B42">
        <v>8</v>
      </c>
      <c r="C42" t="s">
        <v>103</v>
      </c>
    </row>
    <row r="43" spans="1:9">
      <c r="A43" t="s">
        <v>248</v>
      </c>
      <c r="B43">
        <v>0</v>
      </c>
      <c r="C43">
        <v>1</v>
      </c>
      <c r="D43">
        <v>2</v>
      </c>
      <c r="E43">
        <v>3</v>
      </c>
      <c r="F43">
        <v>4</v>
      </c>
      <c r="G43">
        <v>5</v>
      </c>
      <c r="H43">
        <v>6</v>
      </c>
      <c r="I43">
        <v>7</v>
      </c>
    </row>
    <row r="44" spans="1:9">
      <c r="A44" t="s">
        <v>236</v>
      </c>
      <c r="B44">
        <v>100</v>
      </c>
      <c r="C44">
        <v>100</v>
      </c>
      <c r="D44">
        <v>100</v>
      </c>
      <c r="E44">
        <v>100</v>
      </c>
      <c r="F44">
        <v>100</v>
      </c>
      <c r="G44">
        <v>100</v>
      </c>
      <c r="H44">
        <v>100</v>
      </c>
      <c r="I44">
        <v>100</v>
      </c>
    </row>
    <row r="45" spans="1:9">
      <c r="A45" t="s">
        <v>104</v>
      </c>
    </row>
    <row r="46" spans="1:9">
      <c r="A46" t="s">
        <v>225</v>
      </c>
      <c r="B46">
        <v>0</v>
      </c>
      <c r="C46">
        <v>1</v>
      </c>
      <c r="D46">
        <v>2</v>
      </c>
      <c r="E46">
        <v>3</v>
      </c>
      <c r="F46">
        <v>4</v>
      </c>
      <c r="G46">
        <v>5</v>
      </c>
      <c r="H46">
        <v>6</v>
      </c>
      <c r="I46">
        <v>7</v>
      </c>
    </row>
    <row r="47" spans="1:9">
      <c r="A47" t="s">
        <v>214</v>
      </c>
      <c r="B47">
        <v>0</v>
      </c>
      <c r="C47">
        <v>1</v>
      </c>
      <c r="D47">
        <v>2</v>
      </c>
      <c r="E47">
        <v>3</v>
      </c>
      <c r="F47">
        <v>4</v>
      </c>
      <c r="G47">
        <v>5</v>
      </c>
      <c r="H47">
        <v>6</v>
      </c>
      <c r="I47">
        <v>7</v>
      </c>
    </row>
    <row r="49" spans="1:9">
      <c r="A49" t="s">
        <v>235</v>
      </c>
      <c r="B49" s="34">
        <f>+INDEX(Sheet1!$K$48:$K$56,COLUMN()-COLUMN($B$83)+1)</f>
        <v>20.122222222222224</v>
      </c>
      <c r="C49" s="34">
        <f>+INDEX(Sheet1!$K$48:$K$56,COLUMN()-COLUMN($B$83)+1)</f>
        <v>-2.5</v>
      </c>
      <c r="D49" s="34">
        <f>+INDEX(Sheet1!$K$48:$K$56,COLUMN()-COLUMN($B$83)+1)</f>
        <v>-2.3888888888888888</v>
      </c>
      <c r="E49" s="34">
        <f>+INDEX(Sheet1!$K$48:$K$56,COLUMN()-COLUMN($B$83)+1)</f>
        <v>-2.3888888888888888</v>
      </c>
      <c r="F49" s="34">
        <f>+INDEX(Sheet1!$K$48:$K$56,COLUMN()-COLUMN($B$83)+1)</f>
        <v>-2.4444444444444446</v>
      </c>
      <c r="G49" s="34">
        <f>+INDEX(Sheet1!$K$48:$K$56,COLUMN()-COLUMN($B$83)+1)</f>
        <v>-2.5</v>
      </c>
      <c r="H49" s="34">
        <f>+INDEX(Sheet1!$K$48:$K$56,COLUMN()-COLUMN($B$83)+1)</f>
        <v>-2.5</v>
      </c>
      <c r="I49" s="34">
        <f>+INDEX(Sheet1!$K$48:$K$56,COLUMN()-COLUMN($B$83)+1)</f>
        <v>-2.2777777777777777</v>
      </c>
    </row>
    <row r="50" spans="1:9">
      <c r="A50" t="s">
        <v>222</v>
      </c>
      <c r="B50" s="34">
        <f>+INDEX(Sheet1!$D$48:$D$56,COLUMN()-COLUMN($B$83)+1)++INDEX(Sheet1!$S$48:$S$56,COLUMN()-COLUMN($B$83)+1)</f>
        <v>19.033683048039755</v>
      </c>
      <c r="C50" s="34">
        <f>+INDEX(Sheet1!$D$48:$D$56,COLUMN()-COLUMN($B$83)+1)++INDEX(Sheet1!$S$48:$S$56,COLUMN()-COLUMN($B$83)+1)</f>
        <v>-100</v>
      </c>
      <c r="D50" s="34">
        <f>+INDEX(Sheet1!$D$48:$D$56,COLUMN()-COLUMN($B$83)+1)++INDEX(Sheet1!$S$48:$S$56,COLUMN()-COLUMN($B$83)+1)</f>
        <v>-200.93023255813955</v>
      </c>
      <c r="E50" s="34">
        <f>+INDEX(Sheet1!$D$48:$D$56,COLUMN()-COLUMN($B$83)+1)++INDEX(Sheet1!$S$48:$S$56,COLUMN()-COLUMN($B$83)+1)</f>
        <v>-100.46511627906978</v>
      </c>
      <c r="F50" s="34">
        <f>+INDEX(Sheet1!$D$48:$D$56,COLUMN()-COLUMN($B$83)+1)++INDEX(Sheet1!$S$48:$S$56,COLUMN()-COLUMN($B$83)+1)</f>
        <v>-196.36363636363635</v>
      </c>
      <c r="G50" s="34">
        <f>+INDEX(Sheet1!$D$48:$D$56,COLUMN()-COLUMN($B$83)+1)++INDEX(Sheet1!$S$48:$S$56,COLUMN()-COLUMN($B$83)+1)</f>
        <v>-100</v>
      </c>
      <c r="H50" s="34">
        <f>+INDEX(Sheet1!$D$48:$D$56,COLUMN()-COLUMN($B$83)+1)++INDEX(Sheet1!$S$48:$S$56,COLUMN()-COLUMN($B$83)+1)</f>
        <v>-200.8</v>
      </c>
      <c r="I50" s="34">
        <f>+INDEX(Sheet1!$D$48:$D$56,COLUMN()-COLUMN($B$83)+1)++INDEX(Sheet1!$S$48:$S$56,COLUMN()-COLUMN($B$83)+1)</f>
        <v>-335.85365853658539</v>
      </c>
    </row>
    <row r="52" spans="1:9">
      <c r="A52" t="s">
        <v>105</v>
      </c>
      <c r="B52">
        <v>0</v>
      </c>
    </row>
    <row r="55" spans="1:9">
      <c r="A55" t="s">
        <v>150</v>
      </c>
    </row>
    <row r="56" spans="1:9">
      <c r="A56" t="s">
        <v>238</v>
      </c>
      <c r="B56">
        <v>8</v>
      </c>
      <c r="C56">
        <v>8</v>
      </c>
      <c r="D56">
        <v>8</v>
      </c>
      <c r="E56">
        <v>8</v>
      </c>
      <c r="F56">
        <v>8</v>
      </c>
      <c r="G56">
        <v>8</v>
      </c>
      <c r="H56">
        <v>8</v>
      </c>
      <c r="I56">
        <v>8</v>
      </c>
    </row>
    <row r="58" spans="1:9">
      <c r="A58" t="s">
        <v>151</v>
      </c>
    </row>
    <row r="59" spans="1:9">
      <c r="A59" t="s">
        <v>239</v>
      </c>
      <c r="B59">
        <v>0</v>
      </c>
      <c r="C59">
        <v>1</v>
      </c>
      <c r="D59">
        <v>2</v>
      </c>
      <c r="E59">
        <v>3</v>
      </c>
      <c r="F59">
        <v>4</v>
      </c>
      <c r="G59">
        <v>5</v>
      </c>
      <c r="H59">
        <v>6</v>
      </c>
      <c r="I59">
        <v>7</v>
      </c>
    </row>
    <row r="60" spans="1:9">
      <c r="A60" t="s">
        <v>231</v>
      </c>
      <c r="B60" s="21">
        <f>+INDEX(Sheet1!$H$48:$H$56,COLUMN()-COLUMN($B$81)+1)</f>
        <v>90</v>
      </c>
      <c r="C60" s="21">
        <f>+INDEX(Sheet1!$H$48:$H$56,COLUMN()-COLUMN($B$81)+1)</f>
        <v>90</v>
      </c>
      <c r="D60" s="21">
        <f>+INDEX(Sheet1!$H$48:$H$56,COLUMN()-COLUMN($B$81)+1)</f>
        <v>180</v>
      </c>
      <c r="E60" s="21">
        <f>+INDEX(Sheet1!$H$48:$H$56,COLUMN()-COLUMN($B$81)+1)</f>
        <v>90</v>
      </c>
      <c r="F60" s="21">
        <f>+INDEX(Sheet1!$H$48:$H$56,COLUMN()-COLUMN($B$81)+1)</f>
        <v>180</v>
      </c>
      <c r="G60" s="21">
        <f>+INDEX(Sheet1!$H$48:$H$56,COLUMN()-COLUMN($B$81)+1)</f>
        <v>90</v>
      </c>
      <c r="H60" s="21">
        <f>+INDEX(Sheet1!$H$48:$H$56,COLUMN()-COLUMN($B$81)+1)</f>
        <v>180</v>
      </c>
      <c r="I60" s="21">
        <f>+INDEX(Sheet1!$H$48:$H$56,COLUMN()-COLUMN($B$81)+1)</f>
        <v>270</v>
      </c>
    </row>
    <row r="61" spans="1:9">
      <c r="A61" t="s">
        <v>232</v>
      </c>
      <c r="B61" s="21">
        <f>+INDEX(Sheet1!$G$48:$G$56,COLUMN()-COLUMN($B$81)+1)</f>
        <v>0</v>
      </c>
      <c r="C61" s="21">
        <f>+INDEX(Sheet1!$G$48:$G$56,COLUMN()-COLUMN($B$81)+1)</f>
        <v>0</v>
      </c>
      <c r="D61" s="21">
        <f>+INDEX(Sheet1!$G$48:$G$56,COLUMN()-COLUMN($B$81)+1)</f>
        <v>0</v>
      </c>
      <c r="E61" s="21">
        <f>+INDEX(Sheet1!$G$48:$G$56,COLUMN()-COLUMN($B$81)+1)</f>
        <v>0</v>
      </c>
      <c r="F61" s="21">
        <f>+INDEX(Sheet1!$G$48:$G$56,COLUMN()-COLUMN($B$81)+1)</f>
        <v>0</v>
      </c>
      <c r="G61" s="21">
        <f>+INDEX(Sheet1!$G$48:$G$56,COLUMN()-COLUMN($B$81)+1)</f>
        <v>0</v>
      </c>
      <c r="H61" s="21">
        <f>+INDEX(Sheet1!$G$48:$G$56,COLUMN()-COLUMN($B$81)+1)</f>
        <v>0</v>
      </c>
      <c r="I61" s="21">
        <f>+INDEX(Sheet1!$G$48:$G$56,COLUMN()-COLUMN($B$81)+1)</f>
        <v>0</v>
      </c>
    </row>
    <row r="63" spans="1:9">
      <c r="A63" t="s">
        <v>233</v>
      </c>
      <c r="B63">
        <v>485</v>
      </c>
      <c r="C63">
        <v>485</v>
      </c>
      <c r="D63">
        <v>485</v>
      </c>
      <c r="E63">
        <v>485</v>
      </c>
      <c r="F63">
        <v>485</v>
      </c>
      <c r="G63">
        <v>485</v>
      </c>
      <c r="H63">
        <v>485</v>
      </c>
      <c r="I63">
        <v>485</v>
      </c>
    </row>
    <row r="66" spans="1:9">
      <c r="A66" t="s">
        <v>107</v>
      </c>
      <c r="B66" t="s">
        <v>108</v>
      </c>
      <c r="C66" t="s">
        <v>109</v>
      </c>
      <c r="D66" t="s">
        <v>110</v>
      </c>
      <c r="E66" t="s">
        <v>111</v>
      </c>
      <c r="F66" t="s">
        <v>112</v>
      </c>
      <c r="G66" t="s">
        <v>113</v>
      </c>
      <c r="H66" t="s">
        <v>114</v>
      </c>
    </row>
    <row r="67" spans="1:9">
      <c r="A67" t="s">
        <v>115</v>
      </c>
    </row>
    <row r="68" spans="1:9">
      <c r="A68" t="s">
        <v>116</v>
      </c>
      <c r="B68">
        <v>-8000</v>
      </c>
      <c r="C68">
        <v>-32000</v>
      </c>
      <c r="D68">
        <v>-5</v>
      </c>
      <c r="E68" s="21">
        <f t="shared" ref="E68:F75" si="0">+$B$3</f>
        <v>1333</v>
      </c>
      <c r="F68" s="21">
        <f t="shared" si="0"/>
        <v>1333</v>
      </c>
      <c r="G68">
        <v>10</v>
      </c>
      <c r="H68">
        <v>0</v>
      </c>
    </row>
    <row r="69" spans="1:9">
      <c r="A69" t="s">
        <v>117</v>
      </c>
      <c r="B69">
        <v>-8000</v>
      </c>
      <c r="C69">
        <v>-32000</v>
      </c>
      <c r="D69">
        <v>-5</v>
      </c>
      <c r="E69" s="21">
        <f t="shared" si="0"/>
        <v>1333</v>
      </c>
      <c r="F69" s="21">
        <f t="shared" si="0"/>
        <v>1333</v>
      </c>
      <c r="G69">
        <v>10</v>
      </c>
      <c r="H69">
        <v>0</v>
      </c>
    </row>
    <row r="70" spans="1:9">
      <c r="A70" t="s">
        <v>118</v>
      </c>
      <c r="B70">
        <v>8000</v>
      </c>
      <c r="C70">
        <v>32000</v>
      </c>
      <c r="D70">
        <v>5</v>
      </c>
      <c r="E70" s="21">
        <f t="shared" si="0"/>
        <v>1333</v>
      </c>
      <c r="F70" s="21">
        <f t="shared" si="0"/>
        <v>1333</v>
      </c>
      <c r="G70">
        <v>10</v>
      </c>
      <c r="H70">
        <v>0</v>
      </c>
    </row>
    <row r="71" spans="1:9">
      <c r="A71" t="s">
        <v>119</v>
      </c>
      <c r="B71">
        <v>-8000</v>
      </c>
      <c r="C71">
        <v>-32000</v>
      </c>
      <c r="D71">
        <v>-5</v>
      </c>
      <c r="E71" s="21">
        <f t="shared" si="0"/>
        <v>1333</v>
      </c>
      <c r="F71" s="21">
        <f>+$B$3</f>
        <v>1333</v>
      </c>
      <c r="G71">
        <v>10</v>
      </c>
      <c r="H71">
        <v>0</v>
      </c>
    </row>
    <row r="72" spans="1:9">
      <c r="A72" t="s">
        <v>120</v>
      </c>
      <c r="B72">
        <v>8000</v>
      </c>
      <c r="C72">
        <v>32000</v>
      </c>
      <c r="D72">
        <v>5</v>
      </c>
      <c r="E72" s="21">
        <f t="shared" si="0"/>
        <v>1333</v>
      </c>
      <c r="F72" s="21">
        <f t="shared" si="0"/>
        <v>1333</v>
      </c>
      <c r="G72">
        <v>10</v>
      </c>
      <c r="H72">
        <v>0</v>
      </c>
    </row>
    <row r="73" spans="1:9">
      <c r="A73" t="s">
        <v>121</v>
      </c>
      <c r="B73">
        <v>-8000</v>
      </c>
      <c r="C73">
        <v>-32000</v>
      </c>
      <c r="D73">
        <v>-5</v>
      </c>
      <c r="E73" s="21">
        <f t="shared" si="0"/>
        <v>1333</v>
      </c>
      <c r="F73" s="21">
        <f t="shared" si="0"/>
        <v>1333</v>
      </c>
      <c r="G73">
        <v>10</v>
      </c>
      <c r="H73">
        <v>0</v>
      </c>
    </row>
    <row r="74" spans="1:9">
      <c r="A74" t="s">
        <v>122</v>
      </c>
      <c r="B74">
        <v>-8000</v>
      </c>
      <c r="C74">
        <v>-32000</v>
      </c>
      <c r="D74">
        <v>-5</v>
      </c>
      <c r="E74" s="21">
        <f t="shared" si="0"/>
        <v>1333</v>
      </c>
      <c r="F74" s="21">
        <f t="shared" si="0"/>
        <v>1333</v>
      </c>
      <c r="G74">
        <v>10</v>
      </c>
      <c r="H74">
        <v>0</v>
      </c>
    </row>
    <row r="75" spans="1:9">
      <c r="A75" t="s">
        <v>123</v>
      </c>
      <c r="B75">
        <v>-120</v>
      </c>
      <c r="C75">
        <v>-1250</v>
      </c>
      <c r="D75">
        <v>0</v>
      </c>
      <c r="E75" s="21">
        <f t="shared" si="0"/>
        <v>1333</v>
      </c>
      <c r="F75" s="21">
        <f t="shared" si="0"/>
        <v>1333</v>
      </c>
      <c r="G75">
        <v>5</v>
      </c>
      <c r="H75">
        <v>0</v>
      </c>
    </row>
    <row r="77" spans="1:9">
      <c r="A77" t="s">
        <v>128</v>
      </c>
    </row>
    <row r="78" spans="1:9">
      <c r="A78" t="s">
        <v>234</v>
      </c>
      <c r="B78">
        <v>0</v>
      </c>
      <c r="C78">
        <v>1</v>
      </c>
      <c r="D78">
        <v>2</v>
      </c>
      <c r="E78">
        <v>3</v>
      </c>
      <c r="F78">
        <v>4</v>
      </c>
      <c r="G78">
        <v>5</v>
      </c>
      <c r="H78">
        <v>6</v>
      </c>
      <c r="I78">
        <v>7</v>
      </c>
    </row>
    <row r="79" spans="1:9">
      <c r="A79" t="s">
        <v>129</v>
      </c>
      <c r="B79">
        <v>3</v>
      </c>
      <c r="C79">
        <v>4</v>
      </c>
      <c r="D79">
        <v>4</v>
      </c>
      <c r="E79">
        <v>4</v>
      </c>
      <c r="F79">
        <v>4</v>
      </c>
      <c r="G79">
        <v>4</v>
      </c>
      <c r="H79">
        <v>4</v>
      </c>
      <c r="I79">
        <v>4</v>
      </c>
    </row>
    <row r="80" spans="1:9">
      <c r="A80" t="s">
        <v>130</v>
      </c>
      <c r="B80" s="21">
        <f>+INDEX(Sheet1!$L$48:$L$56,COLUMN()-COLUMN($B$81)+1)</f>
        <v>383</v>
      </c>
      <c r="C80" s="21">
        <f>+INDEX(Sheet1!$L$48:$L$56,COLUMN()-COLUMN($B$81)+1)</f>
        <v>250</v>
      </c>
      <c r="D80" s="21">
        <f>+INDEX(Sheet1!$L$48:$L$56,COLUMN()-COLUMN($B$81)+1)</f>
        <v>50</v>
      </c>
      <c r="E80" s="21">
        <f>+INDEX(Sheet1!$L$48:$L$56,COLUMN()-COLUMN($B$81)+1)</f>
        <v>240</v>
      </c>
      <c r="F80" s="21">
        <f>+INDEX(Sheet1!$L$48:$L$56,COLUMN()-COLUMN($B$81)+1)</f>
        <v>40</v>
      </c>
      <c r="G80" s="21">
        <f>+INDEX(Sheet1!$L$48:$L$56,COLUMN()-COLUMN($B$81)+1)</f>
        <v>250</v>
      </c>
      <c r="H80" s="21">
        <f>+INDEX(Sheet1!$L$48:$L$56,COLUMN()-COLUMN($B$81)+1)</f>
        <v>52</v>
      </c>
      <c r="I80" s="21">
        <f>+INDEX(Sheet1!$L$48:$L$56,COLUMN()-COLUMN($B$81)+1)</f>
        <v>765</v>
      </c>
    </row>
    <row r="81" spans="1:9">
      <c r="A81" t="s">
        <v>131</v>
      </c>
      <c r="B81" s="21">
        <f>+INDEX(Sheet1!$M$48:$M$56,COLUMN()-COLUMN($B$81)+1)</f>
        <v>10</v>
      </c>
      <c r="C81" s="21">
        <f>+INDEX(Sheet1!$M$48:$M$56,COLUMN()-COLUMN($B$81)+1)</f>
        <v>10</v>
      </c>
      <c r="D81" s="21">
        <f>+INDEX(Sheet1!$M$48:$M$56,COLUMN()-COLUMN($B$81)+1)</f>
        <v>10</v>
      </c>
      <c r="E81" s="21">
        <f>+INDEX(Sheet1!$M$48:$M$56,COLUMN()-COLUMN($B$81)+1)</f>
        <v>10</v>
      </c>
      <c r="F81" s="21">
        <f>+INDEX(Sheet1!$M$48:$M$56,COLUMN()-COLUMN($B$81)+1)</f>
        <v>10</v>
      </c>
      <c r="G81" s="21">
        <f>+INDEX(Sheet1!$M$48:$M$56,COLUMN()-COLUMN($B$81)+1)</f>
        <v>10</v>
      </c>
      <c r="H81" s="21">
        <f>+INDEX(Sheet1!$M$48:$M$56,COLUMN()-COLUMN($B$81)+1)</f>
        <v>10</v>
      </c>
      <c r="I81" s="21">
        <f>+INDEX(Sheet1!$M$48:$M$56,COLUMN()-COLUMN($B$81)+1)</f>
        <v>10</v>
      </c>
    </row>
    <row r="82" spans="1:9">
      <c r="A82" t="s">
        <v>132</v>
      </c>
      <c r="B82" s="21">
        <f>+INDEX(Sheet1!$N$48:$N$56,COLUMN()-COLUMN($B$81)+1)</f>
        <v>0</v>
      </c>
      <c r="C82" s="21">
        <f>+INDEX(Sheet1!$N$48:$N$56,COLUMN()-COLUMN($B$81)+1)</f>
        <v>6000</v>
      </c>
      <c r="D82" s="21">
        <f>+INDEX(Sheet1!$N$48:$N$56,COLUMN()-COLUMN($B$81)+1)</f>
        <v>6700</v>
      </c>
      <c r="E82" s="21">
        <f>+INDEX(Sheet1!$N$48:$N$56,COLUMN()-COLUMN($B$81)+1)</f>
        <v>6000</v>
      </c>
      <c r="F82" s="21">
        <f>+INDEX(Sheet1!$N$48:$N$56,COLUMN()-COLUMN($B$81)+1)</f>
        <v>6700</v>
      </c>
      <c r="G82" s="21">
        <f>+INDEX(Sheet1!$N$48:$N$56,COLUMN()-COLUMN($B$81)+1)</f>
        <v>6000</v>
      </c>
      <c r="H82" s="21">
        <f>+INDEX(Sheet1!$N$48:$N$56,COLUMN()-COLUMN($B$81)+1)</f>
        <v>-6700</v>
      </c>
      <c r="I82" s="21">
        <f>+INDEX(Sheet1!$N$48:$N$56,COLUMN()-COLUMN($B$81)+1)</f>
        <v>14000</v>
      </c>
    </row>
    <row r="83" spans="1:9">
      <c r="A83" t="s">
        <v>133</v>
      </c>
      <c r="B83" s="21">
        <f>+INDEX(Sheet1!$O$48:$O$56,COLUMN()-COLUMN($B$81)+1)</f>
        <v>30</v>
      </c>
      <c r="C83" s="21">
        <f>+INDEX(Sheet1!$O$48:$O$56,COLUMN()-COLUMN($B$81)+1)</f>
        <v>0</v>
      </c>
      <c r="D83" s="21">
        <f>+INDEX(Sheet1!$O$48:$O$56,COLUMN()-COLUMN($B$81)+1)</f>
        <v>0</v>
      </c>
      <c r="E83" s="21">
        <f>+INDEX(Sheet1!$O$48:$O$56,COLUMN()-COLUMN($B$81)+1)</f>
        <v>0</v>
      </c>
      <c r="F83" s="21">
        <f>+INDEX(Sheet1!$O$48:$O$56,COLUMN()-COLUMN($B$81)+1)</f>
        <v>0</v>
      </c>
      <c r="G83" s="21">
        <f>+INDEX(Sheet1!$O$48:$O$56,COLUMN()-COLUMN($B$81)+1)</f>
        <v>0</v>
      </c>
      <c r="H83" s="21">
        <f>+INDEX(Sheet1!$O$48:$O$56,COLUMN()-COLUMN($B$81)+1)</f>
        <v>0</v>
      </c>
      <c r="I83" s="21">
        <f>+INDEX(Sheet1!$O$48:$O$56,COLUMN()-COLUMN($B$81)+1)</f>
        <v>0</v>
      </c>
    </row>
    <row r="84" spans="1:9">
      <c r="A84" t="s">
        <v>134</v>
      </c>
      <c r="B84" s="21">
        <f>+INDEX(Sheet1!$P$48:$P$56,COLUMN()-COLUMN($B$81)+1)</f>
        <v>100</v>
      </c>
      <c r="C84" s="21">
        <f>+INDEX(Sheet1!$P$48:$P$56,COLUMN()-COLUMN($B$81)+1)</f>
        <v>100</v>
      </c>
      <c r="D84" s="21">
        <f>+INDEX(Sheet1!$P$48:$P$56,COLUMN()-COLUMN($B$81)+1)</f>
        <v>100</v>
      </c>
      <c r="E84" s="21">
        <f>+INDEX(Sheet1!$P$48:$P$56,COLUMN()-COLUMN($B$81)+1)</f>
        <v>100</v>
      </c>
      <c r="F84" s="21">
        <f>+INDEX(Sheet1!$P$48:$P$56,COLUMN()-COLUMN($B$81)+1)</f>
        <v>100</v>
      </c>
      <c r="G84" s="21">
        <f>+INDEX(Sheet1!$P$48:$P$56,COLUMN()-COLUMN($B$81)+1)</f>
        <v>100</v>
      </c>
      <c r="H84" s="21">
        <f>+INDEX(Sheet1!$P$48:$P$56,COLUMN()-COLUMN($B$81)+1)</f>
        <v>100</v>
      </c>
      <c r="I84" s="21">
        <f>+INDEX(Sheet1!$P$48:$P$56,COLUMN()-COLUMN($B$81)+1)</f>
        <v>100</v>
      </c>
    </row>
    <row r="86" spans="1:9">
      <c r="A86" t="s">
        <v>135</v>
      </c>
    </row>
    <row r="87" spans="1:9">
      <c r="A87" t="s">
        <v>234</v>
      </c>
      <c r="B87">
        <v>0</v>
      </c>
      <c r="C87">
        <v>1</v>
      </c>
      <c r="D87">
        <v>2</v>
      </c>
      <c r="E87">
        <v>3</v>
      </c>
      <c r="F87">
        <v>4</v>
      </c>
      <c r="G87">
        <v>5</v>
      </c>
      <c r="H87">
        <v>6</v>
      </c>
      <c r="I87">
        <v>7</v>
      </c>
    </row>
    <row r="88" spans="1:9">
      <c r="A88" t="s">
        <v>136</v>
      </c>
      <c r="B88" s="21">
        <f>+INDEX(Sheet1!$Q$48:$Q$56,COLUMN()-COLUMN($B$81)+1)</f>
        <v>30</v>
      </c>
      <c r="C88" s="21">
        <f>+INDEX(Sheet1!$Q$48:$Q$56,COLUMN()-COLUMN($B$81)+1)</f>
        <v>0</v>
      </c>
      <c r="D88" s="21">
        <f>+INDEX(Sheet1!$Q$48:$Q$56,COLUMN()-COLUMN($B$81)+1)</f>
        <v>0</v>
      </c>
      <c r="E88" s="21">
        <f>+INDEX(Sheet1!$Q$48:$Q$56,COLUMN()-COLUMN($B$81)+1)</f>
        <v>0</v>
      </c>
      <c r="F88" s="21">
        <f>+INDEX(Sheet1!$Q$48:$Q$56,COLUMN()-COLUMN($B$81)+1)</f>
        <v>0</v>
      </c>
      <c r="G88" s="21">
        <f>+INDEX(Sheet1!$Q$48:$Q$56,COLUMN()-COLUMN($B$81)+1)</f>
        <v>0</v>
      </c>
      <c r="H88" s="21">
        <f>+INDEX(Sheet1!$Q$48:$Q$56,COLUMN()-COLUMN($B$81)+1)</f>
        <v>0</v>
      </c>
      <c r="I88" s="21">
        <f>+INDEX(Sheet1!$Q$48:$Q$56,COLUMN()-COLUMN($B$81)+1)</f>
        <v>0</v>
      </c>
    </row>
    <row r="89" spans="1:9">
      <c r="A89" t="s">
        <v>137</v>
      </c>
      <c r="B89" s="21">
        <f>+INDEX(Sheet1!$R$48:$R$56,COLUMN()-COLUMN($B$81)+1)</f>
        <v>10</v>
      </c>
      <c r="C89" s="21">
        <f>+INDEX(Sheet1!$R$48:$R$56,COLUMN()-COLUMN($B$81)+1)</f>
        <v>10</v>
      </c>
      <c r="D89" s="21">
        <f>+INDEX(Sheet1!$R$48:$R$56,COLUMN()-COLUMN($B$81)+1)</f>
        <v>10</v>
      </c>
      <c r="E89" s="21">
        <f>+INDEX(Sheet1!$R$48:$R$56,COLUMN()-COLUMN($B$81)+1)</f>
        <v>10</v>
      </c>
      <c r="F89" s="21">
        <f>+INDEX(Sheet1!$R$48:$R$56,COLUMN()-COLUMN($B$81)+1)</f>
        <v>10</v>
      </c>
      <c r="G89" s="21">
        <f>+INDEX(Sheet1!$R$48:$R$56,COLUMN()-COLUMN($B$81)+1)</f>
        <v>10</v>
      </c>
      <c r="H89" s="21">
        <f>+INDEX(Sheet1!$R$48:$R$56,COLUMN()-COLUMN($B$81)+1)</f>
        <v>10</v>
      </c>
      <c r="I89" s="21">
        <f>+INDEX(Sheet1!$R$48:$R$56,COLUMN()-COLUMN($B$81)+1)</f>
        <v>10</v>
      </c>
    </row>
    <row r="90" spans="1:9">
      <c r="A90" t="s">
        <v>104</v>
      </c>
    </row>
    <row r="91" spans="1:9">
      <c r="A91" t="s">
        <v>138</v>
      </c>
    </row>
  </sheetData>
  <pageMargins left="0.7" right="0.7" top="0.75" bottom="0.75" header="0.51180555555555551" footer="0.51180555555555551"/>
  <pageSetup firstPageNumber="0" orientation="portrait" horizontalDpi="300" verticalDpi="300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>
  <sheetPr codeName="Sheet5"/>
  <dimension ref="A2:I91"/>
  <sheetViews>
    <sheetView topLeftCell="A52" zoomScale="85" zoomScaleNormal="85" workbookViewId="0">
      <selection activeCell="F68" sqref="F68"/>
    </sheetView>
  </sheetViews>
  <sheetFormatPr defaultRowHeight="15"/>
  <cols>
    <col min="1" max="1" width="21" customWidth="1"/>
    <col min="2" max="2" width="12.28515625" customWidth="1"/>
  </cols>
  <sheetData>
    <row r="2" spans="1:6">
      <c r="A2" s="15" t="s">
        <v>77</v>
      </c>
      <c r="B2" s="16">
        <v>1333</v>
      </c>
      <c r="D2" t="s">
        <v>78</v>
      </c>
      <c r="F2" t="s">
        <v>79</v>
      </c>
    </row>
    <row r="3" spans="1:6">
      <c r="A3" s="17"/>
      <c r="B3" s="18"/>
    </row>
    <row r="5" spans="1:6">
      <c r="A5" s="19" t="s">
        <v>80</v>
      </c>
      <c r="B5" s="20">
        <v>7000</v>
      </c>
      <c r="D5" t="s">
        <v>81</v>
      </c>
    </row>
    <row r="9" spans="1:6">
      <c r="A9" t="s">
        <v>82</v>
      </c>
    </row>
    <row r="10" spans="1:6">
      <c r="A10" t="s">
        <v>152</v>
      </c>
    </row>
    <row r="11" spans="1:6">
      <c r="A11" t="s">
        <v>84</v>
      </c>
    </row>
    <row r="12" spans="1:6">
      <c r="A12" t="s">
        <v>85</v>
      </c>
    </row>
    <row r="13" spans="1:6">
      <c r="A13" t="s">
        <v>153</v>
      </c>
      <c r="B13" t="s">
        <v>154</v>
      </c>
    </row>
    <row r="14" spans="1:6">
      <c r="A14" t="s">
        <v>88</v>
      </c>
      <c r="B14">
        <v>2</v>
      </c>
    </row>
    <row r="15" spans="1:6">
      <c r="A15" t="s">
        <v>89</v>
      </c>
      <c r="B15">
        <v>0</v>
      </c>
    </row>
    <row r="16" spans="1:6">
      <c r="A16" t="s">
        <v>90</v>
      </c>
      <c r="B16">
        <v>10</v>
      </c>
    </row>
    <row r="17" spans="1:9">
      <c r="A17" t="s">
        <v>91</v>
      </c>
      <c r="B17">
        <v>300</v>
      </c>
    </row>
    <row r="18" spans="1:9">
      <c r="A18" t="s">
        <v>141</v>
      </c>
      <c r="B18">
        <v>500</v>
      </c>
    </row>
    <row r="19" spans="1:9">
      <c r="A19" t="s">
        <v>142</v>
      </c>
      <c r="B19">
        <v>500</v>
      </c>
    </row>
    <row r="20" spans="1:9">
      <c r="A20" t="s">
        <v>94</v>
      </c>
      <c r="B20">
        <v>1</v>
      </c>
      <c r="C20">
        <v>1</v>
      </c>
      <c r="D20">
        <v>1</v>
      </c>
      <c r="E20">
        <v>1</v>
      </c>
      <c r="F20">
        <v>1</v>
      </c>
      <c r="G20">
        <v>1</v>
      </c>
      <c r="H20">
        <v>1</v>
      </c>
      <c r="I20">
        <v>1</v>
      </c>
    </row>
    <row r="21" spans="1:9">
      <c r="A21" t="s">
        <v>95</v>
      </c>
      <c r="B21">
        <v>1</v>
      </c>
      <c r="C21">
        <v>1</v>
      </c>
      <c r="D21">
        <v>1</v>
      </c>
      <c r="E21">
        <v>1</v>
      </c>
      <c r="F21">
        <v>0</v>
      </c>
      <c r="G21">
        <v>0</v>
      </c>
      <c r="H21">
        <v>0</v>
      </c>
      <c r="I21">
        <v>0</v>
      </c>
    </row>
    <row r="22" spans="1:9">
      <c r="A22" t="s">
        <v>96</v>
      </c>
      <c r="B22">
        <v>1</v>
      </c>
      <c r="C22">
        <v>1</v>
      </c>
      <c r="D22">
        <v>1</v>
      </c>
      <c r="E22">
        <v>1</v>
      </c>
      <c r="F22">
        <v>1</v>
      </c>
      <c r="G22">
        <v>1</v>
      </c>
      <c r="H22">
        <v>1</v>
      </c>
      <c r="I22">
        <v>1</v>
      </c>
    </row>
    <row r="23" spans="1:9">
      <c r="A23" t="s">
        <v>97</v>
      </c>
      <c r="B23">
        <v>0</v>
      </c>
      <c r="C23">
        <v>0</v>
      </c>
      <c r="D23">
        <v>0</v>
      </c>
      <c r="E23">
        <v>0</v>
      </c>
      <c r="F23">
        <v>0</v>
      </c>
      <c r="G23">
        <v>0</v>
      </c>
      <c r="H23">
        <v>0</v>
      </c>
      <c r="I23">
        <v>0</v>
      </c>
    </row>
    <row r="24" spans="1:9">
      <c r="A24" t="s">
        <v>98</v>
      </c>
      <c r="B24">
        <v>1</v>
      </c>
      <c r="C24">
        <v>1</v>
      </c>
      <c r="D24">
        <v>1</v>
      </c>
      <c r="E24">
        <v>1</v>
      </c>
      <c r="F24">
        <v>1</v>
      </c>
      <c r="G24">
        <v>1</v>
      </c>
      <c r="H24">
        <v>1</v>
      </c>
      <c r="I24">
        <v>1</v>
      </c>
    </row>
    <row r="25" spans="1:9">
      <c r="A25" t="s">
        <v>99</v>
      </c>
      <c r="B25">
        <v>1</v>
      </c>
      <c r="C25">
        <v>1</v>
      </c>
      <c r="D25">
        <v>1</v>
      </c>
      <c r="E25">
        <v>1</v>
      </c>
      <c r="F25">
        <v>1</v>
      </c>
      <c r="G25">
        <v>1</v>
      </c>
      <c r="H25">
        <v>1</v>
      </c>
      <c r="I25">
        <v>1</v>
      </c>
    </row>
    <row r="26" spans="1:9">
      <c r="A26" t="s">
        <v>100</v>
      </c>
      <c r="B26">
        <v>0</v>
      </c>
      <c r="C26">
        <v>0</v>
      </c>
      <c r="D26">
        <v>0</v>
      </c>
      <c r="E26">
        <v>0</v>
      </c>
      <c r="F26">
        <v>0</v>
      </c>
      <c r="G26">
        <v>0</v>
      </c>
      <c r="H26">
        <v>0</v>
      </c>
      <c r="I26">
        <v>0</v>
      </c>
    </row>
    <row r="29" spans="1:9">
      <c r="A29" t="s">
        <v>274</v>
      </c>
    </row>
    <row r="31" spans="1:9">
      <c r="A31" t="s">
        <v>275</v>
      </c>
    </row>
    <row r="32" spans="1:9">
      <c r="A32" t="s">
        <v>253</v>
      </c>
      <c r="B32" t="s">
        <v>279</v>
      </c>
    </row>
    <row r="33" spans="1:9">
      <c r="A33" t="s">
        <v>254</v>
      </c>
    </row>
    <row r="34" spans="1:9">
      <c r="A34" t="s">
        <v>255</v>
      </c>
    </row>
    <row r="35" spans="1:9">
      <c r="A35" t="s">
        <v>256</v>
      </c>
    </row>
    <row r="36" spans="1:9">
      <c r="A36" t="s">
        <v>263</v>
      </c>
      <c r="C36" t="s">
        <v>264</v>
      </c>
    </row>
    <row r="37" spans="1:9">
      <c r="A37" t="s">
        <v>258</v>
      </c>
    </row>
    <row r="38" spans="1:9">
      <c r="A38" t="s">
        <v>259</v>
      </c>
    </row>
    <row r="41" spans="1:9">
      <c r="A41" t="s">
        <v>101</v>
      </c>
    </row>
    <row r="42" spans="1:9">
      <c r="A42" t="s">
        <v>102</v>
      </c>
      <c r="B42">
        <v>8</v>
      </c>
      <c r="C42" t="s">
        <v>103</v>
      </c>
    </row>
    <row r="43" spans="1:9">
      <c r="A43" t="s">
        <v>226</v>
      </c>
      <c r="B43">
        <v>0</v>
      </c>
      <c r="C43">
        <v>1</v>
      </c>
      <c r="D43">
        <v>2</v>
      </c>
      <c r="E43">
        <v>3</v>
      </c>
      <c r="F43">
        <v>4</v>
      </c>
      <c r="G43">
        <v>5</v>
      </c>
      <c r="H43">
        <v>6</v>
      </c>
      <c r="I43">
        <v>7</v>
      </c>
    </row>
    <row r="44" spans="1:9">
      <c r="A44" t="s">
        <v>227</v>
      </c>
      <c r="B44">
        <v>100</v>
      </c>
      <c r="C44">
        <v>100</v>
      </c>
      <c r="D44">
        <v>100</v>
      </c>
      <c r="E44">
        <v>100</v>
      </c>
      <c r="F44">
        <v>100</v>
      </c>
      <c r="G44">
        <v>100</v>
      </c>
      <c r="H44">
        <v>100</v>
      </c>
      <c r="I44">
        <v>100</v>
      </c>
    </row>
    <row r="45" spans="1:9">
      <c r="A45" t="s">
        <v>104</v>
      </c>
    </row>
    <row r="46" spans="1:9">
      <c r="A46" t="s">
        <v>225</v>
      </c>
      <c r="B46">
        <v>0</v>
      </c>
      <c r="C46">
        <v>1</v>
      </c>
      <c r="D46">
        <v>2</v>
      </c>
      <c r="E46">
        <v>3</v>
      </c>
      <c r="F46">
        <v>4</v>
      </c>
      <c r="G46">
        <v>5</v>
      </c>
      <c r="H46">
        <v>6</v>
      </c>
      <c r="I46">
        <v>7</v>
      </c>
    </row>
    <row r="47" spans="1:9">
      <c r="A47" t="s">
        <v>230</v>
      </c>
      <c r="B47">
        <v>0</v>
      </c>
      <c r="C47">
        <v>1</v>
      </c>
      <c r="D47">
        <v>2</v>
      </c>
      <c r="E47">
        <v>3</v>
      </c>
      <c r="F47">
        <v>4</v>
      </c>
      <c r="G47">
        <v>5</v>
      </c>
      <c r="H47">
        <v>6</v>
      </c>
      <c r="I47">
        <v>7</v>
      </c>
    </row>
    <row r="49" spans="1:9">
      <c r="A49" t="s">
        <v>223</v>
      </c>
      <c r="B49" s="21">
        <f>+INDEX(Sheet1!$K$59:$K$67,COLUMN()-COLUMN($B$83)+1)</f>
        <v>11.375</v>
      </c>
      <c r="C49" s="21">
        <f>+INDEX(Sheet1!$K$59:$K$67,COLUMN()-COLUMN($B$83)+1)</f>
        <v>11.375</v>
      </c>
      <c r="D49" s="21">
        <f>+INDEX(Sheet1!$K$59:$K$67,COLUMN()-COLUMN($B$83)+1)</f>
        <v>11.375</v>
      </c>
      <c r="E49" s="21">
        <f>+INDEX(Sheet1!$K$59:$K$67,COLUMN()-COLUMN($B$83)+1)</f>
        <v>11.375</v>
      </c>
      <c r="F49" s="21">
        <f>+INDEX(Sheet1!$K$59:$K$67,COLUMN()-COLUMN($B$83)+1)</f>
        <v>706.67</v>
      </c>
      <c r="G49" s="21">
        <f>+INDEX(Sheet1!$K$59:$K$67,COLUMN()-COLUMN($B$83)+1)</f>
        <v>978.46</v>
      </c>
      <c r="H49" s="21">
        <f>+INDEX(Sheet1!$K$59:$K$67,COLUMN()-COLUMN($B$83)+1)</f>
        <v>978.46</v>
      </c>
      <c r="I49" s="21">
        <f>+INDEX(Sheet1!$K$59:$K$67,COLUMN()-COLUMN($B$83)+1)</f>
        <v>2.5</v>
      </c>
    </row>
    <row r="50" spans="1:9">
      <c r="A50" t="s">
        <v>222</v>
      </c>
      <c r="B50" s="21">
        <f>+INDEX(Sheet1!$D$59:$D$66,COLUMN()-COLUMN($B$83)+1)++INDEX(Sheet1!$S$59:$S$66,COLUMN()-COLUMN($B$83)+1)</f>
        <v>181</v>
      </c>
      <c r="C50" s="21">
        <f>+INDEX(Sheet1!$D$59:$D$66,COLUMN()-COLUMN($B$83)+1)++INDEX(Sheet1!$S$59:$S$66,COLUMN()-COLUMN($B$83)+1)</f>
        <v>53</v>
      </c>
      <c r="D50" s="21">
        <f>+INDEX(Sheet1!$D$59:$D$66,COLUMN()-COLUMN($B$83)+1)++INDEX(Sheet1!$S$59:$S$66,COLUMN()-COLUMN($B$83)+1)</f>
        <v>247.74218089602704</v>
      </c>
      <c r="E50" s="21">
        <f>+INDEX(Sheet1!$D$59:$D$66,COLUMN()-COLUMN($B$83)+1)++INDEX(Sheet1!$S$59:$S$66,COLUMN()-COLUMN($B$83)+1)</f>
        <v>180</v>
      </c>
      <c r="F50" s="21">
        <f>+INDEX(Sheet1!$D$59:$D$66,COLUMN()-COLUMN($B$83)+1)++INDEX(Sheet1!$S$59:$S$66,COLUMN()-COLUMN($B$83)+1)</f>
        <v>90</v>
      </c>
      <c r="G50" s="21">
        <f>+INDEX(Sheet1!$D$59:$D$66,COLUMN()-COLUMN($B$83)+1)++INDEX(Sheet1!$S$59:$S$66,COLUMN()-COLUMN($B$83)+1)</f>
        <v>-10</v>
      </c>
      <c r="H50" s="21">
        <f>+INDEX(Sheet1!$D$59:$D$66,COLUMN()-COLUMN($B$83)+1)++INDEX(Sheet1!$S$59:$S$66,COLUMN()-COLUMN($B$83)+1)</f>
        <v>-45</v>
      </c>
      <c r="I50" s="21">
        <f>+INDEX(Sheet1!$D$59:$D$66,COLUMN()-COLUMN($B$83)+1)++INDEX(Sheet1!$S$59:$S$66,COLUMN()-COLUMN($B$83)+1)</f>
        <v>760</v>
      </c>
    </row>
    <row r="52" spans="1:9">
      <c r="A52" t="s">
        <v>105</v>
      </c>
      <c r="B52">
        <v>0</v>
      </c>
    </row>
    <row r="54" spans="1:9">
      <c r="A54" t="s">
        <v>150</v>
      </c>
    </row>
    <row r="55" spans="1:9">
      <c r="A55" t="s">
        <v>238</v>
      </c>
      <c r="B55">
        <v>8</v>
      </c>
      <c r="C55">
        <v>8</v>
      </c>
      <c r="D55">
        <v>8</v>
      </c>
      <c r="E55">
        <v>8</v>
      </c>
      <c r="F55">
        <v>8</v>
      </c>
      <c r="G55">
        <v>8</v>
      </c>
      <c r="H55">
        <v>8</v>
      </c>
      <c r="I55">
        <v>8</v>
      </c>
    </row>
    <row r="57" spans="1:9">
      <c r="A57" t="s">
        <v>225</v>
      </c>
      <c r="B57">
        <v>0</v>
      </c>
      <c r="C57">
        <v>1</v>
      </c>
      <c r="D57">
        <v>2</v>
      </c>
      <c r="E57">
        <v>3</v>
      </c>
      <c r="F57">
        <v>4</v>
      </c>
      <c r="G57">
        <v>5</v>
      </c>
      <c r="H57">
        <v>6</v>
      </c>
      <c r="I57">
        <v>7</v>
      </c>
    </row>
    <row r="58" spans="1:9">
      <c r="A58" t="s">
        <v>106</v>
      </c>
    </row>
    <row r="59" spans="1:9">
      <c r="A59" t="s">
        <v>228</v>
      </c>
      <c r="B59" s="21">
        <f>+INDEX(Sheet1!$H$59:$H$67,COLUMN()-COLUMN($B$83)+1)</f>
        <v>10</v>
      </c>
      <c r="C59" s="21">
        <f>+INDEX(Sheet1!$H$59:$H$67,COLUMN()-COLUMN($B$83)+1)</f>
        <v>161</v>
      </c>
      <c r="D59" s="21">
        <f>+INDEX(Sheet1!$H$59:$H$67,COLUMN()-COLUMN($B$83)+1)</f>
        <v>80</v>
      </c>
      <c r="E59" s="21">
        <f>+INDEX(Sheet1!$H$59:$H$67,COLUMN()-COLUMN($B$83)+1)</f>
        <v>106</v>
      </c>
      <c r="F59" s="21">
        <f>+INDEX(Sheet1!$H$59:$H$67,COLUMN()-COLUMN($B$83)+1)</f>
        <v>90</v>
      </c>
      <c r="G59" s="21">
        <f>+INDEX(Sheet1!$H$59:$H$67,COLUMN()-COLUMN($B$83)+1)</f>
        <v>0</v>
      </c>
      <c r="H59" s="21">
        <f>+INDEX(Sheet1!$H$59:$H$67,COLUMN()-COLUMN($B$83)+1)</f>
        <v>40</v>
      </c>
      <c r="I59" s="21">
        <f>+INDEX(Sheet1!$H$59:$H$67,COLUMN()-COLUMN($B$83)+1)</f>
        <v>60</v>
      </c>
    </row>
    <row r="60" spans="1:9">
      <c r="A60" t="s">
        <v>229</v>
      </c>
      <c r="B60" s="21">
        <f>+INDEX(Sheet1!$G$59:$G$66,COLUMN()-COLUMN($B$83)+1)</f>
        <v>-95.5</v>
      </c>
      <c r="C60" s="21">
        <f>+INDEX(Sheet1!$G$59:$G$66,COLUMN()-COLUMN($B$83)+1)</f>
        <v>0</v>
      </c>
      <c r="D60" s="21">
        <f>+INDEX(Sheet1!$G$59:$G$66,COLUMN()-COLUMN($B$83)+1)</f>
        <v>-37</v>
      </c>
      <c r="E60" s="21">
        <f>+INDEX(Sheet1!$G$59:$G$66,COLUMN()-COLUMN($B$83)+1)</f>
        <v>15</v>
      </c>
      <c r="F60" s="21">
        <f>+INDEX(Sheet1!$G$59:$G$66,COLUMN()-COLUMN($B$83)+1)</f>
        <v>-90</v>
      </c>
      <c r="G60" s="21">
        <f>+INDEX(Sheet1!$G$59:$G$66,COLUMN()-COLUMN($B$83)+1)</f>
        <v>-90</v>
      </c>
      <c r="H60" s="21">
        <f>+INDEX(Sheet1!$G$59:$G$66,COLUMN()-COLUMN($B$83)+1)</f>
        <v>-20</v>
      </c>
      <c r="I60" s="21">
        <f>+INDEX(Sheet1!$G$59:$G$66,COLUMN()-COLUMN($B$83)+1)</f>
        <v>0</v>
      </c>
    </row>
    <row r="63" spans="1:9">
      <c r="A63" t="s">
        <v>224</v>
      </c>
    </row>
    <row r="64" spans="1:9">
      <c r="A64" t="s">
        <v>218</v>
      </c>
      <c r="B64" s="21">
        <f>$B$5</f>
        <v>7000</v>
      </c>
      <c r="C64" s="21">
        <f>$B$5</f>
        <v>7000</v>
      </c>
      <c r="D64" s="21">
        <f>$B$5</f>
        <v>7000</v>
      </c>
      <c r="E64" s="21">
        <f>$B$5</f>
        <v>7000</v>
      </c>
      <c r="F64">
        <v>350</v>
      </c>
      <c r="G64">
        <v>500</v>
      </c>
      <c r="H64">
        <v>500</v>
      </c>
      <c r="I64">
        <v>500</v>
      </c>
    </row>
    <row r="66" spans="1:9">
      <c r="A66" t="s">
        <v>107</v>
      </c>
      <c r="B66" t="s">
        <v>108</v>
      </c>
      <c r="C66" t="s">
        <v>109</v>
      </c>
      <c r="D66" t="s">
        <v>110</v>
      </c>
      <c r="E66" t="s">
        <v>111</v>
      </c>
      <c r="F66" t="s">
        <v>112</v>
      </c>
      <c r="G66" t="s">
        <v>113</v>
      </c>
      <c r="H66" t="s">
        <v>114</v>
      </c>
    </row>
    <row r="67" spans="1:9">
      <c r="A67" t="s">
        <v>115</v>
      </c>
    </row>
    <row r="68" spans="1:9">
      <c r="A68" t="s">
        <v>116</v>
      </c>
      <c r="B68">
        <v>32000</v>
      </c>
      <c r="C68">
        <v>50</v>
      </c>
      <c r="D68">
        <v>60</v>
      </c>
      <c r="E68" s="21">
        <f t="shared" ref="E68:F75" si="0">+$B$2</f>
        <v>1333</v>
      </c>
      <c r="F68" s="21">
        <f t="shared" si="0"/>
        <v>1333</v>
      </c>
      <c r="G68">
        <v>13</v>
      </c>
      <c r="H68">
        <v>0</v>
      </c>
    </row>
    <row r="69" spans="1:9">
      <c r="A69" t="s">
        <v>117</v>
      </c>
      <c r="B69">
        <v>32000</v>
      </c>
      <c r="C69">
        <v>50</v>
      </c>
      <c r="D69">
        <v>60</v>
      </c>
      <c r="E69" s="21">
        <f t="shared" si="0"/>
        <v>1333</v>
      </c>
      <c r="F69" s="21">
        <f t="shared" si="0"/>
        <v>1333</v>
      </c>
      <c r="G69">
        <v>13</v>
      </c>
      <c r="H69">
        <v>0</v>
      </c>
    </row>
    <row r="70" spans="1:9">
      <c r="A70" t="s">
        <v>118</v>
      </c>
      <c r="B70">
        <v>10000</v>
      </c>
      <c r="C70">
        <v>0</v>
      </c>
      <c r="D70">
        <v>10</v>
      </c>
      <c r="E70" s="21">
        <f t="shared" si="0"/>
        <v>1333</v>
      </c>
      <c r="F70" s="21">
        <f t="shared" si="0"/>
        <v>1333</v>
      </c>
      <c r="G70">
        <v>13</v>
      </c>
      <c r="H70">
        <v>0</v>
      </c>
    </row>
    <row r="71" spans="1:9">
      <c r="A71" t="s">
        <v>119</v>
      </c>
      <c r="B71">
        <v>32000</v>
      </c>
      <c r="C71">
        <v>20</v>
      </c>
      <c r="D71">
        <v>60</v>
      </c>
      <c r="E71" s="21">
        <f t="shared" si="0"/>
        <v>1333</v>
      </c>
      <c r="F71" s="21">
        <f t="shared" si="0"/>
        <v>1333</v>
      </c>
      <c r="G71">
        <v>13</v>
      </c>
      <c r="H71">
        <v>0</v>
      </c>
    </row>
    <row r="72" spans="1:9">
      <c r="A72" t="s">
        <v>120</v>
      </c>
      <c r="B72">
        <v>200</v>
      </c>
      <c r="C72">
        <v>1000</v>
      </c>
      <c r="D72">
        <v>1</v>
      </c>
      <c r="E72" s="21">
        <f t="shared" si="0"/>
        <v>1333</v>
      </c>
      <c r="F72" s="21">
        <f t="shared" si="0"/>
        <v>1333</v>
      </c>
      <c r="G72">
        <v>6</v>
      </c>
      <c r="H72">
        <v>0</v>
      </c>
    </row>
    <row r="73" spans="1:9">
      <c r="A73" t="s">
        <v>121</v>
      </c>
      <c r="B73">
        <v>100</v>
      </c>
      <c r="C73">
        <v>100</v>
      </c>
      <c r="D73">
        <v>2</v>
      </c>
      <c r="E73" s="21">
        <f t="shared" si="0"/>
        <v>1333</v>
      </c>
      <c r="F73" s="21">
        <f t="shared" si="0"/>
        <v>1333</v>
      </c>
      <c r="G73">
        <v>6</v>
      </c>
      <c r="H73">
        <v>0</v>
      </c>
    </row>
    <row r="74" spans="1:9">
      <c r="A74" t="s">
        <v>122</v>
      </c>
      <c r="B74">
        <v>100</v>
      </c>
      <c r="C74">
        <v>100</v>
      </c>
      <c r="D74">
        <v>2</v>
      </c>
      <c r="E74" s="21">
        <f t="shared" si="0"/>
        <v>1333</v>
      </c>
      <c r="F74" s="21">
        <f t="shared" si="0"/>
        <v>1333</v>
      </c>
      <c r="G74">
        <v>6</v>
      </c>
      <c r="H74">
        <v>0</v>
      </c>
    </row>
    <row r="75" spans="1:9">
      <c r="A75" t="s">
        <v>123</v>
      </c>
      <c r="B75">
        <v>200</v>
      </c>
      <c r="C75">
        <v>200</v>
      </c>
      <c r="D75">
        <v>1</v>
      </c>
      <c r="E75" s="21">
        <f t="shared" si="0"/>
        <v>1333</v>
      </c>
      <c r="F75" s="21">
        <f t="shared" si="0"/>
        <v>1333</v>
      </c>
      <c r="G75">
        <v>4</v>
      </c>
      <c r="H75">
        <v>0</v>
      </c>
    </row>
    <row r="77" spans="1:9">
      <c r="A77" t="s">
        <v>128</v>
      </c>
    </row>
    <row r="78" spans="1:9">
      <c r="A78" t="s">
        <v>224</v>
      </c>
      <c r="B78">
        <v>0</v>
      </c>
      <c r="C78">
        <v>1</v>
      </c>
      <c r="D78">
        <v>2</v>
      </c>
      <c r="E78">
        <v>3</v>
      </c>
      <c r="F78">
        <v>4</v>
      </c>
      <c r="G78">
        <v>5</v>
      </c>
      <c r="H78">
        <v>6</v>
      </c>
      <c r="I78">
        <v>7</v>
      </c>
    </row>
    <row r="79" spans="1:9">
      <c r="A79" t="s">
        <v>129</v>
      </c>
      <c r="B79">
        <v>3</v>
      </c>
      <c r="C79">
        <v>3</v>
      </c>
      <c r="D79">
        <v>3</v>
      </c>
      <c r="E79">
        <v>3</v>
      </c>
      <c r="F79">
        <v>0</v>
      </c>
      <c r="G79">
        <v>2</v>
      </c>
      <c r="H79">
        <v>2</v>
      </c>
      <c r="I79">
        <v>3</v>
      </c>
    </row>
    <row r="80" spans="1:9">
      <c r="A80" t="s">
        <v>130</v>
      </c>
      <c r="B80" s="21">
        <f>+INDEX(Sheet1!$L$59:$L$66,COLUMN()-COLUMN($B$83)+1)</f>
        <v>1706.25</v>
      </c>
      <c r="C80" s="21">
        <f>+INDEX(Sheet1!$L$59:$L$66,COLUMN()-COLUMN($B$83)+1)</f>
        <v>853.125</v>
      </c>
      <c r="D80" s="21">
        <f>+INDEX(Sheet1!$L$59:$L$66,COLUMN()-COLUMN($B$83)+1)</f>
        <v>2795.3173076923076</v>
      </c>
      <c r="E80" s="21">
        <f>+INDEX(Sheet1!$L$59:$L$66,COLUMN()-COLUMN($B$83)+1)</f>
        <v>2558</v>
      </c>
      <c r="F80" s="21">
        <f>+INDEX(Sheet1!$L$59:$L$66,COLUMN()-COLUMN($B$83)+1)</f>
        <v>600</v>
      </c>
      <c r="G80" s="21">
        <f>+INDEX(Sheet1!$L$59:$L$66,COLUMN()-COLUMN($B$83)+1)</f>
        <v>750</v>
      </c>
      <c r="H80" s="21">
        <f>+INDEX(Sheet1!$L$59:$L$66,COLUMN()-COLUMN($B$83)+1)</f>
        <v>750</v>
      </c>
      <c r="I80" s="21">
        <f>+INDEX(Sheet1!$L$59:$L$66,COLUMN()-COLUMN($B$83)+1)</f>
        <v>1900</v>
      </c>
    </row>
    <row r="81" spans="1:9">
      <c r="A81" t="s">
        <v>131</v>
      </c>
      <c r="B81" s="21">
        <f>+INDEX(Sheet1!$M$59:$M$66,COLUMN()-COLUMN($B$83)+1)</f>
        <v>10</v>
      </c>
      <c r="C81" s="21">
        <f>+INDEX(Sheet1!$M$59:$M$66,COLUMN()-COLUMN($B$83)+1)</f>
        <v>10</v>
      </c>
      <c r="D81" s="21">
        <f>+INDEX(Sheet1!$M$59:$M$66,COLUMN()-COLUMN($B$83)+1)</f>
        <v>10</v>
      </c>
      <c r="E81" s="21">
        <f>+INDEX(Sheet1!$M$59:$M$66,COLUMN()-COLUMN($B$83)+1)</f>
        <v>10</v>
      </c>
      <c r="F81" s="21">
        <f>+INDEX(Sheet1!$M$59:$M$66,COLUMN()-COLUMN($B$83)+1)</f>
        <v>-20</v>
      </c>
      <c r="G81" s="21">
        <f>+INDEX(Sheet1!$M$59:$M$66,COLUMN()-COLUMN($B$83)+1)</f>
        <v>10</v>
      </c>
      <c r="H81" s="21">
        <f>+INDEX(Sheet1!$M$59:$M$66,COLUMN()-COLUMN($B$83)+1)</f>
        <v>10</v>
      </c>
      <c r="I81" s="21">
        <f>+INDEX(Sheet1!$M$59:$M$66,COLUMN()-COLUMN($B$83)+1)</f>
        <v>100</v>
      </c>
    </row>
    <row r="82" spans="1:9">
      <c r="A82" t="s">
        <v>132</v>
      </c>
      <c r="B82" s="21">
        <f>+INDEX(Sheet1!$N$59:$N$66,COLUMN()-COLUMN($B$83)+1)</f>
        <v>3652.5125000000003</v>
      </c>
      <c r="C82" s="21">
        <f>+INDEX(Sheet1!$N$59:$N$66,COLUMN()-COLUMN($B$83)+1)</f>
        <v>129.67499999999998</v>
      </c>
      <c r="D82" s="21">
        <f>+INDEX(Sheet1!$N$59:$N$66,COLUMN()-COLUMN($B$83)+1)</f>
        <v>2111.484375</v>
      </c>
      <c r="E82" s="21">
        <f>+INDEX(Sheet1!$N$59:$N$66,COLUMN()-COLUMN($B$83)+1)</f>
        <v>1785.875</v>
      </c>
      <c r="F82" s="21">
        <f>+INDEX(Sheet1!$N$59:$N$66,COLUMN()-COLUMN($B$83)+1)</f>
        <v>0</v>
      </c>
      <c r="G82" s="21">
        <f>+INDEX(Sheet1!$N$59:$N$66,COLUMN()-COLUMN($B$83)+1)</f>
        <v>0</v>
      </c>
      <c r="H82" s="21">
        <f>+INDEX(Sheet1!$N$59:$N$66,COLUMN()-COLUMN($B$83)+1)</f>
        <v>0</v>
      </c>
      <c r="I82" s="21">
        <f>+INDEX(Sheet1!$N$59:$N$66,COLUMN()-COLUMN($B$83)+1)</f>
        <v>0</v>
      </c>
    </row>
    <row r="83" spans="1:9">
      <c r="A83" t="s">
        <v>133</v>
      </c>
      <c r="B83" s="21">
        <f>+INDEX(Sheet1!$O$59:$O$66,COLUMN()-COLUMN($B$83)+1)</f>
        <v>-30</v>
      </c>
      <c r="C83" s="21">
        <f>+INDEX(Sheet1!$O$59:$O$66,COLUMN()-COLUMN($B$83)+1)</f>
        <v>30</v>
      </c>
      <c r="D83" s="21">
        <f>+INDEX(Sheet1!$O$59:$O$66,COLUMN()-COLUMN($B$83)+1)</f>
        <v>0</v>
      </c>
      <c r="E83" s="21">
        <f>+INDEX(Sheet1!$O$59:$O$66,COLUMN()-COLUMN($B$83)+1)</f>
        <v>45</v>
      </c>
      <c r="F83" s="21">
        <f>+INDEX(Sheet1!$O$59:$O$66,COLUMN()-COLUMN($B$83)+1)</f>
        <v>0</v>
      </c>
      <c r="G83" s="21">
        <f>+INDEX(Sheet1!$O$59:$O$66,COLUMN()-COLUMN($B$83)+1)</f>
        <v>0</v>
      </c>
      <c r="H83" s="21">
        <f>+INDEX(Sheet1!$O$59:$O$66,COLUMN()-COLUMN($B$83)+1)</f>
        <v>0</v>
      </c>
      <c r="I83" s="21">
        <f>+INDEX(Sheet1!$O$59:$O$66,COLUMN()-COLUMN($B$83)+1)</f>
        <v>15</v>
      </c>
    </row>
    <row r="84" spans="1:9">
      <c r="A84" t="s">
        <v>134</v>
      </c>
      <c r="B84" s="21">
        <f>+INDEX(Sheet1!$P$59:$P$66,COLUMN()-COLUMN($B$83)+1)</f>
        <v>10</v>
      </c>
      <c r="C84" s="21">
        <f>+INDEX(Sheet1!$P$59:$P$66,COLUMN()-COLUMN($B$83)+1)</f>
        <v>10</v>
      </c>
      <c r="D84" s="21">
        <f>+INDEX(Sheet1!$P$59:$P$66,COLUMN()-COLUMN($B$83)+1)</f>
        <v>10</v>
      </c>
      <c r="E84" s="21">
        <f>+INDEX(Sheet1!$P$59:$P$66,COLUMN()-COLUMN($B$83)+1)</f>
        <v>10</v>
      </c>
      <c r="F84" s="21">
        <f>+INDEX(Sheet1!$P$59:$P$66,COLUMN()-COLUMN($B$83)+1)</f>
        <v>30</v>
      </c>
      <c r="G84" s="21">
        <f>+INDEX(Sheet1!$P$59:$P$66,COLUMN()-COLUMN($B$83)+1)</f>
        <v>30</v>
      </c>
      <c r="H84" s="21">
        <f>+INDEX(Sheet1!$P$59:$P$66,COLUMN()-COLUMN($B$83)+1)</f>
        <v>30</v>
      </c>
      <c r="I84" s="21">
        <f>+INDEX(Sheet1!$P$59:$P$66,COLUMN()-COLUMN($B$83)+1)</f>
        <v>100</v>
      </c>
    </row>
    <row r="86" spans="1:9">
      <c r="A86" t="s">
        <v>135</v>
      </c>
    </row>
    <row r="87" spans="1:9">
      <c r="A87" t="s">
        <v>224</v>
      </c>
      <c r="B87">
        <v>0</v>
      </c>
      <c r="C87">
        <v>1</v>
      </c>
      <c r="D87">
        <v>2</v>
      </c>
      <c r="E87">
        <v>3</v>
      </c>
      <c r="F87">
        <v>4</v>
      </c>
      <c r="G87">
        <v>5</v>
      </c>
      <c r="H87">
        <v>6</v>
      </c>
      <c r="I87">
        <v>7</v>
      </c>
    </row>
    <row r="88" spans="1:9">
      <c r="A88" t="s">
        <v>136</v>
      </c>
      <c r="B88" s="21">
        <f>+INDEX(Sheet1!$Q$59:$Q$66,COLUMN()-COLUMN($B$83)+1)</f>
        <v>-30</v>
      </c>
      <c r="C88" s="21">
        <f>+INDEX(Sheet1!$Q$59:$Q$66,COLUMN()-COLUMN($B$83)+1)</f>
        <v>30</v>
      </c>
      <c r="D88" s="21">
        <f>+INDEX(Sheet1!$Q$59:$Q$66,COLUMN()-COLUMN($B$83)+1)</f>
        <v>0</v>
      </c>
      <c r="E88" s="21">
        <f>+INDEX(Sheet1!$Q$59:$Q$66,COLUMN()-COLUMN($B$83)+1)</f>
        <v>45</v>
      </c>
      <c r="F88" s="21">
        <f>+INDEX(Sheet1!$Q$59:$Q$66,COLUMN()-COLUMN($B$83)+1)</f>
        <v>0</v>
      </c>
      <c r="G88" s="21">
        <f>+INDEX(Sheet1!$Q$59:$Q$66,COLUMN()-COLUMN($B$83)+1)</f>
        <v>0</v>
      </c>
      <c r="H88" s="21">
        <f>+INDEX(Sheet1!$Q$59:$Q$66,COLUMN()-COLUMN($B$83)+1)</f>
        <v>40</v>
      </c>
      <c r="I88" s="21">
        <f>+INDEX(Sheet1!$Q$59:$Q$66,COLUMN()-COLUMN($B$83)+1)</f>
        <v>15</v>
      </c>
    </row>
    <row r="89" spans="1:9">
      <c r="A89" t="s">
        <v>137</v>
      </c>
      <c r="B89" s="21">
        <f>+INDEX(Sheet1!$R$59:$R$66,COLUMN()-COLUMN($B$83)+1)</f>
        <v>10</v>
      </c>
      <c r="C89" s="21">
        <f>+INDEX(Sheet1!$R$59:$R$66,COLUMN()-COLUMN($B$83)+1)</f>
        <v>10</v>
      </c>
      <c r="D89" s="21">
        <f>+INDEX(Sheet1!$R$59:$R$66,COLUMN()-COLUMN($B$83)+1)</f>
        <v>10</v>
      </c>
      <c r="E89" s="21">
        <f>+INDEX(Sheet1!$R$59:$R$66,COLUMN()-COLUMN($B$83)+1)</f>
        <v>10</v>
      </c>
      <c r="F89" s="21">
        <f>+INDEX(Sheet1!$R$59:$R$66,COLUMN()-COLUMN($B$83)+1)</f>
        <v>30</v>
      </c>
      <c r="G89" s="21">
        <f>+INDEX(Sheet1!$R$59:$R$66,COLUMN()-COLUMN($B$83)+1)</f>
        <v>30</v>
      </c>
      <c r="H89" s="21">
        <f>+INDEX(Sheet1!$R$59:$R$66,COLUMN()-COLUMN($B$83)+1)</f>
        <v>30</v>
      </c>
      <c r="I89" s="21">
        <f>+INDEX(Sheet1!$R$59:$R$66,COLUMN()-COLUMN($B$83)+1)</f>
        <v>100</v>
      </c>
    </row>
    <row r="90" spans="1:9">
      <c r="A90" t="s">
        <v>104</v>
      </c>
    </row>
    <row r="91" spans="1:9">
      <c r="A91" t="s">
        <v>138</v>
      </c>
    </row>
  </sheetData>
  <pageMargins left="0.7" right="0.7" top="0.75" bottom="0.75" header="0.51180555555555551" footer="0.51180555555555551"/>
  <pageSetup firstPageNumber="0" orientation="portrait" horizontalDpi="300" verticalDpi="300"/>
  <headerFooter alignWithMargins="0"/>
</worksheet>
</file>

<file path=xl/worksheets/sheet6.xml><?xml version="1.0" encoding="utf-8"?>
<worksheet xmlns="http://schemas.openxmlformats.org/spreadsheetml/2006/main" xmlns:r="http://schemas.openxmlformats.org/officeDocument/2006/relationships">
  <sheetPr codeName="Sheet6"/>
  <dimension ref="A3:I92"/>
  <sheetViews>
    <sheetView topLeftCell="A20" zoomScaleNormal="100" workbookViewId="0">
      <selection activeCell="C39" sqref="C39"/>
    </sheetView>
  </sheetViews>
  <sheetFormatPr defaultRowHeight="15"/>
  <cols>
    <col min="1" max="1" width="19.5703125" customWidth="1"/>
    <col min="2" max="2" width="15.42578125" customWidth="1"/>
    <col min="3" max="3" width="11.5703125" customWidth="1"/>
    <col min="5" max="5" width="14.7109375" customWidth="1"/>
    <col min="6" max="6" width="12" customWidth="1"/>
    <col min="7" max="7" width="16.5703125" customWidth="1"/>
  </cols>
  <sheetData>
    <row r="3" spans="1:6" ht="15.75" thickBot="1"/>
    <row r="4" spans="1:6" ht="15.75" thickBot="1">
      <c r="A4" s="15" t="s">
        <v>77</v>
      </c>
      <c r="B4" s="16">
        <v>1333</v>
      </c>
      <c r="D4" t="s">
        <v>78</v>
      </c>
      <c r="F4" t="s">
        <v>79</v>
      </c>
    </row>
    <row r="7" spans="1:6">
      <c r="A7" s="17"/>
      <c r="B7" s="18"/>
    </row>
    <row r="11" spans="1:6">
      <c r="A11" t="s">
        <v>82</v>
      </c>
    </row>
    <row r="12" spans="1:6">
      <c r="A12" t="s">
        <v>155</v>
      </c>
    </row>
    <row r="13" spans="1:6">
      <c r="A13" t="s">
        <v>84</v>
      </c>
    </row>
    <row r="14" spans="1:6">
      <c r="A14" t="s">
        <v>85</v>
      </c>
    </row>
    <row r="15" spans="1:6">
      <c r="A15" t="s">
        <v>86</v>
      </c>
      <c r="B15" t="s">
        <v>144</v>
      </c>
    </row>
    <row r="16" spans="1:6">
      <c r="A16" t="s">
        <v>88</v>
      </c>
      <c r="B16">
        <v>11</v>
      </c>
    </row>
    <row r="17" spans="1:9">
      <c r="A17" t="s">
        <v>145</v>
      </c>
      <c r="B17" t="s">
        <v>156</v>
      </c>
    </row>
    <row r="18" spans="1:9">
      <c r="A18" t="s">
        <v>89</v>
      </c>
      <c r="B18">
        <v>0</v>
      </c>
    </row>
    <row r="19" spans="1:9">
      <c r="A19" t="s">
        <v>90</v>
      </c>
      <c r="B19">
        <v>10</v>
      </c>
    </row>
    <row r="20" spans="1:9">
      <c r="A20" t="s">
        <v>91</v>
      </c>
      <c r="B20">
        <v>300</v>
      </c>
    </row>
    <row r="21" spans="1:9">
      <c r="A21" t="s">
        <v>147</v>
      </c>
      <c r="B21">
        <v>500</v>
      </c>
    </row>
    <row r="22" spans="1:9">
      <c r="A22" t="s">
        <v>148</v>
      </c>
      <c r="B22">
        <v>500</v>
      </c>
    </row>
    <row r="23" spans="1:9">
      <c r="A23" t="s">
        <v>149</v>
      </c>
      <c r="B23">
        <v>1</v>
      </c>
      <c r="C23">
        <v>1</v>
      </c>
      <c r="D23">
        <v>1</v>
      </c>
      <c r="E23">
        <v>1</v>
      </c>
      <c r="F23">
        <v>1</v>
      </c>
      <c r="G23">
        <v>1</v>
      </c>
      <c r="H23">
        <v>1</v>
      </c>
      <c r="I23">
        <v>1</v>
      </c>
    </row>
    <row r="24" spans="1:9">
      <c r="A24" t="s">
        <v>95</v>
      </c>
      <c r="B24">
        <v>0</v>
      </c>
      <c r="C24">
        <v>0</v>
      </c>
      <c r="D24">
        <v>0</v>
      </c>
      <c r="E24">
        <v>0</v>
      </c>
      <c r="F24">
        <v>0</v>
      </c>
      <c r="G24">
        <v>0</v>
      </c>
      <c r="H24">
        <v>0</v>
      </c>
      <c r="I24">
        <v>0</v>
      </c>
    </row>
    <row r="25" spans="1:9">
      <c r="A25" t="s">
        <v>96</v>
      </c>
      <c r="B25">
        <v>1</v>
      </c>
      <c r="C25">
        <v>1</v>
      </c>
      <c r="D25">
        <v>1</v>
      </c>
      <c r="E25">
        <v>1</v>
      </c>
      <c r="F25">
        <v>1</v>
      </c>
      <c r="G25">
        <v>1</v>
      </c>
      <c r="H25">
        <v>1</v>
      </c>
      <c r="I25">
        <v>1</v>
      </c>
    </row>
    <row r="26" spans="1:9">
      <c r="A26" t="s">
        <v>97</v>
      </c>
      <c r="B26">
        <v>0</v>
      </c>
      <c r="C26">
        <v>0</v>
      </c>
      <c r="D26">
        <v>0</v>
      </c>
      <c r="E26">
        <v>0</v>
      </c>
      <c r="F26">
        <v>0</v>
      </c>
      <c r="G26">
        <v>0</v>
      </c>
      <c r="H26">
        <v>0</v>
      </c>
      <c r="I26">
        <v>0</v>
      </c>
    </row>
    <row r="27" spans="1:9">
      <c r="A27" t="s">
        <v>98</v>
      </c>
      <c r="B27">
        <v>1</v>
      </c>
      <c r="C27">
        <v>1</v>
      </c>
      <c r="D27">
        <v>1</v>
      </c>
      <c r="E27">
        <v>1</v>
      </c>
      <c r="F27">
        <v>1</v>
      </c>
      <c r="G27">
        <v>1</v>
      </c>
      <c r="H27">
        <v>1</v>
      </c>
      <c r="I27">
        <v>1</v>
      </c>
    </row>
    <row r="28" spans="1:9">
      <c r="A28" t="s">
        <v>99</v>
      </c>
      <c r="B28">
        <v>1</v>
      </c>
      <c r="C28">
        <v>1</v>
      </c>
      <c r="D28">
        <v>1</v>
      </c>
      <c r="E28">
        <v>1</v>
      </c>
      <c r="F28">
        <v>1</v>
      </c>
      <c r="G28">
        <v>1</v>
      </c>
      <c r="H28">
        <v>1</v>
      </c>
      <c r="I28">
        <v>1</v>
      </c>
    </row>
    <row r="29" spans="1:9">
      <c r="A29" t="s">
        <v>100</v>
      </c>
      <c r="B29">
        <v>0</v>
      </c>
      <c r="C29">
        <v>0</v>
      </c>
      <c r="D29">
        <v>0</v>
      </c>
      <c r="E29">
        <v>0</v>
      </c>
      <c r="F29">
        <v>0</v>
      </c>
      <c r="G29">
        <v>0</v>
      </c>
      <c r="H29">
        <v>0</v>
      </c>
      <c r="I29">
        <v>0</v>
      </c>
    </row>
    <row r="32" spans="1:9">
      <c r="A32" t="s">
        <v>276</v>
      </c>
    </row>
    <row r="34" spans="1:9">
      <c r="A34" t="s">
        <v>277</v>
      </c>
    </row>
    <row r="35" spans="1:9">
      <c r="A35" t="s">
        <v>266</v>
      </c>
      <c r="B35" t="s">
        <v>278</v>
      </c>
    </row>
    <row r="36" spans="1:9">
      <c r="A36" t="s">
        <v>272</v>
      </c>
    </row>
    <row r="37" spans="1:9">
      <c r="A37" t="s">
        <v>273</v>
      </c>
    </row>
    <row r="38" spans="1:9">
      <c r="A38" t="s">
        <v>267</v>
      </c>
    </row>
    <row r="39" spans="1:9">
      <c r="A39" t="s">
        <v>269</v>
      </c>
    </row>
    <row r="40" spans="1:9">
      <c r="A40" s="61" t="s">
        <v>294</v>
      </c>
    </row>
    <row r="42" spans="1:9">
      <c r="A42" t="s">
        <v>101</v>
      </c>
    </row>
    <row r="43" spans="1:9">
      <c r="A43" t="s">
        <v>102</v>
      </c>
      <c r="B43">
        <v>8</v>
      </c>
      <c r="C43" t="s">
        <v>103</v>
      </c>
    </row>
    <row r="44" spans="1:9">
      <c r="A44" t="s">
        <v>237</v>
      </c>
      <c r="B44">
        <v>0</v>
      </c>
      <c r="C44">
        <v>1</v>
      </c>
      <c r="D44">
        <v>2</v>
      </c>
      <c r="E44">
        <v>3</v>
      </c>
      <c r="F44">
        <v>4</v>
      </c>
      <c r="G44">
        <v>5</v>
      </c>
      <c r="H44">
        <v>6</v>
      </c>
      <c r="I44">
        <v>7</v>
      </c>
    </row>
    <row r="45" spans="1:9">
      <c r="A45" t="s">
        <v>236</v>
      </c>
      <c r="B45">
        <v>100</v>
      </c>
      <c r="C45">
        <v>100</v>
      </c>
      <c r="D45">
        <v>100</v>
      </c>
      <c r="E45">
        <v>100</v>
      </c>
      <c r="F45">
        <v>100</v>
      </c>
      <c r="G45">
        <v>100</v>
      </c>
      <c r="H45">
        <v>100</v>
      </c>
      <c r="I45">
        <v>100</v>
      </c>
    </row>
    <row r="46" spans="1:9">
      <c r="A46" t="s">
        <v>104</v>
      </c>
    </row>
    <row r="47" spans="1:9">
      <c r="A47" t="s">
        <v>225</v>
      </c>
      <c r="B47">
        <v>0</v>
      </c>
      <c r="C47">
        <v>1</v>
      </c>
      <c r="D47">
        <v>2</v>
      </c>
      <c r="E47">
        <v>3</v>
      </c>
      <c r="F47">
        <v>4</v>
      </c>
      <c r="G47">
        <v>5</v>
      </c>
      <c r="H47">
        <v>6</v>
      </c>
      <c r="I47">
        <v>7</v>
      </c>
    </row>
    <row r="48" spans="1:9">
      <c r="A48" t="s">
        <v>214</v>
      </c>
      <c r="B48">
        <v>0</v>
      </c>
      <c r="C48">
        <v>1</v>
      </c>
      <c r="D48">
        <v>2</v>
      </c>
      <c r="E48">
        <v>3</v>
      </c>
      <c r="F48">
        <v>4</v>
      </c>
      <c r="G48">
        <v>5</v>
      </c>
      <c r="H48">
        <v>6</v>
      </c>
      <c r="I48">
        <v>7</v>
      </c>
    </row>
    <row r="50" spans="1:9">
      <c r="A50" t="s">
        <v>235</v>
      </c>
      <c r="B50" s="34">
        <f>+INDEX(Sheet1!$K$70:$K$77,COLUMN()-COLUMN($B$81)+1)</f>
        <v>18.333333333333332</v>
      </c>
      <c r="C50" s="34">
        <f>+INDEX(Sheet1!$K$70:$K$77,COLUMN()-COLUMN($B$81)+1)</f>
        <v>-2.5444444444444443</v>
      </c>
      <c r="D50" s="34">
        <f>+INDEX(Sheet1!$K$70:$K$77,COLUMN()-COLUMN($B$81)+1)</f>
        <v>-2.6055555555555556</v>
      </c>
      <c r="E50" s="34">
        <f>+INDEX(Sheet1!$K$70:$K$77,COLUMN()-COLUMN($B$81)+1)</f>
        <v>-2.5444444444444443</v>
      </c>
      <c r="F50" s="34">
        <f>+INDEX(Sheet1!$K$70:$K$77,COLUMN()-COLUMN($B$81)+1)</f>
        <v>-2.6055555555555556</v>
      </c>
      <c r="G50" s="34">
        <f>+INDEX(Sheet1!$K$70:$K$77,COLUMN()-COLUMN($B$81)+1)</f>
        <v>-2.5</v>
      </c>
      <c r="H50" s="34">
        <f>+INDEX(Sheet1!$K$70:$K$77,COLUMN()-COLUMN($B$81)+1)</f>
        <v>-2.4833333333333334</v>
      </c>
      <c r="I50" s="34">
        <f>+INDEX(Sheet1!$K$70:$K$77,COLUMN()-COLUMN($B$81)+1)</f>
        <v>-2.2703703703703701</v>
      </c>
    </row>
    <row r="51" spans="1:9">
      <c r="A51" t="s">
        <v>222</v>
      </c>
      <c r="B51" s="34">
        <f>+INDEX(Sheet1!$D$70:$D$77,COLUMN()-COLUMN($B$81)+1)++INDEX(Sheet1!$S$70:$S$77,COLUMN()-COLUMN($B$81)+1)</f>
        <v>25.636363636363637</v>
      </c>
      <c r="C51" s="34">
        <f>+INDEX(Sheet1!$D$70:$D$77,COLUMN()-COLUMN($B$81)+1)++INDEX(Sheet1!$S$70:$S$77,COLUMN()-COLUMN($B$81)+1)</f>
        <v>-99.825327510917035</v>
      </c>
      <c r="D51" s="34">
        <f>+INDEX(Sheet1!$D$70:$D$77,COLUMN()-COLUMN($B$81)+1)++INDEX(Sheet1!$S$70:$S$77,COLUMN()-COLUMN($B$81)+1)</f>
        <v>-191.51385927505331</v>
      </c>
      <c r="E51" s="34">
        <f>+INDEX(Sheet1!$D$70:$D$77,COLUMN()-COLUMN($B$81)+1)++INDEX(Sheet1!$S$70:$S$77,COLUMN()-COLUMN($B$81)+1)</f>
        <v>-99.825327510917035</v>
      </c>
      <c r="F51" s="34">
        <f>+INDEX(Sheet1!$D$70:$D$77,COLUMN()-COLUMN($B$81)+1)++INDEX(Sheet1!$S$70:$S$77,COLUMN()-COLUMN($B$81)+1)</f>
        <v>-191.51385927505331</v>
      </c>
      <c r="G51" s="34">
        <f>+INDEX(Sheet1!$D$70:$D$77,COLUMN()-COLUMN($B$81)+1)++INDEX(Sheet1!$S$70:$S$77,COLUMN()-COLUMN($B$81)+1)</f>
        <v>-100</v>
      </c>
      <c r="H51" s="34">
        <f>+INDEX(Sheet1!$D$70:$D$77,COLUMN()-COLUMN($B$81)+1)++INDEX(Sheet1!$S$70:$S$77,COLUMN()-COLUMN($B$81)+1)</f>
        <v>-195.30201342281879</v>
      </c>
      <c r="I51" s="34">
        <f>+INDEX(Sheet1!$D$70:$D$77,COLUMN()-COLUMN($B$81)+1)++INDEX(Sheet1!$S$70:$S$77,COLUMN()-COLUMN($B$81)+1)</f>
        <v>-325.93800978792825</v>
      </c>
    </row>
    <row r="53" spans="1:9">
      <c r="A53" t="s">
        <v>105</v>
      </c>
      <c r="B53">
        <v>0</v>
      </c>
    </row>
    <row r="56" spans="1:9">
      <c r="A56" t="s">
        <v>150</v>
      </c>
    </row>
    <row r="57" spans="1:9">
      <c r="A57" t="s">
        <v>238</v>
      </c>
      <c r="B57">
        <v>8</v>
      </c>
      <c r="C57">
        <v>8</v>
      </c>
      <c r="D57">
        <v>8</v>
      </c>
      <c r="E57">
        <v>8</v>
      </c>
      <c r="F57">
        <v>8</v>
      </c>
      <c r="G57">
        <v>8</v>
      </c>
      <c r="H57">
        <v>8</v>
      </c>
      <c r="I57">
        <v>8</v>
      </c>
    </row>
    <row r="59" spans="1:9">
      <c r="A59" t="s">
        <v>151</v>
      </c>
    </row>
    <row r="60" spans="1:9">
      <c r="A60" t="s">
        <v>239</v>
      </c>
      <c r="B60">
        <v>0</v>
      </c>
      <c r="C60">
        <v>1</v>
      </c>
      <c r="D60">
        <v>2</v>
      </c>
      <c r="E60">
        <v>3</v>
      </c>
      <c r="F60">
        <v>4</v>
      </c>
      <c r="G60">
        <v>5</v>
      </c>
      <c r="H60">
        <v>6</v>
      </c>
      <c r="I60">
        <v>7</v>
      </c>
    </row>
    <row r="61" spans="1:9">
      <c r="A61" t="s">
        <v>231</v>
      </c>
      <c r="B61" s="21">
        <f>+INDEX(Sheet1!$H$70:$H$77,COLUMN()-COLUMN($B$79)+1)</f>
        <v>90</v>
      </c>
      <c r="C61" s="21">
        <f>+INDEX(Sheet1!$H$70:$H$77,COLUMN()-COLUMN($B$79)+1)</f>
        <v>90</v>
      </c>
      <c r="D61" s="21">
        <f>+INDEX(Sheet1!$H$70:$H$77,COLUMN()-COLUMN($B$79)+1)</f>
        <v>180</v>
      </c>
      <c r="E61" s="21">
        <f>+INDEX(Sheet1!$H$70:$H$77,COLUMN()-COLUMN($B$79)+1)</f>
        <v>90</v>
      </c>
      <c r="F61" s="21">
        <f>+INDEX(Sheet1!$H$70:$H$77,COLUMN()-COLUMN($B$79)+1)</f>
        <v>180</v>
      </c>
      <c r="G61" s="21">
        <f>+INDEX(Sheet1!$H$70:$H$77,COLUMN()-COLUMN($B$79)+1)</f>
        <v>90</v>
      </c>
      <c r="H61" s="21">
        <f>+INDEX(Sheet1!$H$70:$H$77,COLUMN()-COLUMN($B$79)+1)</f>
        <v>180</v>
      </c>
      <c r="I61" s="21">
        <f>+INDEX(Sheet1!$H$70:$H$77,COLUMN()-COLUMN($B$79)+1)</f>
        <v>270</v>
      </c>
    </row>
    <row r="62" spans="1:9">
      <c r="A62" t="s">
        <v>232</v>
      </c>
      <c r="B62" s="21">
        <f>+INDEX(Sheet1!$G$70:$G$77,COLUMN()-COLUMN($B$79)+1)</f>
        <v>0</v>
      </c>
      <c r="C62" s="21">
        <f>+INDEX(Sheet1!$G$70:$G$77,COLUMN()-COLUMN($B$79)+1)</f>
        <v>0</v>
      </c>
      <c r="D62" s="21">
        <f>+INDEX(Sheet1!$G$70:$G$77,COLUMN()-COLUMN($B$79)+1)</f>
        <v>0</v>
      </c>
      <c r="E62" s="21">
        <f>+INDEX(Sheet1!$G$70:$G$77,COLUMN()-COLUMN($B$79)+1)</f>
        <v>0</v>
      </c>
      <c r="F62" s="21">
        <f>+INDEX(Sheet1!$G$70:$G$77,COLUMN()-COLUMN($B$79)+1)</f>
        <v>0</v>
      </c>
      <c r="G62" s="21">
        <f>+INDEX(Sheet1!$G$70:$G$77,COLUMN()-COLUMN($B$79)+1)</f>
        <v>0</v>
      </c>
      <c r="H62" s="21">
        <f>+INDEX(Sheet1!$G$70:$G$77,COLUMN()-COLUMN($B$79)+1)</f>
        <v>0</v>
      </c>
      <c r="I62" s="21">
        <f>+INDEX(Sheet1!$G$70:$G$77,COLUMN()-COLUMN($B$79)+1)</f>
        <v>0</v>
      </c>
    </row>
    <row r="64" spans="1:9">
      <c r="A64" t="s">
        <v>233</v>
      </c>
      <c r="B64">
        <v>485</v>
      </c>
      <c r="C64">
        <v>485</v>
      </c>
      <c r="D64">
        <v>485</v>
      </c>
      <c r="E64">
        <v>485</v>
      </c>
      <c r="F64">
        <v>485</v>
      </c>
      <c r="G64">
        <v>485</v>
      </c>
      <c r="H64">
        <v>485</v>
      </c>
      <c r="I64">
        <v>485</v>
      </c>
    </row>
    <row r="67" spans="1:9">
      <c r="A67" t="s">
        <v>107</v>
      </c>
      <c r="B67" t="s">
        <v>108</v>
      </c>
      <c r="C67" t="s">
        <v>109</v>
      </c>
      <c r="D67" t="s">
        <v>110</v>
      </c>
      <c r="E67" t="s">
        <v>111</v>
      </c>
      <c r="F67" t="s">
        <v>112</v>
      </c>
      <c r="G67" t="s">
        <v>113</v>
      </c>
      <c r="H67" t="s">
        <v>114</v>
      </c>
    </row>
    <row r="68" spans="1:9">
      <c r="A68" t="s">
        <v>115</v>
      </c>
    </row>
    <row r="69" spans="1:9">
      <c r="A69" t="s">
        <v>116</v>
      </c>
      <c r="B69">
        <v>-8000</v>
      </c>
      <c r="C69">
        <v>-32000</v>
      </c>
      <c r="D69">
        <v>-5</v>
      </c>
      <c r="E69" s="21">
        <f t="shared" ref="E69:F76" si="0">+$B$4</f>
        <v>1333</v>
      </c>
      <c r="F69" s="21">
        <f t="shared" si="0"/>
        <v>1333</v>
      </c>
      <c r="G69">
        <v>10</v>
      </c>
      <c r="H69">
        <v>0</v>
      </c>
    </row>
    <row r="70" spans="1:9">
      <c r="A70" t="s">
        <v>117</v>
      </c>
      <c r="B70">
        <v>-8000</v>
      </c>
      <c r="C70">
        <v>-32000</v>
      </c>
      <c r="D70">
        <v>-5</v>
      </c>
      <c r="E70" s="21">
        <f t="shared" si="0"/>
        <v>1333</v>
      </c>
      <c r="F70" s="21">
        <f t="shared" si="0"/>
        <v>1333</v>
      </c>
      <c r="G70">
        <v>10</v>
      </c>
      <c r="H70">
        <v>0</v>
      </c>
    </row>
    <row r="71" spans="1:9">
      <c r="A71" t="s">
        <v>118</v>
      </c>
      <c r="B71">
        <v>8000</v>
      </c>
      <c r="C71">
        <v>32000</v>
      </c>
      <c r="D71">
        <v>5</v>
      </c>
      <c r="E71" s="21">
        <f t="shared" si="0"/>
        <v>1333</v>
      </c>
      <c r="F71" s="21">
        <f t="shared" si="0"/>
        <v>1333</v>
      </c>
      <c r="G71">
        <v>10</v>
      </c>
      <c r="H71">
        <v>0</v>
      </c>
    </row>
    <row r="72" spans="1:9">
      <c r="A72" t="s">
        <v>119</v>
      </c>
      <c r="B72">
        <v>-8000</v>
      </c>
      <c r="C72">
        <v>-32000</v>
      </c>
      <c r="D72">
        <v>-5</v>
      </c>
      <c r="E72" s="21">
        <f t="shared" si="0"/>
        <v>1333</v>
      </c>
      <c r="F72" s="21">
        <f t="shared" si="0"/>
        <v>1333</v>
      </c>
      <c r="G72">
        <v>10</v>
      </c>
      <c r="H72">
        <v>0</v>
      </c>
    </row>
    <row r="73" spans="1:9">
      <c r="A73" t="s">
        <v>120</v>
      </c>
      <c r="B73">
        <v>-8000</v>
      </c>
      <c r="C73">
        <v>-32000</v>
      </c>
      <c r="D73">
        <v>-5</v>
      </c>
      <c r="E73" s="21">
        <f t="shared" si="0"/>
        <v>1333</v>
      </c>
      <c r="F73" s="21">
        <f t="shared" si="0"/>
        <v>1333</v>
      </c>
      <c r="G73">
        <v>10</v>
      </c>
      <c r="H73">
        <v>0</v>
      </c>
    </row>
    <row r="74" spans="1:9">
      <c r="A74" t="s">
        <v>121</v>
      </c>
      <c r="B74">
        <v>-8000</v>
      </c>
      <c r="C74">
        <v>-32000</v>
      </c>
      <c r="D74">
        <v>-5</v>
      </c>
      <c r="E74" s="21">
        <f t="shared" si="0"/>
        <v>1333</v>
      </c>
      <c r="F74" s="21">
        <f t="shared" si="0"/>
        <v>1333</v>
      </c>
      <c r="G74">
        <v>10</v>
      </c>
      <c r="H74">
        <v>0</v>
      </c>
    </row>
    <row r="75" spans="1:9">
      <c r="A75" t="s">
        <v>122</v>
      </c>
      <c r="B75">
        <v>8000</v>
      </c>
      <c r="C75">
        <v>32000</v>
      </c>
      <c r="D75">
        <v>5</v>
      </c>
      <c r="E75" s="21">
        <f t="shared" si="0"/>
        <v>1333</v>
      </c>
      <c r="F75" s="21">
        <f t="shared" si="0"/>
        <v>1333</v>
      </c>
      <c r="G75">
        <v>10</v>
      </c>
      <c r="H75">
        <v>0</v>
      </c>
    </row>
    <row r="76" spans="1:9">
      <c r="A76" t="s">
        <v>123</v>
      </c>
      <c r="B76">
        <v>-120</v>
      </c>
      <c r="C76">
        <v>-1250</v>
      </c>
      <c r="D76">
        <v>0</v>
      </c>
      <c r="E76" s="21">
        <f t="shared" si="0"/>
        <v>1333</v>
      </c>
      <c r="F76" s="21">
        <f t="shared" si="0"/>
        <v>1333</v>
      </c>
      <c r="G76">
        <v>5</v>
      </c>
      <c r="H76">
        <v>0</v>
      </c>
    </row>
    <row r="78" spans="1:9">
      <c r="A78" t="s">
        <v>128</v>
      </c>
    </row>
    <row r="79" spans="1:9">
      <c r="A79" t="s">
        <v>234</v>
      </c>
      <c r="B79">
        <v>0</v>
      </c>
      <c r="C79">
        <v>1</v>
      </c>
      <c r="D79">
        <v>2</v>
      </c>
      <c r="E79">
        <v>3</v>
      </c>
      <c r="F79">
        <v>4</v>
      </c>
      <c r="G79">
        <v>5</v>
      </c>
      <c r="H79">
        <v>6</v>
      </c>
      <c r="I79">
        <v>7</v>
      </c>
    </row>
    <row r="80" spans="1:9">
      <c r="A80" t="s">
        <v>129</v>
      </c>
      <c r="B80">
        <v>3</v>
      </c>
      <c r="C80">
        <v>4</v>
      </c>
      <c r="D80">
        <v>4</v>
      </c>
      <c r="E80">
        <v>4</v>
      </c>
      <c r="F80">
        <v>4</v>
      </c>
      <c r="G80">
        <v>4</v>
      </c>
      <c r="H80">
        <v>4</v>
      </c>
      <c r="I80">
        <v>4</v>
      </c>
    </row>
    <row r="81" spans="1:9">
      <c r="A81" t="s">
        <v>130</v>
      </c>
      <c r="B81" s="21">
        <f>+INDEX(Sheet1!$L$70:$L$77,COLUMN()-COLUMN($B$79)+1)</f>
        <v>470</v>
      </c>
      <c r="C81" s="21">
        <f>+INDEX(Sheet1!$L$70:$L$77,COLUMN()-COLUMN($B$79)+1)</f>
        <v>254</v>
      </c>
      <c r="D81" s="21">
        <f>+INDEX(Sheet1!$L$70:$L$77,COLUMN()-COLUMN($B$79)+1)</f>
        <v>30</v>
      </c>
      <c r="E81" s="21">
        <f>+INDEX(Sheet1!$L$70:$L$77,COLUMN()-COLUMN($B$79)+1)</f>
        <v>254</v>
      </c>
      <c r="F81" s="21">
        <f>+INDEX(Sheet1!$L$70:$L$77,COLUMN()-COLUMN($B$79)+1)</f>
        <v>30</v>
      </c>
      <c r="G81" s="21">
        <f>+INDEX(Sheet1!$L$70:$L$77,COLUMN()-COLUMN($B$79)+1)</f>
        <v>250</v>
      </c>
      <c r="H81" s="21">
        <f>+INDEX(Sheet1!$L$70:$L$77,COLUMN()-COLUMN($B$79)+1)</f>
        <v>38</v>
      </c>
      <c r="I81" s="21">
        <f>+INDEX(Sheet1!$L$70:$L$77,COLUMN()-COLUMN($B$79)+1)</f>
        <v>738</v>
      </c>
    </row>
    <row r="82" spans="1:9">
      <c r="A82" t="s">
        <v>131</v>
      </c>
      <c r="B82" s="21">
        <f>+INDEX(Sheet1!$M$70:$M$77,COLUMN()-COLUMN($B$79)+1)</f>
        <v>10</v>
      </c>
      <c r="C82" s="21">
        <f>+INDEX(Sheet1!$M$70:$M$77,COLUMN()-COLUMN($B$79)+1)</f>
        <v>10</v>
      </c>
      <c r="D82" s="21">
        <f>+INDEX(Sheet1!$M$70:$M$77,COLUMN()-COLUMN($B$79)+1)</f>
        <v>10</v>
      </c>
      <c r="E82" s="21">
        <f>+INDEX(Sheet1!$M$70:$M$77,COLUMN()-COLUMN($B$79)+1)</f>
        <v>10</v>
      </c>
      <c r="F82" s="21">
        <f>+INDEX(Sheet1!$M$70:$M$77,COLUMN()-COLUMN($B$79)+1)</f>
        <v>10</v>
      </c>
      <c r="G82" s="21">
        <f>+INDEX(Sheet1!$M$70:$M$77,COLUMN()-COLUMN($B$79)+1)</f>
        <v>10</v>
      </c>
      <c r="H82" s="21">
        <f>+INDEX(Sheet1!$M$70:$M$77,COLUMN()-COLUMN($B$79)+1)</f>
        <v>10</v>
      </c>
      <c r="I82" s="21">
        <f>+INDEX(Sheet1!$M$70:$M$77,COLUMN()-COLUMN($B$79)+1)</f>
        <v>10</v>
      </c>
    </row>
    <row r="83" spans="1:9">
      <c r="A83" t="s">
        <v>132</v>
      </c>
      <c r="B83" s="21">
        <f>+INDEX(Sheet1!$N$70:$N$77,COLUMN()-COLUMN($B$79)+1)</f>
        <v>0</v>
      </c>
      <c r="C83" s="21">
        <f>+INDEX(Sheet1!$N$70:$N$77,COLUMN()-COLUMN($B$79)+1)</f>
        <v>6000</v>
      </c>
      <c r="D83" s="21">
        <f>+INDEX(Sheet1!$N$70:$N$77,COLUMN()-COLUMN($B$79)+1)</f>
        <v>6700</v>
      </c>
      <c r="E83" s="21">
        <f>+INDEX(Sheet1!$N$70:$N$77,COLUMN()-COLUMN($B$79)+1)</f>
        <v>6000</v>
      </c>
      <c r="F83" s="21">
        <f>+INDEX(Sheet1!$N$70:$N$77,COLUMN()-COLUMN($B$79)+1)</f>
        <v>-6700</v>
      </c>
      <c r="G83" s="21">
        <f>+INDEX(Sheet1!$N$70:$N$77,COLUMN()-COLUMN($B$79)+1)</f>
        <v>6000</v>
      </c>
      <c r="H83" s="21">
        <f>+INDEX(Sheet1!$N$70:$N$77,COLUMN()-COLUMN($B$79)+1)</f>
        <v>6700</v>
      </c>
      <c r="I83" s="21">
        <f>+INDEX(Sheet1!$N$70:$N$77,COLUMN()-COLUMN($B$79)+1)</f>
        <v>14000</v>
      </c>
    </row>
    <row r="84" spans="1:9">
      <c r="A84" t="s">
        <v>133</v>
      </c>
      <c r="B84" s="21">
        <f>+INDEX(Sheet1!$O$70:$O$77,COLUMN()-COLUMN($B$79)+1)</f>
        <v>30</v>
      </c>
      <c r="C84" s="21">
        <f>+INDEX(Sheet1!$O$70:$O$77,COLUMN()-COLUMN($B$79)+1)</f>
        <v>0</v>
      </c>
      <c r="D84" s="21">
        <f>+INDEX(Sheet1!$O$70:$O$77,COLUMN()-COLUMN($B$79)+1)</f>
        <v>0</v>
      </c>
      <c r="E84" s="21">
        <f>+INDEX(Sheet1!$O$70:$O$77,COLUMN()-COLUMN($B$79)+1)</f>
        <v>0</v>
      </c>
      <c r="F84" s="21">
        <f>+INDEX(Sheet1!$O$70:$O$77,COLUMN()-COLUMN($B$79)+1)</f>
        <v>0</v>
      </c>
      <c r="G84" s="21">
        <f>+INDEX(Sheet1!$O$70:$O$77,COLUMN()-COLUMN($B$79)+1)</f>
        <v>0</v>
      </c>
      <c r="H84" s="21">
        <f>+INDEX(Sheet1!$O$70:$O$77,COLUMN()-COLUMN($B$79)+1)</f>
        <v>0</v>
      </c>
      <c r="I84" s="21">
        <f>+INDEX(Sheet1!$O$70:$O$77,COLUMN()-COLUMN($B$79)+1)</f>
        <v>0</v>
      </c>
    </row>
    <row r="85" spans="1:9">
      <c r="A85" t="s">
        <v>134</v>
      </c>
      <c r="B85" s="21">
        <f>+INDEX(Sheet1!$P$70:$P$77,COLUMN()-COLUMN($B$79)+1)</f>
        <v>100</v>
      </c>
      <c r="C85" s="21">
        <f>+INDEX(Sheet1!$P$70:$P$77,COLUMN()-COLUMN($B$79)+1)</f>
        <v>100</v>
      </c>
      <c r="D85" s="21">
        <f>+INDEX(Sheet1!$P$70:$P$77,COLUMN()-COLUMN($B$79)+1)</f>
        <v>100</v>
      </c>
      <c r="E85" s="21">
        <f>+INDEX(Sheet1!$P$70:$P$77,COLUMN()-COLUMN($B$79)+1)</f>
        <v>100</v>
      </c>
      <c r="F85" s="21">
        <f>+INDEX(Sheet1!$P$70:$P$77,COLUMN()-COLUMN($B$79)+1)</f>
        <v>100</v>
      </c>
      <c r="G85" s="21">
        <f>+INDEX(Sheet1!$P$70:$P$77,COLUMN()-COLUMN($B$79)+1)</f>
        <v>100</v>
      </c>
      <c r="H85" s="21">
        <f>+INDEX(Sheet1!$P$70:$P$77,COLUMN()-COLUMN($B$79)+1)</f>
        <v>100</v>
      </c>
      <c r="I85" s="21">
        <f>+INDEX(Sheet1!$P$70:$P$77,COLUMN()-COLUMN($B$79)+1)</f>
        <v>100</v>
      </c>
    </row>
    <row r="87" spans="1:9">
      <c r="A87" t="s">
        <v>135</v>
      </c>
    </row>
    <row r="88" spans="1:9">
      <c r="A88" t="s">
        <v>234</v>
      </c>
      <c r="B88">
        <v>0</v>
      </c>
      <c r="C88">
        <v>1</v>
      </c>
      <c r="D88">
        <v>2</v>
      </c>
      <c r="E88">
        <v>3</v>
      </c>
      <c r="F88">
        <v>4</v>
      </c>
      <c r="G88">
        <v>5</v>
      </c>
      <c r="H88">
        <v>6</v>
      </c>
      <c r="I88">
        <v>7</v>
      </c>
    </row>
    <row r="89" spans="1:9">
      <c r="A89" t="s">
        <v>136</v>
      </c>
      <c r="B89" s="21">
        <f>+INDEX(Sheet1!$Q$70:$Q$77,COLUMN()-COLUMN($B$79)+1)</f>
        <v>30</v>
      </c>
      <c r="C89" s="21">
        <f>+INDEX(Sheet1!$Q$70:$Q$77,COLUMN()-COLUMN($B$79)+1)</f>
        <v>0</v>
      </c>
      <c r="D89" s="21">
        <f>+INDEX(Sheet1!$Q$70:$Q$77,COLUMN()-COLUMN($B$79)+1)</f>
        <v>0</v>
      </c>
      <c r="E89" s="21">
        <f>+INDEX(Sheet1!$Q$70:$Q$77,COLUMN()-COLUMN($B$79)+1)</f>
        <v>0</v>
      </c>
      <c r="F89" s="21">
        <f>+INDEX(Sheet1!$Q$70:$Q$77,COLUMN()-COLUMN($B$79)+1)</f>
        <v>0</v>
      </c>
      <c r="G89" s="21">
        <f>+INDEX(Sheet1!$Q$70:$Q$77,COLUMN()-COLUMN($B$79)+1)</f>
        <v>0</v>
      </c>
      <c r="H89" s="21">
        <f>+INDEX(Sheet1!$Q$70:$Q$77,COLUMN()-COLUMN($B$79)+1)</f>
        <v>0</v>
      </c>
      <c r="I89" s="21">
        <f>+INDEX(Sheet1!$Q$70:$Q$77,COLUMN()-COLUMN($B$79)+1)</f>
        <v>0</v>
      </c>
    </row>
    <row r="90" spans="1:9">
      <c r="A90" t="s">
        <v>137</v>
      </c>
      <c r="B90" s="21">
        <f>+INDEX(Sheet1!$R$70:$R$77,COLUMN()-COLUMN($B$79)+1)</f>
        <v>10</v>
      </c>
      <c r="C90" s="21">
        <f>+INDEX(Sheet1!$R$70:$R$77,COLUMN()-COLUMN($B$79)+1)</f>
        <v>10</v>
      </c>
      <c r="D90" s="21">
        <f>+INDEX(Sheet1!$R$70:$R$77,COLUMN()-COLUMN($B$79)+1)</f>
        <v>10</v>
      </c>
      <c r="E90" s="21">
        <f>+INDEX(Sheet1!$R$70:$R$77,COLUMN()-COLUMN($B$79)+1)</f>
        <v>10</v>
      </c>
      <c r="F90" s="21">
        <f>+INDEX(Sheet1!$R$70:$R$77,COLUMN()-COLUMN($B$79)+1)</f>
        <v>10</v>
      </c>
      <c r="G90" s="21">
        <f>+INDEX(Sheet1!$R$70:$R$77,COLUMN()-COLUMN($B$79)+1)</f>
        <v>10</v>
      </c>
      <c r="H90" s="21">
        <f>+INDEX(Sheet1!$R$70:$R$77,COLUMN()-COLUMN($B$79)+1)</f>
        <v>10</v>
      </c>
      <c r="I90" s="21">
        <f>+INDEX(Sheet1!$R$70:$R$77,COLUMN()-COLUMN($B$79)+1)</f>
        <v>10</v>
      </c>
    </row>
    <row r="91" spans="1:9">
      <c r="A91" t="s">
        <v>104</v>
      </c>
    </row>
    <row r="92" spans="1:9">
      <c r="A92" t="s">
        <v>138</v>
      </c>
    </row>
  </sheetData>
  <pageMargins left="0.7" right="0.7" top="0.75" bottom="0.75" header="0.51180555555555551" footer="0.51180555555555551"/>
  <pageSetup firstPageNumber="0" orientation="portrait" horizontalDpi="300" verticalDpi="300"/>
  <headerFooter alignWithMargins="0"/>
</worksheet>
</file>

<file path=xl/worksheets/sheet7.xml><?xml version="1.0" encoding="utf-8"?>
<worksheet xmlns="http://schemas.openxmlformats.org/spreadsheetml/2006/main" xmlns:r="http://schemas.openxmlformats.org/officeDocument/2006/relationships">
  <sheetPr codeName="Sheet7"/>
  <dimension ref="A3:K79"/>
  <sheetViews>
    <sheetView topLeftCell="A55" zoomScale="85" zoomScaleNormal="85" workbookViewId="0">
      <selection activeCell="F68" sqref="F68"/>
    </sheetView>
  </sheetViews>
  <sheetFormatPr defaultRowHeight="15"/>
  <cols>
    <col min="1" max="1" width="18.5703125" customWidth="1"/>
    <col min="2" max="2" width="11.85546875" customWidth="1"/>
    <col min="5" max="5" width="12.28515625" customWidth="1"/>
    <col min="6" max="6" width="10.7109375" customWidth="1"/>
    <col min="7" max="7" width="13.85546875" customWidth="1"/>
  </cols>
  <sheetData>
    <row r="3" spans="1:6">
      <c r="A3" s="15" t="s">
        <v>77</v>
      </c>
      <c r="B3" s="16">
        <v>1333</v>
      </c>
      <c r="D3" t="s">
        <v>78</v>
      </c>
      <c r="F3" t="s">
        <v>79</v>
      </c>
    </row>
    <row r="4" spans="1:6">
      <c r="A4" s="17"/>
      <c r="B4" s="18"/>
    </row>
    <row r="5" spans="1:6">
      <c r="A5" s="19" t="s">
        <v>80</v>
      </c>
      <c r="B5" s="20">
        <v>7000</v>
      </c>
      <c r="D5" t="s">
        <v>81</v>
      </c>
    </row>
    <row r="10" spans="1:6">
      <c r="A10" t="s">
        <v>84</v>
      </c>
    </row>
    <row r="11" spans="1:6">
      <c r="A11" t="s">
        <v>157</v>
      </c>
    </row>
    <row r="12" spans="1:6">
      <c r="A12" t="s">
        <v>84</v>
      </c>
    </row>
    <row r="13" spans="1:6">
      <c r="A13" t="s">
        <v>85</v>
      </c>
    </row>
    <row r="14" spans="1:6">
      <c r="A14" t="s">
        <v>86</v>
      </c>
      <c r="B14" t="s">
        <v>158</v>
      </c>
    </row>
    <row r="15" spans="1:6">
      <c r="A15" t="s">
        <v>88</v>
      </c>
      <c r="B15">
        <v>0</v>
      </c>
    </row>
    <row r="16" spans="1:6">
      <c r="A16" t="s">
        <v>89</v>
      </c>
      <c r="B16">
        <v>0</v>
      </c>
    </row>
    <row r="17" spans="1:11">
      <c r="A17" t="s">
        <v>90</v>
      </c>
      <c r="B17">
        <v>10</v>
      </c>
    </row>
    <row r="18" spans="1:11">
      <c r="A18" t="s">
        <v>91</v>
      </c>
      <c r="B18">
        <v>300</v>
      </c>
    </row>
    <row r="19" spans="1:11">
      <c r="A19" t="s">
        <v>141</v>
      </c>
      <c r="B19">
        <v>500</v>
      </c>
    </row>
    <row r="20" spans="1:11">
      <c r="A20" t="s">
        <v>142</v>
      </c>
      <c r="B20">
        <v>500</v>
      </c>
    </row>
    <row r="21" spans="1:11">
      <c r="A21" t="s">
        <v>149</v>
      </c>
      <c r="B21">
        <v>1</v>
      </c>
      <c r="C21">
        <v>1</v>
      </c>
      <c r="D21">
        <v>1</v>
      </c>
      <c r="E21">
        <v>1</v>
      </c>
      <c r="F21">
        <v>1</v>
      </c>
      <c r="G21">
        <v>1</v>
      </c>
      <c r="H21">
        <v>1</v>
      </c>
      <c r="I21">
        <v>1</v>
      </c>
      <c r="J21">
        <v>1</v>
      </c>
      <c r="K21">
        <v>1</v>
      </c>
    </row>
    <row r="22" spans="1:11">
      <c r="A22" t="s">
        <v>95</v>
      </c>
      <c r="B22">
        <v>0</v>
      </c>
      <c r="C22">
        <v>0</v>
      </c>
      <c r="D22">
        <v>0</v>
      </c>
      <c r="E22">
        <v>0</v>
      </c>
      <c r="F22">
        <v>0</v>
      </c>
      <c r="G22">
        <v>0</v>
      </c>
      <c r="H22">
        <v>0</v>
      </c>
      <c r="I22">
        <v>0</v>
      </c>
      <c r="J22">
        <v>0</v>
      </c>
      <c r="K22">
        <v>0</v>
      </c>
    </row>
    <row r="23" spans="1:11">
      <c r="A23" t="s">
        <v>96</v>
      </c>
      <c r="B23">
        <v>1</v>
      </c>
      <c r="C23">
        <v>1</v>
      </c>
      <c r="D23">
        <v>1</v>
      </c>
      <c r="E23">
        <v>1</v>
      </c>
      <c r="F23">
        <v>1</v>
      </c>
      <c r="G23">
        <v>1</v>
      </c>
      <c r="H23">
        <v>1</v>
      </c>
      <c r="I23">
        <v>1</v>
      </c>
      <c r="J23">
        <v>1</v>
      </c>
      <c r="K23">
        <v>1</v>
      </c>
    </row>
    <row r="24" spans="1:11">
      <c r="A24" t="s">
        <v>97</v>
      </c>
      <c r="B24">
        <v>0</v>
      </c>
      <c r="C24">
        <v>0</v>
      </c>
      <c r="D24">
        <v>0</v>
      </c>
      <c r="E24">
        <v>0</v>
      </c>
      <c r="F24">
        <v>0</v>
      </c>
      <c r="G24">
        <v>0</v>
      </c>
      <c r="H24">
        <v>0</v>
      </c>
      <c r="I24">
        <v>0</v>
      </c>
      <c r="J24">
        <v>0</v>
      </c>
      <c r="K24">
        <v>0</v>
      </c>
    </row>
    <row r="25" spans="1:11">
      <c r="A25" t="s">
        <v>98</v>
      </c>
      <c r="B25">
        <v>1</v>
      </c>
      <c r="C25">
        <v>1</v>
      </c>
      <c r="D25">
        <v>1</v>
      </c>
      <c r="E25">
        <v>1</v>
      </c>
      <c r="F25">
        <v>1</v>
      </c>
      <c r="G25">
        <v>1</v>
      </c>
      <c r="H25">
        <v>1</v>
      </c>
      <c r="I25">
        <v>1</v>
      </c>
      <c r="J25">
        <v>1</v>
      </c>
      <c r="K25">
        <v>1</v>
      </c>
    </row>
    <row r="26" spans="1:11">
      <c r="A26" t="s">
        <v>99</v>
      </c>
      <c r="B26">
        <v>1</v>
      </c>
      <c r="C26">
        <v>1</v>
      </c>
      <c r="D26">
        <v>1</v>
      </c>
      <c r="E26">
        <v>1</v>
      </c>
      <c r="F26">
        <v>1</v>
      </c>
      <c r="G26">
        <v>1</v>
      </c>
      <c r="H26">
        <v>1</v>
      </c>
      <c r="I26">
        <v>1</v>
      </c>
      <c r="J26">
        <v>1</v>
      </c>
      <c r="K26">
        <v>1</v>
      </c>
    </row>
    <row r="27" spans="1:11">
      <c r="A27" t="s">
        <v>100</v>
      </c>
      <c r="B27">
        <v>0</v>
      </c>
      <c r="C27">
        <v>0</v>
      </c>
      <c r="D27">
        <v>0</v>
      </c>
      <c r="E27">
        <v>0</v>
      </c>
      <c r="F27">
        <v>0</v>
      </c>
      <c r="G27">
        <v>0</v>
      </c>
      <c r="H27">
        <v>0</v>
      </c>
      <c r="I27">
        <v>0</v>
      </c>
      <c r="J27">
        <v>0</v>
      </c>
      <c r="K27">
        <v>0</v>
      </c>
    </row>
    <row r="29" spans="1:11">
      <c r="A29" t="s">
        <v>101</v>
      </c>
    </row>
    <row r="30" spans="1:11">
      <c r="A30" t="s">
        <v>102</v>
      </c>
      <c r="B30">
        <v>10</v>
      </c>
      <c r="C30" t="s">
        <v>103</v>
      </c>
    </row>
    <row r="31" spans="1:11">
      <c r="A31" t="s">
        <v>185</v>
      </c>
      <c r="B31">
        <v>0</v>
      </c>
      <c r="C31">
        <v>1</v>
      </c>
      <c r="D31">
        <v>2</v>
      </c>
      <c r="E31">
        <v>3</v>
      </c>
      <c r="F31">
        <v>4</v>
      </c>
      <c r="G31">
        <v>5</v>
      </c>
      <c r="H31">
        <v>6</v>
      </c>
      <c r="I31">
        <v>7</v>
      </c>
      <c r="J31">
        <v>8</v>
      </c>
      <c r="K31">
        <v>9</v>
      </c>
    </row>
    <row r="32" spans="1:11">
      <c r="A32" t="s">
        <v>236</v>
      </c>
      <c r="B32">
        <v>100</v>
      </c>
      <c r="C32">
        <v>100</v>
      </c>
      <c r="D32">
        <v>100</v>
      </c>
      <c r="E32">
        <v>100</v>
      </c>
      <c r="F32">
        <v>100</v>
      </c>
      <c r="G32">
        <v>100</v>
      </c>
      <c r="H32">
        <v>100</v>
      </c>
      <c r="I32">
        <v>100</v>
      </c>
      <c r="J32">
        <v>100</v>
      </c>
      <c r="K32">
        <v>100</v>
      </c>
    </row>
    <row r="33" spans="1:11">
      <c r="A33" t="s">
        <v>104</v>
      </c>
    </row>
    <row r="34" spans="1:11">
      <c r="A34" t="s">
        <v>185</v>
      </c>
      <c r="B34">
        <v>0</v>
      </c>
      <c r="C34">
        <v>1</v>
      </c>
      <c r="D34">
        <v>2</v>
      </c>
      <c r="E34">
        <v>3</v>
      </c>
      <c r="F34">
        <v>4</v>
      </c>
      <c r="G34">
        <v>5</v>
      </c>
      <c r="H34">
        <v>6</v>
      </c>
      <c r="I34">
        <v>7</v>
      </c>
      <c r="J34">
        <v>8</v>
      </c>
      <c r="K34">
        <v>9</v>
      </c>
    </row>
    <row r="35" spans="1:11">
      <c r="A35" t="s">
        <v>240</v>
      </c>
      <c r="B35">
        <v>0</v>
      </c>
      <c r="C35">
        <v>1</v>
      </c>
      <c r="D35">
        <v>2</v>
      </c>
      <c r="E35">
        <v>3</v>
      </c>
      <c r="F35">
        <v>4</v>
      </c>
      <c r="G35">
        <v>5</v>
      </c>
      <c r="H35">
        <v>6</v>
      </c>
      <c r="I35">
        <v>8</v>
      </c>
      <c r="J35">
        <v>9</v>
      </c>
      <c r="K35">
        <v>7</v>
      </c>
    </row>
    <row r="37" spans="1:11">
      <c r="A37" t="s">
        <v>241</v>
      </c>
      <c r="B37" s="21">
        <f>+INDEX(Sheet1!$K$24:$K$34,COLUMN()-COLUMN($B$59)+1)</f>
        <v>-1951.29</v>
      </c>
      <c r="C37" s="21">
        <f>+INDEX(Sheet1!$K$24:$K$34,COLUMN()-COLUMN($B$59)+1)</f>
        <v>-1951.29</v>
      </c>
      <c r="D37" s="21">
        <f>+INDEX(Sheet1!$K$24:$K$34,COLUMN()-COLUMN($B$59)+1)</f>
        <v>-1399.46</v>
      </c>
      <c r="E37" s="21">
        <f>+INDEX(Sheet1!$K$24:$K$34,COLUMN()-COLUMN($B$59)+1)</f>
        <v>-1093.33</v>
      </c>
      <c r="F37" s="21">
        <f>+INDEX(Sheet1!$K$24:$K$34,COLUMN()-COLUMN($B$59)+1)</f>
        <v>-586.66</v>
      </c>
      <c r="G37" s="21">
        <f>+INDEX(Sheet1!$K$24:$K$34,COLUMN()-COLUMN($B$59)+1)</f>
        <v>293.33</v>
      </c>
      <c r="H37" s="21">
        <f>+INDEX(Sheet1!$K$24:$K$34,COLUMN()-COLUMN($B$59)+1)</f>
        <v>11.375</v>
      </c>
      <c r="I37" s="21">
        <f>+INDEX(Sheet1!$K$24:$K$34,COLUMN()-COLUMN($B$59)+1)</f>
        <v>11.375</v>
      </c>
      <c r="J37" s="21">
        <f>+INDEX(Sheet1!$K$24:$K$34,COLUMN()-COLUMN($B$59)+1)</f>
        <v>11.375</v>
      </c>
      <c r="K37" s="21">
        <f>+INDEX(Sheet1!$K$24:$K$34,COLUMN()-COLUMN($B$59)+1)</f>
        <v>0</v>
      </c>
    </row>
    <row r="38" spans="1:11">
      <c r="A38" t="s">
        <v>247</v>
      </c>
      <c r="B38" s="21">
        <f>+INDEX(Sheet1!$D$24:$D$34,COLUMN()-COLUMN($B$59)+1)++INDEX(Sheet1!$S$24:$S$34,COLUMN()-COLUMN($B$59)+1)</f>
        <v>40</v>
      </c>
      <c r="C38" s="21">
        <f>+INDEX(Sheet1!$D$24:$D$34,COLUMN()-COLUMN($B$59)+1)++INDEX(Sheet1!$S$24:$S$34,COLUMN()-COLUMN($B$59)+1)</f>
        <v>47</v>
      </c>
      <c r="D38" s="21">
        <f>+INDEX(Sheet1!$D$24:$D$34,COLUMN()-COLUMN($B$59)+1)++INDEX(Sheet1!$S$24:$S$34,COLUMN()-COLUMN($B$59)+1)</f>
        <v>55.45</v>
      </c>
      <c r="E38" s="21">
        <f>+INDEX(Sheet1!$D$24:$D$34,COLUMN()-COLUMN($B$59)+1)++INDEX(Sheet1!$S$24:$S$34,COLUMN()-COLUMN($B$59)+1)</f>
        <v>-38.4</v>
      </c>
      <c r="F38" s="21">
        <f>+INDEX(Sheet1!$D$24:$D$34,COLUMN()-COLUMN($B$59)+1)++INDEX(Sheet1!$S$24:$S$34,COLUMN()-COLUMN($B$59)+1)</f>
        <v>47.35</v>
      </c>
      <c r="G38" s="21">
        <f>+INDEX(Sheet1!$D$24:$D$34,COLUMN()-COLUMN($B$59)+1)++INDEX(Sheet1!$S$24:$S$34,COLUMN()-COLUMN($B$59)+1)</f>
        <v>8.9600000000000009</v>
      </c>
      <c r="H38" s="21">
        <f>+INDEX(Sheet1!$D$24:$D$34,COLUMN()-COLUMN($B$59)+1)++INDEX(Sheet1!$S$24:$S$34,COLUMN()-COLUMN($B$59)+1)</f>
        <v>180</v>
      </c>
      <c r="I38" s="21">
        <f>+INDEX(Sheet1!$D$24:$D$34,COLUMN()-COLUMN($B$59)+1)++INDEX(Sheet1!$S$24:$S$34,COLUMN()-COLUMN($B$59)+1)</f>
        <v>180</v>
      </c>
      <c r="J38" s="21">
        <f>+INDEX(Sheet1!$D$24:$D$34,COLUMN()-COLUMN($B$59)+1)++INDEX(Sheet1!$S$24:$S$34,COLUMN()-COLUMN($B$59)+1)</f>
        <v>180</v>
      </c>
      <c r="K38" s="21">
        <f>+INDEX(Sheet1!$D$24:$D$34,COLUMN()-COLUMN($B$59)+1)++INDEX(Sheet1!$S$24:$S$34,COLUMN()-COLUMN($B$59)+1)</f>
        <v>0</v>
      </c>
    </row>
    <row r="40" spans="1:11">
      <c r="A40" t="s">
        <v>105</v>
      </c>
      <c r="B40">
        <v>0</v>
      </c>
    </row>
    <row r="42" spans="1:11">
      <c r="A42" t="s">
        <v>150</v>
      </c>
    </row>
    <row r="43" spans="1:11">
      <c r="A43" t="s">
        <v>242</v>
      </c>
      <c r="B43">
        <v>8</v>
      </c>
      <c r="C43">
        <v>8</v>
      </c>
      <c r="D43">
        <v>8</v>
      </c>
      <c r="E43">
        <v>8</v>
      </c>
      <c r="F43">
        <v>8</v>
      </c>
      <c r="G43">
        <v>8</v>
      </c>
      <c r="H43">
        <v>8</v>
      </c>
      <c r="I43">
        <v>8</v>
      </c>
      <c r="J43">
        <v>8</v>
      </c>
      <c r="K43">
        <v>8</v>
      </c>
    </row>
    <row r="45" spans="1:11">
      <c r="A45" t="s">
        <v>151</v>
      </c>
    </row>
    <row r="46" spans="1:11">
      <c r="A46" t="s">
        <v>185</v>
      </c>
      <c r="B46">
        <v>0</v>
      </c>
      <c r="C46">
        <v>1</v>
      </c>
      <c r="D46">
        <v>2</v>
      </c>
      <c r="E46">
        <v>3</v>
      </c>
      <c r="F46">
        <v>4</v>
      </c>
      <c r="G46">
        <v>5</v>
      </c>
      <c r="H46">
        <v>6</v>
      </c>
      <c r="I46">
        <v>7</v>
      </c>
      <c r="J46">
        <v>8</v>
      </c>
      <c r="K46">
        <v>9</v>
      </c>
    </row>
    <row r="47" spans="1:11">
      <c r="A47" t="s">
        <v>243</v>
      </c>
      <c r="B47" s="21">
        <f>+INDEX(Sheet1!$H$24:$H$34,COLUMN()-COLUMN($B$59)+1)</f>
        <v>24</v>
      </c>
      <c r="C47" s="21">
        <f>+INDEX(Sheet1!$H$24:$H$34,COLUMN()-COLUMN($B$59)+1)</f>
        <v>47</v>
      </c>
      <c r="D47" s="21">
        <f>+INDEX(Sheet1!$H$24:$H$34,COLUMN()-COLUMN($B$59)+1)</f>
        <v>52</v>
      </c>
      <c r="E47" s="21">
        <f>+INDEX(Sheet1!$H$24:$H$34,COLUMN()-COLUMN($B$59)+1)</f>
        <v>19</v>
      </c>
      <c r="F47" s="21">
        <f>+INDEX(Sheet1!$H$24:$H$34,COLUMN()-COLUMN($B$59)+1)</f>
        <v>30</v>
      </c>
      <c r="G47" s="21">
        <f>+INDEX(Sheet1!$H$24:$H$34,COLUMN()-COLUMN($B$59)+1)</f>
        <v>50</v>
      </c>
      <c r="H47" s="21">
        <f>+INDEX(Sheet1!$H$24:$H$34,COLUMN()-COLUMN($B$59)+1)</f>
        <v>50</v>
      </c>
      <c r="I47" s="21">
        <f>+INDEX(Sheet1!$H$24:$H$34,COLUMN()-COLUMN($B$59)+1)</f>
        <v>30</v>
      </c>
      <c r="J47" s="21">
        <f>+INDEX(Sheet1!$H$24:$H$34,COLUMN()-COLUMN($B$59)+1)</f>
        <v>70</v>
      </c>
      <c r="K47">
        <v>0</v>
      </c>
    </row>
    <row r="48" spans="1:11">
      <c r="A48" t="s">
        <v>244</v>
      </c>
      <c r="B48" s="21">
        <f>+INDEX(Sheet1!$G$24:$G$34,COLUMN()-COLUMN($B$59)+1)</f>
        <v>-39</v>
      </c>
      <c r="C48" s="21">
        <f>+INDEX(Sheet1!$G$24:$G$34,COLUMN()-COLUMN($B$59)+1)</f>
        <v>-47</v>
      </c>
      <c r="D48" s="21">
        <f>+INDEX(Sheet1!$G$24:$G$34,COLUMN()-COLUMN($B$59)+1)</f>
        <v>-52</v>
      </c>
      <c r="E48" s="21">
        <f>+INDEX(Sheet1!$G$24:$G$34,COLUMN()-COLUMN($B$59)+1)</f>
        <v>-44</v>
      </c>
      <c r="F48" s="21">
        <f>+INDEX(Sheet1!$G$24:$G$34,COLUMN()-COLUMN($B$59)+1)</f>
        <v>-30</v>
      </c>
      <c r="G48" s="21">
        <f>+INDEX(Sheet1!$G$24:$G$34,COLUMN()-COLUMN($B$59)+1)</f>
        <v>0</v>
      </c>
      <c r="H48" s="21">
        <f>+INDEX(Sheet1!$G$24:$G$34,COLUMN()-COLUMN($B$59)+1)</f>
        <v>-50</v>
      </c>
      <c r="I48" s="21">
        <f>+INDEX(Sheet1!$G$24:$G$34,COLUMN()-COLUMN($B$59)+1)</f>
        <v>-30</v>
      </c>
      <c r="J48" s="21">
        <f>+INDEX(Sheet1!$G$24:$G$34,COLUMN()-COLUMN($B$59)+1)</f>
        <v>-22</v>
      </c>
      <c r="K48">
        <v>0</v>
      </c>
    </row>
    <row r="50" spans="1:11">
      <c r="A50" t="s">
        <v>245</v>
      </c>
      <c r="B50">
        <v>800</v>
      </c>
      <c r="C50">
        <v>800</v>
      </c>
      <c r="D50">
        <v>800</v>
      </c>
      <c r="E50">
        <v>485</v>
      </c>
      <c r="F50">
        <v>485</v>
      </c>
      <c r="G50">
        <v>485</v>
      </c>
      <c r="H50" s="21">
        <f>$B$5</f>
        <v>7000</v>
      </c>
      <c r="I50" s="21">
        <f>$B$5</f>
        <v>7000</v>
      </c>
      <c r="J50" s="21">
        <f>$B$5</f>
        <v>7000</v>
      </c>
      <c r="K50" s="21">
        <f>$B$5</f>
        <v>7000</v>
      </c>
    </row>
    <row r="51" spans="1:11">
      <c r="A51" t="s">
        <v>159</v>
      </c>
    </row>
    <row r="52" spans="1:11">
      <c r="A52" t="s">
        <v>107</v>
      </c>
      <c r="B52" t="s">
        <v>108</v>
      </c>
      <c r="C52" t="s">
        <v>109</v>
      </c>
      <c r="D52" t="s">
        <v>110</v>
      </c>
      <c r="E52" t="s">
        <v>111</v>
      </c>
      <c r="F52" t="s">
        <v>112</v>
      </c>
      <c r="G52" t="s">
        <v>113</v>
      </c>
      <c r="H52" t="s">
        <v>114</v>
      </c>
    </row>
    <row r="53" spans="1:11">
      <c r="A53" t="s">
        <v>115</v>
      </c>
    </row>
    <row r="54" spans="1:11">
      <c r="A54" t="s">
        <v>116</v>
      </c>
      <c r="B54">
        <v>50</v>
      </c>
      <c r="C54">
        <v>500</v>
      </c>
      <c r="D54">
        <v>1</v>
      </c>
      <c r="E54" s="21">
        <f>+$B$3</f>
        <v>1333</v>
      </c>
      <c r="F54" s="21">
        <f t="shared" ref="F54:F63" si="0">+$B$3</f>
        <v>1333</v>
      </c>
      <c r="G54">
        <v>4</v>
      </c>
      <c r="H54">
        <v>0</v>
      </c>
    </row>
    <row r="55" spans="1:11">
      <c r="A55" t="s">
        <v>117</v>
      </c>
      <c r="B55">
        <v>50</v>
      </c>
      <c r="C55">
        <v>500</v>
      </c>
      <c r="D55">
        <v>1</v>
      </c>
      <c r="E55" s="21">
        <f>+$B$3</f>
        <v>1333</v>
      </c>
      <c r="F55" s="21">
        <f t="shared" si="0"/>
        <v>1333</v>
      </c>
      <c r="G55">
        <v>4</v>
      </c>
      <c r="H55">
        <v>0</v>
      </c>
    </row>
    <row r="56" spans="1:11">
      <c r="A56" t="s">
        <v>118</v>
      </c>
      <c r="B56">
        <v>100</v>
      </c>
      <c r="C56">
        <v>700</v>
      </c>
      <c r="D56">
        <v>2</v>
      </c>
      <c r="E56" s="21">
        <f t="shared" ref="E56:E63" si="1">+$B$3</f>
        <v>1333</v>
      </c>
      <c r="F56" s="21">
        <f t="shared" si="0"/>
        <v>1333</v>
      </c>
      <c r="G56">
        <v>4</v>
      </c>
      <c r="H56">
        <v>0</v>
      </c>
    </row>
    <row r="57" spans="1:11">
      <c r="A57" t="s">
        <v>119</v>
      </c>
      <c r="B57">
        <v>40</v>
      </c>
      <c r="C57">
        <v>400</v>
      </c>
      <c r="D57">
        <v>1</v>
      </c>
      <c r="E57" s="21">
        <f>+$B$3</f>
        <v>1333</v>
      </c>
      <c r="F57" s="21">
        <f t="shared" si="0"/>
        <v>1333</v>
      </c>
      <c r="G57">
        <v>4</v>
      </c>
      <c r="H57">
        <v>0</v>
      </c>
    </row>
    <row r="58" spans="1:11">
      <c r="A58" t="s">
        <v>120</v>
      </c>
      <c r="B58">
        <v>100</v>
      </c>
      <c r="C58">
        <v>1000</v>
      </c>
      <c r="D58">
        <v>1</v>
      </c>
      <c r="E58" s="21">
        <f t="shared" si="1"/>
        <v>1333</v>
      </c>
      <c r="F58" s="21">
        <f t="shared" si="0"/>
        <v>1333</v>
      </c>
      <c r="G58">
        <v>4</v>
      </c>
      <c r="H58">
        <v>0</v>
      </c>
    </row>
    <row r="59" spans="1:11">
      <c r="A59" t="s">
        <v>121</v>
      </c>
      <c r="B59">
        <v>100</v>
      </c>
      <c r="C59">
        <v>1000</v>
      </c>
      <c r="D59">
        <v>1</v>
      </c>
      <c r="E59" s="21">
        <f t="shared" si="1"/>
        <v>1333</v>
      </c>
      <c r="F59" s="21">
        <f t="shared" si="0"/>
        <v>1333</v>
      </c>
      <c r="G59">
        <v>4</v>
      </c>
      <c r="H59">
        <v>0</v>
      </c>
    </row>
    <row r="60" spans="1:11">
      <c r="A60" t="s">
        <v>122</v>
      </c>
      <c r="B60">
        <v>32000</v>
      </c>
      <c r="C60">
        <v>6000</v>
      </c>
      <c r="D60">
        <v>60</v>
      </c>
      <c r="E60" s="21">
        <f t="shared" si="1"/>
        <v>1333</v>
      </c>
      <c r="F60" s="21">
        <f t="shared" si="0"/>
        <v>1333</v>
      </c>
      <c r="G60">
        <v>13</v>
      </c>
      <c r="H60">
        <v>0</v>
      </c>
    </row>
    <row r="61" spans="1:11">
      <c r="A61" t="s">
        <v>123</v>
      </c>
      <c r="B61">
        <v>32000</v>
      </c>
      <c r="C61">
        <v>6000</v>
      </c>
      <c r="D61">
        <v>60</v>
      </c>
      <c r="E61" s="21">
        <f t="shared" si="1"/>
        <v>1333</v>
      </c>
      <c r="F61" s="21">
        <f t="shared" si="0"/>
        <v>1333</v>
      </c>
      <c r="G61">
        <v>13</v>
      </c>
      <c r="H61">
        <v>0</v>
      </c>
    </row>
    <row r="62" spans="1:11">
      <c r="A62" t="s">
        <v>160</v>
      </c>
      <c r="B62">
        <v>32000</v>
      </c>
      <c r="C62">
        <v>6000</v>
      </c>
      <c r="D62">
        <v>60</v>
      </c>
      <c r="E62" s="21">
        <f t="shared" si="1"/>
        <v>1333</v>
      </c>
      <c r="F62" s="21">
        <f t="shared" si="0"/>
        <v>1333</v>
      </c>
      <c r="G62">
        <v>13</v>
      </c>
      <c r="H62">
        <v>0</v>
      </c>
    </row>
    <row r="63" spans="1:11">
      <c r="A63" t="s">
        <v>161</v>
      </c>
      <c r="B63">
        <v>0</v>
      </c>
      <c r="C63">
        <v>0</v>
      </c>
      <c r="D63">
        <v>0</v>
      </c>
      <c r="E63" s="21">
        <f t="shared" si="1"/>
        <v>1333</v>
      </c>
      <c r="F63" s="21">
        <f t="shared" si="0"/>
        <v>1333</v>
      </c>
      <c r="G63">
        <v>0</v>
      </c>
      <c r="H63">
        <v>0</v>
      </c>
    </row>
    <row r="65" spans="1:11">
      <c r="A65" t="s">
        <v>128</v>
      </c>
    </row>
    <row r="66" spans="1:11">
      <c r="A66" t="s">
        <v>246</v>
      </c>
      <c r="B66">
        <v>0</v>
      </c>
      <c r="C66">
        <v>1</v>
      </c>
      <c r="D66">
        <v>2</v>
      </c>
      <c r="E66">
        <v>3</v>
      </c>
      <c r="F66">
        <v>4</v>
      </c>
      <c r="G66">
        <v>5</v>
      </c>
      <c r="H66">
        <v>6</v>
      </c>
      <c r="I66">
        <v>7</v>
      </c>
      <c r="J66">
        <v>8</v>
      </c>
      <c r="K66">
        <v>9</v>
      </c>
    </row>
    <row r="67" spans="1:11">
      <c r="A67" t="s">
        <v>129</v>
      </c>
      <c r="B67">
        <v>0</v>
      </c>
      <c r="C67">
        <v>0</v>
      </c>
      <c r="D67">
        <v>0</v>
      </c>
      <c r="E67">
        <v>0</v>
      </c>
      <c r="F67">
        <v>0</v>
      </c>
      <c r="G67">
        <v>0</v>
      </c>
      <c r="H67">
        <v>3</v>
      </c>
      <c r="I67">
        <v>3</v>
      </c>
      <c r="J67">
        <v>3</v>
      </c>
      <c r="K67">
        <v>3</v>
      </c>
    </row>
    <row r="68" spans="1:11">
      <c r="A68" t="s">
        <v>130</v>
      </c>
      <c r="B68" s="21">
        <f>+INDEX(Sheet1!$L$24:$L34,COLUMN()-COLUMN($B$69)+1)</f>
        <v>500</v>
      </c>
      <c r="C68" s="21">
        <v>1333</v>
      </c>
      <c r="D68" s="21">
        <v>1333</v>
      </c>
      <c r="E68" s="21">
        <f>+INDEX(Sheet1!$L$24:$L34,COLUMN()-COLUMN($B$69)+1)</f>
        <v>600</v>
      </c>
      <c r="F68" s="21">
        <f>+INDEX(Sheet1!$L$24:$L34,COLUMN()-COLUMN($B$69)+1)</f>
        <v>500</v>
      </c>
      <c r="G68" s="21">
        <f>+INDEX(Sheet1!$L$24:$L34,COLUMN()-COLUMN($B$69)+1)</f>
        <v>500</v>
      </c>
      <c r="H68" s="21">
        <f>+INDEX(Sheet1!$L$24:$L34,COLUMN()-COLUMN($B$69)+1)</f>
        <v>2047.5</v>
      </c>
      <c r="I68" s="21">
        <f>+INDEX(Sheet1!$L$24:$L34,COLUMN()-COLUMN($B$69)+1)</f>
        <v>2047.5</v>
      </c>
      <c r="J68" s="21">
        <f>+INDEX(Sheet1!$L$24:$L34,COLUMN()-COLUMN($B$69)+1)</f>
        <v>2047.5</v>
      </c>
      <c r="K68" s="21">
        <f>+INDEX(Sheet1!$L$24:$L34,COLUMN()-COLUMN($B$69)+1)</f>
        <v>0</v>
      </c>
    </row>
    <row r="69" spans="1:11">
      <c r="A69" t="s">
        <v>131</v>
      </c>
      <c r="B69" s="21">
        <f>+INDEX(Sheet1!$M$24:$M34,COLUMN()-COLUMN($B$69)+1)</f>
        <v>20</v>
      </c>
      <c r="C69" s="21">
        <f>+INDEX(Sheet1!$M$24:$M34,COLUMN()-COLUMN($B$69)+1)</f>
        <v>20</v>
      </c>
      <c r="D69" s="21">
        <f>+INDEX(Sheet1!$M$24:$M34,COLUMN()-COLUMN($B$69)+1)</f>
        <v>20</v>
      </c>
      <c r="E69" s="21">
        <f>+INDEX(Sheet1!$M$24:$M34,COLUMN()-COLUMN($B$69)+1)</f>
        <v>-20</v>
      </c>
      <c r="F69" s="21">
        <f>+INDEX(Sheet1!$M$24:$M34,COLUMN()-COLUMN($B$69)+1)</f>
        <v>20</v>
      </c>
      <c r="G69" s="21">
        <f>+INDEX(Sheet1!$M$24:$M34,COLUMN()-COLUMN($B$69)+1)</f>
        <v>20</v>
      </c>
      <c r="H69" s="21">
        <f>+INDEX(Sheet1!$M$24:$M34,COLUMN()-COLUMN($B$69)+1)</f>
        <v>10</v>
      </c>
      <c r="I69" s="21">
        <f>+INDEX(Sheet1!$M$24:$M34,COLUMN()-COLUMN($B$69)+1)</f>
        <v>10</v>
      </c>
      <c r="J69" s="21">
        <f>+INDEX(Sheet1!$M$24:$M34,COLUMN()-COLUMN($B$69)+1)</f>
        <v>10</v>
      </c>
      <c r="K69" s="21">
        <f>+INDEX(Sheet1!$M$24:$M34,COLUMN()-COLUMN($B$69)+1)</f>
        <v>0</v>
      </c>
    </row>
    <row r="70" spans="1:11">
      <c r="A70" t="s">
        <v>132</v>
      </c>
      <c r="B70" s="21">
        <f>+INDEX(Sheet1!$N$24:$N34,COLUMN()-COLUMN($B$69)+1)</f>
        <v>0</v>
      </c>
      <c r="C70" s="21">
        <f>+INDEX(Sheet1!$N$24:$N34,COLUMN()-COLUMN($B$69)+1)</f>
        <v>0</v>
      </c>
      <c r="D70" s="21">
        <f>+INDEX(Sheet1!$N$24:$N34,COLUMN()-COLUMN($B$69)+1)</f>
        <v>0</v>
      </c>
      <c r="E70" s="21">
        <f>+INDEX(Sheet1!$N$24:$N34,COLUMN()-COLUMN($B$69)+1)</f>
        <v>0</v>
      </c>
      <c r="F70" s="21">
        <f>+INDEX(Sheet1!$N$24:$N34,COLUMN()-COLUMN($B$69)+1)</f>
        <v>0</v>
      </c>
      <c r="G70" s="21">
        <f>+INDEX(Sheet1!$N$24:$N34,COLUMN()-COLUMN($B$69)+1)</f>
        <v>0</v>
      </c>
      <c r="H70" s="21">
        <f>+INDEX(Sheet1!$N$24:$N34,COLUMN()-COLUMN($B$69)+1)</f>
        <v>3753.75</v>
      </c>
      <c r="I70" s="21">
        <f>+INDEX(Sheet1!$N$24:$N34,COLUMN()-COLUMN($B$69)+1)</f>
        <v>3458</v>
      </c>
      <c r="J70" s="21">
        <f>+INDEX(Sheet1!$N$24:$N34,COLUMN()-COLUMN($B$69)+1)</f>
        <v>1584.5375000000001</v>
      </c>
      <c r="K70" s="21">
        <f>+INDEX(Sheet1!$N$24:$N34,COLUMN()-COLUMN($B$69)+1)</f>
        <v>0</v>
      </c>
    </row>
    <row r="71" spans="1:11">
      <c r="A71" t="s">
        <v>133</v>
      </c>
      <c r="B71" s="21">
        <f>+INDEX(Sheet1!$O$24:$O36,COLUMN()-COLUMN($B$69)+1)</f>
        <v>0</v>
      </c>
      <c r="C71" s="21">
        <f>+INDEX(Sheet1!$O$24:$O36,COLUMN()-COLUMN($B$69)+1)</f>
        <v>0</v>
      </c>
      <c r="D71" s="21">
        <f>+INDEX(Sheet1!$O$24:$O36,COLUMN()-COLUMN($B$69)+1)</f>
        <v>0</v>
      </c>
      <c r="E71" s="21">
        <f>+INDEX(Sheet1!$O$24:$O36,COLUMN()-COLUMN($B$69)+1)</f>
        <v>0</v>
      </c>
      <c r="F71" s="21">
        <f>+INDEX(Sheet1!$O$24:$O36,COLUMN()-COLUMN($B$69)+1)</f>
        <v>0</v>
      </c>
      <c r="G71" s="21">
        <f>+INDEX(Sheet1!$O$24:$O36,COLUMN()-COLUMN($B$69)+1)</f>
        <v>0</v>
      </c>
      <c r="H71" s="21">
        <f>+INDEX(Sheet1!$O$24:$O36,COLUMN()-COLUMN($B$69)+1)</f>
        <v>0</v>
      </c>
      <c r="I71" s="21">
        <f>+INDEX(Sheet1!$O$24:$O36,COLUMN()-COLUMN($B$69)+1)</f>
        <v>0</v>
      </c>
      <c r="J71" s="21">
        <f>+INDEX(Sheet1!$O$24:$O36,COLUMN()-COLUMN($B$69)+1)</f>
        <v>0</v>
      </c>
      <c r="K71" s="21">
        <f>+INDEX(Sheet1!$O$24:$O36,COLUMN()-COLUMN($B$69)+1)</f>
        <v>0</v>
      </c>
    </row>
    <row r="72" spans="1:11">
      <c r="A72" t="s">
        <v>134</v>
      </c>
      <c r="B72" s="21">
        <f>+INDEX(Sheet1!$P$24:$P37,COLUMN()-COLUMN($B$69)+1)</f>
        <v>10</v>
      </c>
      <c r="C72" s="21">
        <f>+INDEX(Sheet1!$P$24:$P37,COLUMN()-COLUMN($B$69)+1)</f>
        <v>10</v>
      </c>
      <c r="D72" s="21">
        <f>+INDEX(Sheet1!$P$24:$P37,COLUMN()-COLUMN($B$69)+1)</f>
        <v>10</v>
      </c>
      <c r="E72" s="21">
        <f>+INDEX(Sheet1!$P$24:$P37,COLUMN()-COLUMN($B$69)+1)</f>
        <v>10</v>
      </c>
      <c r="F72" s="21">
        <f>+INDEX(Sheet1!$P$24:$P37,COLUMN()-COLUMN($B$69)+1)</f>
        <v>10</v>
      </c>
      <c r="G72" s="21">
        <f>+INDEX(Sheet1!$P$24:$P37,COLUMN()-COLUMN($B$69)+1)</f>
        <v>10</v>
      </c>
      <c r="H72" s="21">
        <f>+INDEX(Sheet1!$P$24:$P37,COLUMN()-COLUMN($B$69)+1)</f>
        <v>10</v>
      </c>
      <c r="I72" s="21">
        <f>+INDEX(Sheet1!$P$24:$P37,COLUMN()-COLUMN($B$69)+1)</f>
        <v>10</v>
      </c>
      <c r="J72" s="21">
        <f>+INDEX(Sheet1!$P$24:$P37,COLUMN()-COLUMN($B$69)+1)</f>
        <v>10</v>
      </c>
      <c r="K72" s="21">
        <f>+INDEX(Sheet1!$P$24:$P37,COLUMN()-COLUMN($B$69)+1)</f>
        <v>0</v>
      </c>
    </row>
    <row r="74" spans="1:11">
      <c r="A74" t="s">
        <v>135</v>
      </c>
    </row>
    <row r="75" spans="1:11">
      <c r="A75" t="s">
        <v>246</v>
      </c>
      <c r="B75">
        <v>0</v>
      </c>
      <c r="C75">
        <v>1</v>
      </c>
      <c r="D75">
        <v>2</v>
      </c>
      <c r="E75">
        <v>3</v>
      </c>
      <c r="F75">
        <v>4</v>
      </c>
      <c r="G75">
        <v>5</v>
      </c>
      <c r="H75">
        <v>6</v>
      </c>
      <c r="I75">
        <v>7</v>
      </c>
      <c r="J75">
        <v>8</v>
      </c>
      <c r="K75">
        <v>9</v>
      </c>
    </row>
    <row r="76" spans="1:11">
      <c r="A76" t="s">
        <v>136</v>
      </c>
      <c r="B76" s="21">
        <f>+INDEX(Sheet1!$Q$24:$Q41,COLUMN()-COLUMN($B$69)+1)</f>
        <v>-40</v>
      </c>
      <c r="C76" s="21">
        <f>+INDEX(Sheet1!$Q$24:$Q41,COLUMN()-COLUMN($B$69)+1)</f>
        <v>0</v>
      </c>
      <c r="D76" s="21">
        <f>+INDEX(Sheet1!$Q$24:$Q41,COLUMN()-COLUMN($B$69)+1)</f>
        <v>0</v>
      </c>
      <c r="E76" s="21">
        <f>+INDEX(Sheet1!$Q$24:$Q41,COLUMN()-COLUMN($B$69)+1)</f>
        <v>0</v>
      </c>
      <c r="F76" s="21">
        <f>+INDEX(Sheet1!$Q$24:$Q41,COLUMN()-COLUMN($B$69)+1)</f>
        <v>0</v>
      </c>
      <c r="G76" s="21">
        <f>+INDEX(Sheet1!$Q$24:$Q41,COLUMN()-COLUMN($B$69)+1)</f>
        <v>0</v>
      </c>
      <c r="H76" s="21">
        <f>+INDEX(Sheet1!$Q$24:$Q41,COLUMN()-COLUMN($B$69)+1)</f>
        <v>0</v>
      </c>
      <c r="I76" s="21">
        <f>+INDEX(Sheet1!$Q$24:$Q41,COLUMN()-COLUMN($B$69)+1)</f>
        <v>0</v>
      </c>
      <c r="J76" s="21">
        <f>+INDEX(Sheet1!$Q$24:$Q41,COLUMN()-COLUMN($B$69)+1)</f>
        <v>-20</v>
      </c>
      <c r="K76" s="21">
        <f>+INDEX(Sheet1!$Q$24:$Q41,COLUMN()-COLUMN($B$69)+1)</f>
        <v>0</v>
      </c>
    </row>
    <row r="77" spans="1:11">
      <c r="A77" t="s">
        <v>137</v>
      </c>
      <c r="B77" s="21">
        <f>+INDEX(Sheet1!$R$24:$R42,COLUMN()-COLUMN($B$69)+1)</f>
        <v>10</v>
      </c>
      <c r="C77" s="21">
        <f>+INDEX(Sheet1!$R$24:$R42,COLUMN()-COLUMN($B$69)+1)</f>
        <v>10</v>
      </c>
      <c r="D77" s="21">
        <f>+INDEX(Sheet1!$R$24:$R42,COLUMN()-COLUMN($B$69)+1)</f>
        <v>10</v>
      </c>
      <c r="E77" s="21">
        <f>+INDEX(Sheet1!$R$24:$R42,COLUMN()-COLUMN($B$69)+1)</f>
        <v>10</v>
      </c>
      <c r="F77" s="21">
        <f>+INDEX(Sheet1!$R$24:$R42,COLUMN()-COLUMN($B$69)+1)</f>
        <v>10</v>
      </c>
      <c r="G77" s="21">
        <f>+INDEX(Sheet1!$R$24:$R42,COLUMN()-COLUMN($B$69)+1)</f>
        <v>10</v>
      </c>
      <c r="H77" s="21">
        <f>+INDEX(Sheet1!$R$24:$R42,COLUMN()-COLUMN($B$69)+1)</f>
        <v>10</v>
      </c>
      <c r="I77" s="21">
        <f>+INDEX(Sheet1!$R$24:$R42,COLUMN()-COLUMN($B$69)+1)</f>
        <v>10</v>
      </c>
      <c r="J77" s="21">
        <f>+INDEX(Sheet1!$R$24:$R42,COLUMN()-COLUMN($B$69)+1)</f>
        <v>10</v>
      </c>
      <c r="K77" s="21">
        <f>+INDEX(Sheet1!$R$24:$R42,COLUMN()-COLUMN($B$69)+1)</f>
        <v>0</v>
      </c>
    </row>
    <row r="78" spans="1:11">
      <c r="A78" t="s">
        <v>104</v>
      </c>
    </row>
    <row r="79" spans="1:11">
      <c r="A79" t="s">
        <v>138</v>
      </c>
    </row>
  </sheetData>
  <pageMargins left="0.7" right="0.7" top="0.75" bottom="0.75" header="0.51180555555555551" footer="0.51180555555555551"/>
  <pageSetup firstPageNumber="0" orientation="portrait" horizontalDpi="300" verticalDpi="300"/>
  <headerFooter alignWithMargins="0"/>
</worksheet>
</file>

<file path=xl/worksheets/sheet8.xml><?xml version="1.0" encoding="utf-8"?>
<worksheet xmlns="http://schemas.openxmlformats.org/spreadsheetml/2006/main" xmlns:r="http://schemas.openxmlformats.org/officeDocument/2006/relationships">
  <sheetPr codeName="Sheet8"/>
  <dimension ref="A1:Q83"/>
  <sheetViews>
    <sheetView topLeftCell="A32" zoomScale="85" zoomScaleNormal="85" workbookViewId="0">
      <selection activeCell="J55" sqref="J55"/>
    </sheetView>
  </sheetViews>
  <sheetFormatPr defaultRowHeight="15"/>
  <cols>
    <col min="1" max="1" width="18" customWidth="1"/>
  </cols>
  <sheetData>
    <row r="1" spans="1:7">
      <c r="A1" t="s">
        <v>166</v>
      </c>
    </row>
    <row r="2" spans="1:7">
      <c r="A2" t="s">
        <v>167</v>
      </c>
    </row>
    <row r="3" spans="1:7">
      <c r="A3" t="s">
        <v>168</v>
      </c>
    </row>
    <row r="4" spans="1:7">
      <c r="A4" t="s">
        <v>169</v>
      </c>
    </row>
    <row r="7" spans="1:7">
      <c r="A7" t="s">
        <v>171</v>
      </c>
    </row>
    <row r="8" spans="1:7">
      <c r="A8" t="s">
        <v>185</v>
      </c>
      <c r="B8">
        <v>0</v>
      </c>
      <c r="C8">
        <v>1</v>
      </c>
      <c r="D8">
        <v>2</v>
      </c>
      <c r="E8">
        <v>3</v>
      </c>
      <c r="F8">
        <v>4</v>
      </c>
      <c r="G8">
        <v>5</v>
      </c>
    </row>
    <row r="9" spans="1:7">
      <c r="A9" t="s">
        <v>187</v>
      </c>
      <c r="B9">
        <v>0</v>
      </c>
      <c r="C9">
        <v>0</v>
      </c>
      <c r="D9">
        <v>0</v>
      </c>
      <c r="E9">
        <v>0</v>
      </c>
      <c r="F9">
        <v>0</v>
      </c>
      <c r="G9">
        <v>0</v>
      </c>
    </row>
    <row r="10" spans="1:7">
      <c r="A10" t="s">
        <v>190</v>
      </c>
      <c r="B10">
        <f>Head_Torso!B68</f>
        <v>500</v>
      </c>
      <c r="C10">
        <f>Head_Torso!C68</f>
        <v>1333</v>
      </c>
      <c r="D10">
        <f>Head_Torso!D68</f>
        <v>1333</v>
      </c>
      <c r="E10">
        <f>Head_Torso!E68</f>
        <v>600</v>
      </c>
      <c r="F10">
        <f>Head_Torso!F68</f>
        <v>500</v>
      </c>
      <c r="G10">
        <f>Head_Torso!G68</f>
        <v>500</v>
      </c>
    </row>
    <row r="11" spans="1:7">
      <c r="A11" t="s">
        <v>189</v>
      </c>
      <c r="B11">
        <f>Head_Torso!B69</f>
        <v>20</v>
      </c>
      <c r="C11">
        <f>Head_Torso!C69</f>
        <v>20</v>
      </c>
      <c r="D11">
        <f>Head_Torso!D69</f>
        <v>20</v>
      </c>
      <c r="E11">
        <f>Head_Torso!E69</f>
        <v>-20</v>
      </c>
      <c r="F11">
        <f>Head_Torso!F69</f>
        <v>20</v>
      </c>
      <c r="G11">
        <f>Head_Torso!G69</f>
        <v>20</v>
      </c>
    </row>
    <row r="12" spans="1:7">
      <c r="A12" t="s">
        <v>188</v>
      </c>
      <c r="B12">
        <f>Head_Torso!B70</f>
        <v>0</v>
      </c>
      <c r="C12">
        <f>Head_Torso!C70</f>
        <v>0</v>
      </c>
      <c r="D12">
        <f>Head_Torso!D70</f>
        <v>0</v>
      </c>
      <c r="E12">
        <f>Head_Torso!E70</f>
        <v>0</v>
      </c>
      <c r="F12">
        <f>Head_Torso!F70</f>
        <v>0</v>
      </c>
      <c r="G12">
        <f>Head_Torso!G70</f>
        <v>0</v>
      </c>
    </row>
    <row r="14" spans="1:7">
      <c r="A14" t="s">
        <v>170</v>
      </c>
    </row>
    <row r="15" spans="1:7">
      <c r="A15" t="s">
        <v>185</v>
      </c>
      <c r="B15">
        <v>0</v>
      </c>
      <c r="C15">
        <v>1</v>
      </c>
      <c r="D15">
        <v>2</v>
      </c>
      <c r="E15">
        <v>3</v>
      </c>
      <c r="F15">
        <v>4</v>
      </c>
      <c r="G15">
        <v>5</v>
      </c>
    </row>
    <row r="16" spans="1:7">
      <c r="A16" t="s">
        <v>184</v>
      </c>
      <c r="B16">
        <f>Head_Torso!B71</f>
        <v>0</v>
      </c>
      <c r="C16">
        <f>Head_Torso!C71</f>
        <v>0</v>
      </c>
      <c r="D16">
        <f>Head_Torso!D71</f>
        <v>0</v>
      </c>
      <c r="E16">
        <f>Head_Torso!E71</f>
        <v>0</v>
      </c>
      <c r="F16">
        <f>Head_Torso!F71</f>
        <v>0</v>
      </c>
      <c r="G16">
        <f>Head_Torso!G71</f>
        <v>0</v>
      </c>
    </row>
    <row r="17" spans="1:7">
      <c r="A17" t="s">
        <v>134</v>
      </c>
      <c r="B17">
        <f>Head_Torso!B72</f>
        <v>10</v>
      </c>
      <c r="C17">
        <f>Head_Torso!C72</f>
        <v>10</v>
      </c>
      <c r="D17">
        <f>Head_Torso!D72</f>
        <v>10</v>
      </c>
      <c r="E17">
        <f>Head_Torso!E72</f>
        <v>10</v>
      </c>
      <c r="F17">
        <f>Head_Torso!F72</f>
        <v>10</v>
      </c>
      <c r="G17">
        <f>Head_Torso!G72</f>
        <v>10</v>
      </c>
    </row>
    <row r="20" spans="1:7">
      <c r="A20" t="s">
        <v>173</v>
      </c>
    </row>
    <row r="21" spans="1:7">
      <c r="A21" t="s">
        <v>185</v>
      </c>
      <c r="B21">
        <v>0</v>
      </c>
      <c r="C21">
        <v>1</v>
      </c>
      <c r="D21">
        <v>2</v>
      </c>
    </row>
    <row r="22" spans="1:7">
      <c r="A22" t="s">
        <v>174</v>
      </c>
      <c r="B22">
        <v>3</v>
      </c>
      <c r="C22">
        <v>3</v>
      </c>
      <c r="D22">
        <v>3</v>
      </c>
    </row>
    <row r="23" spans="1:7">
      <c r="A23" t="s">
        <v>186</v>
      </c>
      <c r="B23">
        <f>Head_Torso!H68</f>
        <v>2047.5</v>
      </c>
      <c r="C23">
        <f>Head_Torso!I68</f>
        <v>2047.5</v>
      </c>
      <c r="D23">
        <f>Head_Torso!J68</f>
        <v>2047.5</v>
      </c>
    </row>
    <row r="24" spans="1:7">
      <c r="A24" t="s">
        <v>220</v>
      </c>
      <c r="B24">
        <f>Head_Torso!H69</f>
        <v>10</v>
      </c>
      <c r="C24">
        <f>Head_Torso!I69</f>
        <v>10</v>
      </c>
      <c r="D24">
        <f>Head_Torso!J69</f>
        <v>10</v>
      </c>
    </row>
    <row r="25" spans="1:7">
      <c r="A25" t="s">
        <v>193</v>
      </c>
      <c r="B25">
        <f>Head_Torso!H70</f>
        <v>3753.75</v>
      </c>
      <c r="C25">
        <f>Head_Torso!I70</f>
        <v>3458</v>
      </c>
      <c r="D25">
        <f>Head_Torso!J70</f>
        <v>1584.5375000000001</v>
      </c>
    </row>
    <row r="27" spans="1:7">
      <c r="A27" t="s">
        <v>172</v>
      </c>
    </row>
    <row r="28" spans="1:7">
      <c r="A28" t="s">
        <v>185</v>
      </c>
      <c r="B28">
        <v>0</v>
      </c>
      <c r="C28">
        <v>1</v>
      </c>
      <c r="D28">
        <v>2</v>
      </c>
    </row>
    <row r="29" spans="1:7">
      <c r="A29" t="s">
        <v>191</v>
      </c>
      <c r="B29">
        <f>Head_Torso!H76</f>
        <v>0</v>
      </c>
      <c r="C29">
        <f>Head_Torso!I76</f>
        <v>0</v>
      </c>
      <c r="D29">
        <f>Head_Torso!J76</f>
        <v>-20</v>
      </c>
    </row>
    <row r="30" spans="1:7">
      <c r="A30" t="s">
        <v>192</v>
      </c>
      <c r="B30">
        <f>Head_Torso!H77</f>
        <v>10</v>
      </c>
      <c r="C30">
        <f>Head_Torso!I77</f>
        <v>10</v>
      </c>
      <c r="D30">
        <f>Head_Torso!J77</f>
        <v>10</v>
      </c>
    </row>
    <row r="33" spans="1:17">
      <c r="A33" t="s">
        <v>175</v>
      </c>
    </row>
    <row r="34" spans="1:17">
      <c r="A34" t="s">
        <v>194</v>
      </c>
      <c r="B34">
        <v>0</v>
      </c>
      <c r="C34">
        <v>1</v>
      </c>
      <c r="D34">
        <v>2</v>
      </c>
      <c r="E34">
        <v>3</v>
      </c>
      <c r="F34">
        <v>4</v>
      </c>
      <c r="G34">
        <v>5</v>
      </c>
      <c r="H34">
        <v>6</v>
      </c>
      <c r="I34">
        <v>7</v>
      </c>
      <c r="J34">
        <v>8</v>
      </c>
      <c r="K34">
        <v>9</v>
      </c>
      <c r="L34">
        <v>10</v>
      </c>
      <c r="M34">
        <v>11</v>
      </c>
      <c r="N34">
        <v>12</v>
      </c>
      <c r="O34">
        <v>13</v>
      </c>
      <c r="P34">
        <v>14</v>
      </c>
      <c r="Q34">
        <v>15</v>
      </c>
    </row>
    <row r="35" spans="1:17">
      <c r="A35" t="s">
        <v>187</v>
      </c>
      <c r="B35">
        <f>Left_arm!B79</f>
        <v>3</v>
      </c>
      <c r="C35">
        <f>Left_arm!C79</f>
        <v>3</v>
      </c>
      <c r="D35">
        <f>Left_arm!D79</f>
        <v>3</v>
      </c>
      <c r="E35">
        <f>Left_arm!E79</f>
        <v>3</v>
      </c>
      <c r="F35">
        <f>Left_arm!F79</f>
        <v>0</v>
      </c>
      <c r="G35">
        <f>Left_arm!G79</f>
        <v>2</v>
      </c>
      <c r="H35">
        <f>Left_arm!H79</f>
        <v>2</v>
      </c>
      <c r="I35">
        <f>Left_arm!I79</f>
        <v>3</v>
      </c>
      <c r="J35">
        <f>Left_hand!B79</f>
        <v>3</v>
      </c>
      <c r="K35">
        <f>Left_hand!C79</f>
        <v>4</v>
      </c>
      <c r="L35">
        <f>Left_hand!D79</f>
        <v>4</v>
      </c>
      <c r="M35">
        <f>Left_hand!E79</f>
        <v>4</v>
      </c>
      <c r="N35">
        <f>Left_hand!F79</f>
        <v>4</v>
      </c>
      <c r="O35">
        <f>Left_hand!G79</f>
        <v>4</v>
      </c>
      <c r="P35">
        <f>Left_hand!H79</f>
        <v>4</v>
      </c>
      <c r="Q35">
        <f>Left_hand!I79</f>
        <v>4</v>
      </c>
    </row>
    <row r="36" spans="1:17">
      <c r="A36" t="s">
        <v>195</v>
      </c>
      <c r="B36">
        <f>Left_arm!B80</f>
        <v>2388.75</v>
      </c>
      <c r="C36">
        <f>Left_arm!C80</f>
        <v>3241.875</v>
      </c>
      <c r="D36">
        <f>Left_arm!D80</f>
        <v>-275.93269230769238</v>
      </c>
      <c r="E36">
        <f>Left_arm!E80</f>
        <v>1532</v>
      </c>
      <c r="F36">
        <f>Left_arm!F80</f>
        <v>600</v>
      </c>
      <c r="G36">
        <f>Left_arm!G80</f>
        <v>750</v>
      </c>
      <c r="H36">
        <f>Left_arm!H80</f>
        <v>750</v>
      </c>
      <c r="I36">
        <f>Left_arm!I80</f>
        <v>1780</v>
      </c>
      <c r="J36">
        <f>Left_hand!B80</f>
        <v>383</v>
      </c>
      <c r="K36">
        <f>Left_hand!C80</f>
        <v>250</v>
      </c>
      <c r="L36">
        <f>Left_hand!D80</f>
        <v>50</v>
      </c>
      <c r="M36">
        <f>Left_hand!E80</f>
        <v>240</v>
      </c>
      <c r="N36">
        <f>Left_hand!F80</f>
        <v>40</v>
      </c>
      <c r="O36">
        <f>Left_hand!G80</f>
        <v>250</v>
      </c>
      <c r="P36">
        <f>Left_hand!H80</f>
        <v>52</v>
      </c>
      <c r="Q36">
        <f>Left_hand!I80</f>
        <v>765</v>
      </c>
    </row>
    <row r="37" spans="1:17">
      <c r="A37" t="s">
        <v>196</v>
      </c>
      <c r="B37">
        <f>Left_arm!B81</f>
        <v>10</v>
      </c>
      <c r="C37">
        <f>Left_arm!C81</f>
        <v>10</v>
      </c>
      <c r="D37">
        <f>Left_arm!D81</f>
        <v>10</v>
      </c>
      <c r="E37">
        <f>Left_arm!E81</f>
        <v>10</v>
      </c>
      <c r="F37">
        <f>Left_arm!F81</f>
        <v>20</v>
      </c>
      <c r="G37">
        <f>Left_arm!G81</f>
        <v>-10</v>
      </c>
      <c r="H37">
        <f>Left_arm!H81</f>
        <v>-10</v>
      </c>
      <c r="I37">
        <f>Left_arm!I81</f>
        <v>100</v>
      </c>
      <c r="J37">
        <f>Left_hand!B81</f>
        <v>10</v>
      </c>
      <c r="K37">
        <f>Left_hand!C81</f>
        <v>10</v>
      </c>
      <c r="L37">
        <f>Left_hand!D81</f>
        <v>10</v>
      </c>
      <c r="M37">
        <f>Left_hand!E81</f>
        <v>10</v>
      </c>
      <c r="N37">
        <f>Left_hand!F81</f>
        <v>10</v>
      </c>
      <c r="O37">
        <f>Left_hand!G81</f>
        <v>10</v>
      </c>
      <c r="P37">
        <f>Left_hand!H81</f>
        <v>10</v>
      </c>
      <c r="Q37">
        <f>Left_hand!I81</f>
        <v>10</v>
      </c>
    </row>
    <row r="38" spans="1:17">
      <c r="A38" t="s">
        <v>193</v>
      </c>
      <c r="B38">
        <f>Left_arm!B82</f>
        <v>1233.0499999999997</v>
      </c>
      <c r="C38">
        <f>Left_arm!C82</f>
        <v>2392.1624999999999</v>
      </c>
      <c r="D38">
        <f>Left_arm!D82</f>
        <v>4246.4296875000009</v>
      </c>
      <c r="E38">
        <f>Left_arm!E82</f>
        <v>447.03750000000014</v>
      </c>
      <c r="F38">
        <f>Left_arm!F82</f>
        <v>0</v>
      </c>
      <c r="G38">
        <f>Left_arm!G82</f>
        <v>0</v>
      </c>
      <c r="H38">
        <f>Left_arm!H82</f>
        <v>0</v>
      </c>
      <c r="I38">
        <f>Left_arm!I82</f>
        <v>0</v>
      </c>
      <c r="J38">
        <f>Left_hand!B82</f>
        <v>0</v>
      </c>
      <c r="K38">
        <f>Left_hand!C82</f>
        <v>6000</v>
      </c>
      <c r="L38">
        <f>Left_hand!D82</f>
        <v>6700</v>
      </c>
      <c r="M38">
        <f>Left_hand!E82</f>
        <v>6000</v>
      </c>
      <c r="N38">
        <f>Left_hand!F82</f>
        <v>6700</v>
      </c>
      <c r="O38">
        <f>Left_hand!G82</f>
        <v>6000</v>
      </c>
      <c r="P38">
        <f>Left_hand!H82</f>
        <v>-6700</v>
      </c>
      <c r="Q38">
        <f>Left_hand!I82</f>
        <v>14000</v>
      </c>
    </row>
    <row r="40" spans="1:17">
      <c r="A40" t="s">
        <v>176</v>
      </c>
    </row>
    <row r="41" spans="1:17">
      <c r="A41" t="s">
        <v>194</v>
      </c>
      <c r="B41">
        <v>0</v>
      </c>
      <c r="C41">
        <v>1</v>
      </c>
      <c r="D41">
        <v>2</v>
      </c>
      <c r="E41">
        <v>3</v>
      </c>
      <c r="F41">
        <v>4</v>
      </c>
      <c r="G41">
        <v>5</v>
      </c>
      <c r="H41">
        <v>6</v>
      </c>
      <c r="I41">
        <v>7</v>
      </c>
      <c r="J41">
        <v>8</v>
      </c>
      <c r="K41">
        <v>9</v>
      </c>
      <c r="L41">
        <v>10</v>
      </c>
      <c r="M41">
        <v>11</v>
      </c>
      <c r="N41">
        <v>12</v>
      </c>
      <c r="O41">
        <v>13</v>
      </c>
      <c r="P41">
        <v>14</v>
      </c>
      <c r="Q41">
        <v>15</v>
      </c>
    </row>
    <row r="42" spans="1:17">
      <c r="A42" t="s">
        <v>191</v>
      </c>
      <c r="B42">
        <f>Left_arm!B83</f>
        <v>-30</v>
      </c>
      <c r="C42">
        <f>Left_arm!C83</f>
        <v>30</v>
      </c>
      <c r="D42">
        <f>Left_arm!D83</f>
        <v>0</v>
      </c>
      <c r="E42">
        <f>Left_arm!E83</f>
        <v>45</v>
      </c>
      <c r="F42">
        <f>Left_arm!F83</f>
        <v>0</v>
      </c>
      <c r="G42">
        <f>Left_arm!G83</f>
        <v>0</v>
      </c>
      <c r="H42">
        <f>Left_arm!H83</f>
        <v>0</v>
      </c>
      <c r="I42">
        <f>Left_arm!I83</f>
        <v>15</v>
      </c>
      <c r="J42">
        <f>Left_hand!B83</f>
        <v>30</v>
      </c>
      <c r="K42">
        <f>Left_hand!C83</f>
        <v>0</v>
      </c>
      <c r="L42">
        <f>Left_hand!D83</f>
        <v>0</v>
      </c>
      <c r="M42">
        <f>Left_hand!E83</f>
        <v>0</v>
      </c>
      <c r="N42">
        <f>Left_hand!F83</f>
        <v>0</v>
      </c>
      <c r="O42">
        <f>Left_hand!G83</f>
        <v>0</v>
      </c>
      <c r="P42">
        <f>Left_hand!H83</f>
        <v>0</v>
      </c>
      <c r="Q42">
        <f>Left_hand!I83</f>
        <v>0</v>
      </c>
    </row>
    <row r="43" spans="1:17">
      <c r="A43" t="s">
        <v>134</v>
      </c>
      <c r="B43">
        <f>Left_arm!B84</f>
        <v>10</v>
      </c>
      <c r="C43">
        <f>Left_arm!C84</f>
        <v>10</v>
      </c>
      <c r="D43">
        <f>Left_arm!D84</f>
        <v>10</v>
      </c>
      <c r="E43">
        <f>Left_arm!E84</f>
        <v>10</v>
      </c>
      <c r="F43">
        <f>Left_arm!F84</f>
        <v>30</v>
      </c>
      <c r="G43">
        <f>Left_arm!G84</f>
        <v>30</v>
      </c>
      <c r="H43">
        <f>Left_arm!H84</f>
        <v>30</v>
      </c>
      <c r="I43">
        <f>Left_arm!I84</f>
        <v>100</v>
      </c>
      <c r="J43">
        <f>Left_hand!B84</f>
        <v>100</v>
      </c>
      <c r="K43">
        <f>Left_hand!C84</f>
        <v>100</v>
      </c>
      <c r="L43">
        <f>Left_hand!D84</f>
        <v>100</v>
      </c>
      <c r="M43">
        <f>Left_hand!E84</f>
        <v>100</v>
      </c>
      <c r="N43">
        <f>Left_hand!F84</f>
        <v>100</v>
      </c>
      <c r="O43">
        <f>Left_hand!G84</f>
        <v>100</v>
      </c>
      <c r="P43">
        <f>Left_hand!H84</f>
        <v>100</v>
      </c>
      <c r="Q43">
        <f>Left_hand!I84</f>
        <v>100</v>
      </c>
    </row>
    <row r="46" spans="1:17">
      <c r="A46" t="s">
        <v>177</v>
      </c>
    </row>
    <row r="47" spans="1:17">
      <c r="A47" t="s">
        <v>197</v>
      </c>
      <c r="B47">
        <v>0</v>
      </c>
      <c r="C47">
        <v>1</v>
      </c>
      <c r="D47">
        <v>2</v>
      </c>
      <c r="E47">
        <v>3</v>
      </c>
      <c r="F47">
        <v>4</v>
      </c>
      <c r="G47">
        <v>5</v>
      </c>
      <c r="H47">
        <v>6</v>
      </c>
      <c r="I47">
        <v>7</v>
      </c>
      <c r="J47">
        <v>8</v>
      </c>
      <c r="K47">
        <v>9</v>
      </c>
      <c r="L47">
        <v>10</v>
      </c>
      <c r="M47">
        <v>11</v>
      </c>
      <c r="N47">
        <v>12</v>
      </c>
      <c r="O47">
        <v>13</v>
      </c>
      <c r="P47">
        <v>14</v>
      </c>
      <c r="Q47">
        <v>15</v>
      </c>
    </row>
    <row r="48" spans="1:17">
      <c r="A48" t="s">
        <v>129</v>
      </c>
      <c r="B48">
        <f>Right_arm!B79</f>
        <v>3</v>
      </c>
      <c r="C48">
        <f>Right_arm!C79</f>
        <v>3</v>
      </c>
      <c r="D48">
        <f>Right_arm!D79</f>
        <v>3</v>
      </c>
      <c r="E48">
        <f>Right_arm!E79</f>
        <v>3</v>
      </c>
      <c r="F48">
        <f>Right_arm!F79</f>
        <v>0</v>
      </c>
      <c r="G48">
        <f>Right_arm!G79</f>
        <v>2</v>
      </c>
      <c r="H48">
        <f>Right_arm!H79</f>
        <v>2</v>
      </c>
      <c r="I48">
        <f>Right_arm!I79</f>
        <v>3</v>
      </c>
      <c r="J48">
        <f>Right_hand!B80</f>
        <v>3</v>
      </c>
      <c r="K48">
        <f>Right_hand!C80</f>
        <v>4</v>
      </c>
      <c r="L48">
        <f>Right_hand!D80</f>
        <v>4</v>
      </c>
      <c r="M48">
        <f>Right_hand!E80</f>
        <v>4</v>
      </c>
      <c r="N48">
        <f>Right_hand!F80</f>
        <v>4</v>
      </c>
      <c r="O48">
        <f>Right_hand!G80</f>
        <v>4</v>
      </c>
      <c r="P48">
        <f>Right_hand!H80</f>
        <v>4</v>
      </c>
      <c r="Q48">
        <f>Right_hand!I80</f>
        <v>4</v>
      </c>
    </row>
    <row r="49" spans="1:17">
      <c r="A49" t="s">
        <v>186</v>
      </c>
      <c r="B49">
        <f>Right_arm!B80</f>
        <v>1706.25</v>
      </c>
      <c r="C49">
        <f>Right_arm!C80</f>
        <v>853.125</v>
      </c>
      <c r="D49">
        <f>Right_arm!D80</f>
        <v>2795.3173076923076</v>
      </c>
      <c r="E49">
        <f>Right_arm!E80</f>
        <v>2558</v>
      </c>
      <c r="F49">
        <f>Right_arm!F80</f>
        <v>600</v>
      </c>
      <c r="G49">
        <f>Right_arm!G80</f>
        <v>750</v>
      </c>
      <c r="H49">
        <f>Right_arm!H80</f>
        <v>750</v>
      </c>
      <c r="I49">
        <f>Right_arm!I80</f>
        <v>1900</v>
      </c>
      <c r="J49">
        <f>Right_hand!B81</f>
        <v>470</v>
      </c>
      <c r="K49">
        <f>Right_hand!C81</f>
        <v>254</v>
      </c>
      <c r="L49">
        <f>Right_hand!D81</f>
        <v>30</v>
      </c>
      <c r="M49">
        <f>Right_hand!E81</f>
        <v>254</v>
      </c>
      <c r="N49">
        <f>Right_hand!F81</f>
        <v>30</v>
      </c>
      <c r="O49">
        <f>Right_hand!G81</f>
        <v>250</v>
      </c>
      <c r="P49">
        <f>Right_hand!H81</f>
        <v>38</v>
      </c>
      <c r="Q49">
        <f>Right_hand!I81</f>
        <v>738</v>
      </c>
    </row>
    <row r="50" spans="1:17">
      <c r="A50" t="s">
        <v>189</v>
      </c>
      <c r="B50">
        <f>Right_arm!B81</f>
        <v>10</v>
      </c>
      <c r="C50">
        <f>Right_arm!C81</f>
        <v>10</v>
      </c>
      <c r="D50">
        <f>Right_arm!D81</f>
        <v>10</v>
      </c>
      <c r="E50">
        <f>Right_arm!E81</f>
        <v>10</v>
      </c>
      <c r="F50">
        <f>Right_arm!F81</f>
        <v>-20</v>
      </c>
      <c r="G50">
        <f>Right_arm!G81</f>
        <v>10</v>
      </c>
      <c r="H50">
        <f>Right_arm!H81</f>
        <v>10</v>
      </c>
      <c r="I50">
        <f>Right_arm!I81</f>
        <v>100</v>
      </c>
      <c r="J50">
        <f>Right_hand!B82</f>
        <v>10</v>
      </c>
      <c r="K50">
        <f>Right_hand!C82</f>
        <v>10</v>
      </c>
      <c r="L50">
        <f>Right_hand!D82</f>
        <v>10</v>
      </c>
      <c r="M50">
        <f>Right_hand!E82</f>
        <v>10</v>
      </c>
      <c r="N50">
        <f>Right_hand!F82</f>
        <v>10</v>
      </c>
      <c r="O50">
        <f>Right_hand!G82</f>
        <v>10</v>
      </c>
      <c r="P50">
        <f>Right_hand!H82</f>
        <v>10</v>
      </c>
      <c r="Q50">
        <f>Right_hand!I82</f>
        <v>10</v>
      </c>
    </row>
    <row r="51" spans="1:17">
      <c r="A51" t="s">
        <v>188</v>
      </c>
      <c r="B51">
        <f>Right_arm!B82</f>
        <v>3652.5125000000003</v>
      </c>
      <c r="C51">
        <f>Right_arm!C82</f>
        <v>129.67499999999998</v>
      </c>
      <c r="D51">
        <f>Right_arm!D82</f>
        <v>2111.484375</v>
      </c>
      <c r="E51">
        <f>Right_arm!E82</f>
        <v>1785.875</v>
      </c>
      <c r="F51">
        <f>Right_arm!F82</f>
        <v>0</v>
      </c>
      <c r="G51">
        <f>Right_arm!G82</f>
        <v>0</v>
      </c>
      <c r="H51">
        <f>Right_arm!H82</f>
        <v>0</v>
      </c>
      <c r="I51">
        <f>Right_arm!I82</f>
        <v>0</v>
      </c>
      <c r="J51">
        <f>Right_hand!B83</f>
        <v>0</v>
      </c>
      <c r="K51">
        <f>Right_hand!C83</f>
        <v>6000</v>
      </c>
      <c r="L51">
        <f>Right_hand!D83</f>
        <v>6700</v>
      </c>
      <c r="M51">
        <f>Right_hand!E83</f>
        <v>6000</v>
      </c>
      <c r="N51">
        <f>Right_hand!F83</f>
        <v>-6700</v>
      </c>
      <c r="O51">
        <f>Right_hand!G83</f>
        <v>6000</v>
      </c>
      <c r="P51">
        <f>Right_hand!H83</f>
        <v>6700</v>
      </c>
      <c r="Q51">
        <f>Right_hand!I83</f>
        <v>14000</v>
      </c>
    </row>
    <row r="53" spans="1:17">
      <c r="A53" t="s">
        <v>178</v>
      </c>
    </row>
    <row r="54" spans="1:17">
      <c r="A54" t="s">
        <v>198</v>
      </c>
      <c r="B54">
        <v>0</v>
      </c>
      <c r="C54">
        <v>1</v>
      </c>
      <c r="D54">
        <v>2</v>
      </c>
      <c r="E54">
        <v>3</v>
      </c>
      <c r="F54">
        <v>4</v>
      </c>
      <c r="G54">
        <v>5</v>
      </c>
      <c r="H54">
        <v>6</v>
      </c>
      <c r="I54">
        <v>7</v>
      </c>
      <c r="J54">
        <v>8</v>
      </c>
      <c r="K54">
        <v>9</v>
      </c>
      <c r="L54">
        <v>10</v>
      </c>
      <c r="M54">
        <v>11</v>
      </c>
      <c r="N54">
        <v>12</v>
      </c>
      <c r="O54">
        <v>13</v>
      </c>
      <c r="P54">
        <v>14</v>
      </c>
      <c r="Q54">
        <v>15</v>
      </c>
    </row>
    <row r="55" spans="1:17">
      <c r="A55" t="s">
        <v>199</v>
      </c>
      <c r="B55">
        <f>Right_arm!B83</f>
        <v>-30</v>
      </c>
      <c r="C55">
        <f>Right_arm!C83</f>
        <v>30</v>
      </c>
      <c r="D55">
        <f>Right_arm!D83</f>
        <v>0</v>
      </c>
      <c r="E55">
        <f>Right_arm!E83</f>
        <v>45</v>
      </c>
      <c r="F55">
        <f>Right_arm!F83</f>
        <v>0</v>
      </c>
      <c r="G55">
        <f>Right_arm!G83</f>
        <v>0</v>
      </c>
      <c r="H55">
        <f>Right_arm!H83</f>
        <v>0</v>
      </c>
      <c r="I55">
        <f>Right_arm!I83</f>
        <v>15</v>
      </c>
      <c r="J55">
        <f>Right_hand!B84</f>
        <v>30</v>
      </c>
      <c r="K55">
        <f>Right_hand!C84</f>
        <v>0</v>
      </c>
      <c r="L55">
        <f>Right_hand!D84</f>
        <v>0</v>
      </c>
      <c r="M55">
        <f>Right_hand!E84</f>
        <v>0</v>
      </c>
      <c r="N55">
        <f>Right_hand!F84</f>
        <v>0</v>
      </c>
      <c r="O55">
        <f>Right_hand!G84</f>
        <v>0</v>
      </c>
      <c r="P55">
        <f>Right_hand!H84</f>
        <v>0</v>
      </c>
      <c r="Q55">
        <f>Right_hand!I84</f>
        <v>0</v>
      </c>
    </row>
    <row r="56" spans="1:17">
      <c r="A56" t="s">
        <v>134</v>
      </c>
      <c r="B56">
        <f>Right_arm!B84</f>
        <v>10</v>
      </c>
      <c r="C56">
        <f>Right_arm!C84</f>
        <v>10</v>
      </c>
      <c r="D56">
        <f>Right_arm!D84</f>
        <v>10</v>
      </c>
      <c r="E56">
        <f>Right_arm!E84</f>
        <v>10</v>
      </c>
      <c r="F56">
        <f>Right_arm!F84</f>
        <v>30</v>
      </c>
      <c r="G56">
        <f>Right_arm!G84</f>
        <v>30</v>
      </c>
      <c r="H56">
        <f>Right_arm!H84</f>
        <v>30</v>
      </c>
      <c r="I56">
        <f>Right_arm!I84</f>
        <v>100</v>
      </c>
      <c r="J56">
        <f>Right_hand!B85</f>
        <v>100</v>
      </c>
      <c r="K56">
        <f>Right_hand!C85</f>
        <v>100</v>
      </c>
      <c r="L56">
        <f>Right_hand!D85</f>
        <v>100</v>
      </c>
      <c r="M56">
        <f>Right_hand!E85</f>
        <v>100</v>
      </c>
      <c r="N56">
        <f>Right_hand!F85</f>
        <v>100</v>
      </c>
      <c r="O56">
        <f>Right_hand!G85</f>
        <v>100</v>
      </c>
      <c r="P56">
        <f>Right_hand!H85</f>
        <v>100</v>
      </c>
      <c r="Q56">
        <f>Right_hand!I85</f>
        <v>100</v>
      </c>
    </row>
    <row r="59" spans="1:17">
      <c r="A59" t="s">
        <v>179</v>
      </c>
    </row>
    <row r="60" spans="1:17">
      <c r="A60" t="s">
        <v>194</v>
      </c>
      <c r="B60">
        <v>0</v>
      </c>
      <c r="C60">
        <v>1</v>
      </c>
      <c r="D60">
        <v>2</v>
      </c>
      <c r="E60">
        <v>3</v>
      </c>
      <c r="F60">
        <v>4</v>
      </c>
      <c r="G60">
        <v>5</v>
      </c>
    </row>
    <row r="61" spans="1:17">
      <c r="A61" t="s">
        <v>200</v>
      </c>
      <c r="B61">
        <f>Legs!H92</f>
        <v>3</v>
      </c>
      <c r="C61">
        <f>Legs!I92</f>
        <v>3</v>
      </c>
      <c r="D61">
        <f>Legs!J92</f>
        <v>3</v>
      </c>
      <c r="E61">
        <f>Legs!K92</f>
        <v>3</v>
      </c>
      <c r="F61">
        <f>Legs!L92</f>
        <v>3</v>
      </c>
      <c r="G61">
        <f>Legs!M92</f>
        <v>3</v>
      </c>
    </row>
    <row r="62" spans="1:17">
      <c r="A62" t="s">
        <v>130</v>
      </c>
      <c r="B62">
        <f>Legs!H93</f>
        <v>2047.5</v>
      </c>
      <c r="C62">
        <f>Legs!I93</f>
        <v>2047.5</v>
      </c>
      <c r="D62">
        <f>Legs!J93</f>
        <v>2047.5</v>
      </c>
      <c r="E62">
        <f>Legs!K93</f>
        <v>2047.5</v>
      </c>
      <c r="F62">
        <f>Legs!L93</f>
        <v>2047.5</v>
      </c>
      <c r="G62">
        <f>Legs!M93</f>
        <v>2047.5</v>
      </c>
    </row>
    <row r="63" spans="1:17">
      <c r="A63" t="s">
        <v>131</v>
      </c>
      <c r="B63">
        <f>Legs!H94</f>
        <v>10</v>
      </c>
      <c r="C63">
        <f>Legs!I94</f>
        <v>10</v>
      </c>
      <c r="D63">
        <f>Legs!J94</f>
        <v>10</v>
      </c>
      <c r="E63">
        <f>Legs!K94</f>
        <v>10</v>
      </c>
      <c r="F63">
        <f>Legs!L94</f>
        <v>10</v>
      </c>
      <c r="G63">
        <f>Legs!M94</f>
        <v>10</v>
      </c>
    </row>
    <row r="64" spans="1:17">
      <c r="A64" t="s">
        <v>201</v>
      </c>
      <c r="B64">
        <f>Legs!H95</f>
        <v>2110.0625</v>
      </c>
      <c r="C64">
        <f>Legs!I95</f>
        <v>127.39999999999986</v>
      </c>
      <c r="D64">
        <f>Legs!J95</f>
        <v>3091.7249999999999</v>
      </c>
      <c r="E64">
        <f>Legs!K95</f>
        <v>877.01250000000027</v>
      </c>
      <c r="F64">
        <f>Legs!L95</f>
        <v>1918.9624999999999</v>
      </c>
      <c r="G64">
        <f>Legs!M95</f>
        <v>1793.8374999999999</v>
      </c>
    </row>
    <row r="66" spans="1:7">
      <c r="A66" t="s">
        <v>180</v>
      </c>
    </row>
    <row r="67" spans="1:7">
      <c r="A67" t="s">
        <v>198</v>
      </c>
      <c r="B67">
        <v>0</v>
      </c>
      <c r="C67">
        <v>1</v>
      </c>
      <c r="D67">
        <v>2</v>
      </c>
      <c r="E67">
        <v>3</v>
      </c>
      <c r="F67">
        <v>4</v>
      </c>
      <c r="G67">
        <v>5</v>
      </c>
    </row>
    <row r="68" spans="1:7">
      <c r="A68" t="s">
        <v>133</v>
      </c>
      <c r="B68">
        <f>Legs!H96</f>
        <v>0</v>
      </c>
      <c r="C68">
        <f>Legs!I96</f>
        <v>0</v>
      </c>
      <c r="D68">
        <f>Legs!J96</f>
        <v>0</v>
      </c>
      <c r="E68">
        <f>Legs!K96</f>
        <v>0</v>
      </c>
      <c r="F68">
        <f>Legs!L96</f>
        <v>0</v>
      </c>
      <c r="G68">
        <f>Legs!M96</f>
        <v>0</v>
      </c>
    </row>
    <row r="69" spans="1:7">
      <c r="A69" t="s">
        <v>202</v>
      </c>
      <c r="B69">
        <f>Legs!H97</f>
        <v>10</v>
      </c>
      <c r="C69">
        <f>Legs!I97</f>
        <v>10</v>
      </c>
      <c r="D69">
        <f>Legs!J97</f>
        <v>10</v>
      </c>
      <c r="E69">
        <f>Legs!K97</f>
        <v>10</v>
      </c>
      <c r="F69">
        <f>Legs!L97</f>
        <v>10</v>
      </c>
      <c r="G69">
        <f>Legs!M97</f>
        <v>10</v>
      </c>
    </row>
    <row r="71" spans="1:7">
      <c r="A71" t="s">
        <v>181</v>
      </c>
    </row>
    <row r="72" spans="1:7">
      <c r="A72" t="s">
        <v>203</v>
      </c>
      <c r="B72">
        <v>0</v>
      </c>
      <c r="C72">
        <v>1</v>
      </c>
      <c r="D72">
        <v>2</v>
      </c>
      <c r="E72">
        <v>3</v>
      </c>
      <c r="F72">
        <v>4</v>
      </c>
      <c r="G72">
        <v>5</v>
      </c>
    </row>
    <row r="73" spans="1:7">
      <c r="A73" t="s">
        <v>129</v>
      </c>
      <c r="B73">
        <f>Legs!B92</f>
        <v>3</v>
      </c>
      <c r="C73">
        <f>Legs!C92</f>
        <v>3</v>
      </c>
      <c r="D73">
        <f>Legs!D92</f>
        <v>3</v>
      </c>
      <c r="E73">
        <f>Legs!E92</f>
        <v>3</v>
      </c>
      <c r="F73">
        <f>Legs!F92</f>
        <v>3</v>
      </c>
      <c r="G73">
        <f>Legs!G92</f>
        <v>3</v>
      </c>
    </row>
    <row r="74" spans="1:7">
      <c r="A74" t="s">
        <v>130</v>
      </c>
      <c r="B74">
        <f>Legs!B93</f>
        <v>2047.5</v>
      </c>
      <c r="C74">
        <f>Legs!C93</f>
        <v>2047.5</v>
      </c>
      <c r="D74">
        <f>Legs!D93</f>
        <v>2047.5</v>
      </c>
      <c r="E74">
        <f>Legs!E93</f>
        <v>2047.5</v>
      </c>
      <c r="F74">
        <f>Legs!F93</f>
        <v>2047.5</v>
      </c>
      <c r="G74">
        <f>Legs!G93</f>
        <v>2047.5</v>
      </c>
    </row>
    <row r="75" spans="1:7">
      <c r="A75" t="s">
        <v>204</v>
      </c>
      <c r="B75">
        <f>Legs!B94</f>
        <v>10</v>
      </c>
      <c r="C75">
        <f>Legs!C94</f>
        <v>10</v>
      </c>
      <c r="D75">
        <f>Legs!D94</f>
        <v>10</v>
      </c>
      <c r="E75">
        <f>Legs!E94</f>
        <v>10</v>
      </c>
      <c r="F75">
        <f>Legs!F94</f>
        <v>10</v>
      </c>
      <c r="G75">
        <f>Legs!G94</f>
        <v>10</v>
      </c>
    </row>
    <row r="76" spans="1:7">
      <c r="A76" t="s">
        <v>193</v>
      </c>
      <c r="B76">
        <f>Legs!B95</f>
        <v>2724.3125</v>
      </c>
      <c r="C76">
        <f>Legs!C95</f>
        <v>2515.0124999999998</v>
      </c>
      <c r="D76">
        <f>Legs!D95</f>
        <v>1145.4624999999999</v>
      </c>
      <c r="E76">
        <f>Legs!E95</f>
        <v>25.024999999999871</v>
      </c>
      <c r="F76">
        <f>Legs!F95</f>
        <v>403.8125</v>
      </c>
      <c r="G76">
        <f>Legs!G95</f>
        <v>485.71249999999986</v>
      </c>
    </row>
    <row r="78" spans="1:7">
      <c r="A78" t="s">
        <v>182</v>
      </c>
    </row>
    <row r="79" spans="1:7">
      <c r="A79" t="s">
        <v>205</v>
      </c>
      <c r="B79">
        <v>0</v>
      </c>
      <c r="C79">
        <v>1</v>
      </c>
      <c r="D79">
        <v>2</v>
      </c>
      <c r="E79">
        <v>3</v>
      </c>
      <c r="F79">
        <v>4</v>
      </c>
      <c r="G79">
        <v>5</v>
      </c>
    </row>
    <row r="80" spans="1:7">
      <c r="A80" t="s">
        <v>191</v>
      </c>
      <c r="B80">
        <f>Legs!B96</f>
        <v>0</v>
      </c>
      <c r="C80">
        <f>Legs!C96</f>
        <v>0</v>
      </c>
      <c r="D80">
        <f>Legs!D96</f>
        <v>0</v>
      </c>
      <c r="E80">
        <f>Legs!E96</f>
        <v>0</v>
      </c>
      <c r="F80">
        <f>Legs!F96</f>
        <v>0</v>
      </c>
      <c r="G80">
        <f>Legs!G96</f>
        <v>0</v>
      </c>
    </row>
    <row r="81" spans="1:7">
      <c r="A81" t="s">
        <v>192</v>
      </c>
      <c r="B81">
        <f>Legs!B97</f>
        <v>10</v>
      </c>
      <c r="C81">
        <f>Legs!C97</f>
        <v>10</v>
      </c>
      <c r="D81">
        <f>Legs!D97</f>
        <v>10</v>
      </c>
      <c r="E81">
        <f>Legs!E97</f>
        <v>10</v>
      </c>
      <c r="F81">
        <f>Legs!F97</f>
        <v>10</v>
      </c>
      <c r="G81">
        <f>Legs!G97</f>
        <v>10</v>
      </c>
    </row>
    <row r="83" spans="1:7">
      <c r="A83" t="s">
        <v>183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DocSecurity>0</DocSecurity>
  <ScaleCrop>false</ScaleCrop>
  <HeadingPairs>
    <vt:vector size="2" baseType="variant">
      <vt:variant>
        <vt:lpstr>Worksheets</vt:lpstr>
      </vt:variant>
      <vt:variant>
        <vt:i4>8</vt:i4>
      </vt:variant>
    </vt:vector>
  </HeadingPairs>
  <TitlesOfParts>
    <vt:vector size="8" baseType="lpstr">
      <vt:lpstr>Sheet1</vt:lpstr>
      <vt:lpstr>Legs</vt:lpstr>
      <vt:lpstr>Left_arm</vt:lpstr>
      <vt:lpstr>Left_hand</vt:lpstr>
      <vt:lpstr>Right_arm</vt:lpstr>
      <vt:lpstr>Right_hand</vt:lpstr>
      <vt:lpstr>Head_Torso</vt:lpstr>
      <vt:lpstr>robotmotorgui.ini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M M</cp:lastModifiedBy>
  <dcterms:created xsi:type="dcterms:W3CDTF">2009-11-13T07:16:58Z</dcterms:created>
  <dcterms:modified xsi:type="dcterms:W3CDTF">2010-05-12T12:23:08Z</dcterms:modified>
</cp:coreProperties>
</file>