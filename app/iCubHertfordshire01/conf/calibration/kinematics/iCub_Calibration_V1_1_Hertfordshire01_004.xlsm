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F80" i="5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<sst xmlns="http://schemas.openxmlformats.org/spreadsheetml/2006/main" count="789" uniqueCount="294">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</sst>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36" zoomScale="55" zoomScaleNormal="55" workbookViewId="0">
      <selection activeCell="S44" sqref="S44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6.710937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284</v>
      </c>
      <c r="P6" s="41" t="s">
        <v>250</v>
      </c>
      <c r="Q6" s="41" t="s">
        <v>206</v>
      </c>
      <c r="R6" s="41" t="s">
        <v>207</v>
      </c>
      <c r="S6" s="41" t="s">
        <v>282</v>
      </c>
      <c r="T6" s="41" t="s">
        <v>287</v>
      </c>
      <c r="U6" s="41" t="s">
        <v>288</v>
      </c>
      <c r="V6" s="41" t="s">
        <v>289</v>
      </c>
      <c r="W6" s="78" t="s">
        <v>290</v>
      </c>
      <c r="X6" s="78" t="s">
        <v>291</v>
      </c>
      <c r="Y6" s="78" t="s">
        <v>292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282</v>
      </c>
      <c r="T23" s="41" t="s">
        <v>287</v>
      </c>
      <c r="U23" s="41" t="s">
        <v>288</v>
      </c>
      <c r="V23" s="41" t="s">
        <v>289</v>
      </c>
      <c r="W23" s="78" t="s">
        <v>290</v>
      </c>
      <c r="X23" s="78" t="s">
        <v>291</v>
      </c>
      <c r="Y23" s="78" t="s">
        <v>292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282</v>
      </c>
      <c r="T36" s="41" t="s">
        <v>287</v>
      </c>
      <c r="U36" s="41" t="s">
        <v>288</v>
      </c>
      <c r="V36" s="41" t="s">
        <v>289</v>
      </c>
      <c r="W36" s="78" t="s">
        <v>290</v>
      </c>
      <c r="X36" s="78" t="s">
        <v>291</v>
      </c>
      <c r="Y36" s="78" t="s">
        <v>292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4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4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-463.6</v>
      </c>
      <c r="D39" s="24">
        <f>-L39/-K39</f>
        <v>24.257819103972956</v>
      </c>
      <c r="E39" s="69">
        <f>ABS((+C39/(40/65)-(C37-C38)/(40/65)))-ABS(180)</f>
        <v>373.31250000000011</v>
      </c>
      <c r="F39" s="69">
        <f>IF(E39&gt;=0,(E39*11.375),(360+E39)*11.375)</f>
        <v>4246.4296875000009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4246.4296875000009</v>
      </c>
      <c r="O39" s="71">
        <v>0</v>
      </c>
      <c r="P39" s="66">
        <v>10</v>
      </c>
      <c r="Q39" s="71">
        <v>0</v>
      </c>
      <c r="R39" s="66">
        <v>10</v>
      </c>
      <c r="S39" s="67">
        <v>-17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500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-8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-6.4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15</v>
      </c>
      <c r="P44" s="66">
        <v>100</v>
      </c>
      <c r="Q44" s="71">
        <v>15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287</v>
      </c>
      <c r="U47" s="41" t="s">
        <v>288</v>
      </c>
      <c r="V47" s="41" t="s">
        <v>289</v>
      </c>
      <c r="W47" s="78" t="s">
        <v>290</v>
      </c>
      <c r="X47" s="78" t="s">
        <v>291</v>
      </c>
      <c r="Y47" s="78" t="s">
        <v>292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30</v>
      </c>
      <c r="P48" s="71">
        <v>100</v>
      </c>
      <c r="Q48" s="71">
        <v>30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6700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-100.46511627906978</v>
      </c>
      <c r="E51" s="31"/>
      <c r="F51" s="31"/>
      <c r="G51" s="71">
        <v>0</v>
      </c>
      <c r="H51" s="71">
        <v>90</v>
      </c>
      <c r="I51" s="60">
        <v>240</v>
      </c>
      <c r="J51" s="60">
        <v>25</v>
      </c>
      <c r="K51" s="27">
        <f t="shared" si="5"/>
        <v>-2.3888888888888888</v>
      </c>
      <c r="L51" s="71">
        <f>I51</f>
        <v>240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6700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-200.8</v>
      </c>
      <c r="E54" s="31"/>
      <c r="F54" s="31"/>
      <c r="G54" s="71">
        <v>0</v>
      </c>
      <c r="H54" s="71">
        <v>180</v>
      </c>
      <c r="I54" s="60">
        <v>502</v>
      </c>
      <c r="J54" s="60">
        <v>52</v>
      </c>
      <c r="K54" s="27">
        <f t="shared" si="5"/>
        <v>-2.5</v>
      </c>
      <c r="L54" s="71">
        <f>J54</f>
        <v>52</v>
      </c>
      <c r="M54" s="71">
        <v>10</v>
      </c>
      <c r="N54" s="71">
        <v>-6700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14000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282</v>
      </c>
      <c r="T58" s="41" t="s">
        <v>287</v>
      </c>
      <c r="U58" s="41" t="s">
        <v>288</v>
      </c>
      <c r="V58" s="41" t="s">
        <v>289</v>
      </c>
      <c r="W58" s="78" t="s">
        <v>290</v>
      </c>
      <c r="X58" s="78" t="s">
        <v>291</v>
      </c>
      <c r="Y58" s="78" t="s">
        <v>292</v>
      </c>
    </row>
    <row r="59" spans="1:25" ht="18.75">
      <c r="A59" s="26">
        <v>0</v>
      </c>
      <c r="B59" s="44" t="s">
        <v>57</v>
      </c>
      <c r="C59" s="23">
        <v>141.1</v>
      </c>
      <c r="D59" s="24">
        <v>180</v>
      </c>
      <c r="E59" s="68">
        <f>(ABS(C59)-ABS(D59))</f>
        <v>-38.900000000000006</v>
      </c>
      <c r="F59" s="68">
        <f>IF(E59&gt;=0,(E59*11.375),(360+E59)*11.375)</f>
        <v>3652.5125000000003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3652.5125000000003</v>
      </c>
      <c r="O59" s="66">
        <v>-30</v>
      </c>
      <c r="P59" s="66">
        <v>10</v>
      </c>
      <c r="Q59" s="66">
        <v>-30</v>
      </c>
      <c r="R59" s="66">
        <v>10</v>
      </c>
      <c r="S59" s="67">
        <v>1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56.4</v>
      </c>
      <c r="D60" s="24">
        <f>45</f>
        <v>45</v>
      </c>
      <c r="E60" s="68">
        <f>(ABS(C60)-ABS(D60))</f>
        <v>11.399999999999999</v>
      </c>
      <c r="F60" s="68">
        <f>IF(E60&gt;=0,(E60*11.375),(360+E60)*11.375)</f>
        <v>129.67499999999998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129.67499999999998</v>
      </c>
      <c r="O60" s="66">
        <v>30</v>
      </c>
      <c r="P60" s="66">
        <v>10</v>
      </c>
      <c r="Q60" s="66">
        <v>30</v>
      </c>
      <c r="R60" s="66">
        <v>10</v>
      </c>
      <c r="S60" s="67">
        <v>8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309.7</v>
      </c>
      <c r="D61" s="24">
        <f>L61/K61</f>
        <v>245.74218089602704</v>
      </c>
      <c r="E61" s="69">
        <f>ABS((+C61/(40/65)-(C59-C60)/(40/65)))-ABS(180)</f>
        <v>185.625</v>
      </c>
      <c r="F61" s="69">
        <f>IF(E61&gt;=0,(E61*11.375),(360+E61)*11.375)</f>
        <v>2111.484375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2111.484375</v>
      </c>
      <c r="O61" s="71">
        <v>0</v>
      </c>
      <c r="P61" s="66">
        <v>10</v>
      </c>
      <c r="Q61" s="71">
        <v>0</v>
      </c>
      <c r="R61" s="66">
        <v>10</v>
      </c>
      <c r="S61" s="67">
        <v>2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500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10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7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15</v>
      </c>
      <c r="P66" s="66">
        <v>100</v>
      </c>
      <c r="Q66" s="71">
        <v>15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287</v>
      </c>
      <c r="U69" s="41" t="s">
        <v>288</v>
      </c>
      <c r="V69" s="41" t="s">
        <v>289</v>
      </c>
      <c r="W69" s="78" t="s">
        <v>290</v>
      </c>
      <c r="X69" s="78" t="s">
        <v>291</v>
      </c>
      <c r="Y69" s="78" t="s">
        <v>292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30</v>
      </c>
      <c r="P70" s="71">
        <v>100</v>
      </c>
      <c r="Q70" s="71">
        <v>30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6700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-6700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6700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14000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285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286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283</v>
      </c>
      <c r="B93" s="62"/>
      <c r="C93" s="3"/>
      <c r="D93" s="3"/>
    </row>
    <row r="94" spans="1:5" ht="21">
      <c r="A94" s="63" t="s">
        <v>280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293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279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279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281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54" zoomScaleNormal="100" workbookViewId="0">
      <selection activeCell="F65" sqref="F6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-176</v>
      </c>
      <c r="C50" s="21">
        <f>+INDEX(Sheet1!$D$37:$D$44,COLUMN()-COLUMN($B$82)+1)++INDEX(Sheet1!$S$37:$S$44,COLUMN()-COLUMN($B$82)+1)</f>
        <v>-311</v>
      </c>
      <c r="D50" s="21">
        <f>+INDEX(Sheet1!$D$37:$D$44,COLUMN()-COLUMN($B$82)+1)++INDEX(Sheet1!$S$37:$S$44,COLUMN()-COLUMN($B$82)+1)</f>
        <v>7.257819103972956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-28</v>
      </c>
      <c r="H50" s="21">
        <f>+INDEX(Sheet1!$D$37:$D$44,COLUMN()-COLUMN($B$82)+1)++INDEX(Sheet1!$S$37:$S$44,COLUMN()-COLUMN($B$82)+1)</f>
        <v>-58.4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380</v>
      </c>
      <c r="G64">
        <v>500</v>
      </c>
      <c r="H64">
        <v>500</v>
      </c>
      <c r="I64">
        <v>500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4246.4296875000009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A70" sqref="A70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267</v>
      </c>
    </row>
    <row r="36" spans="1:9">
      <c r="A36" t="s">
        <v>269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-2.3888888888888888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-2.5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-100.46511627906978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-200.8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240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6700</v>
      </c>
      <c r="E82" s="21">
        <f>+INDEX(Sheet1!$N$48:$N$56,COLUMN()-COLUMN($B$81)+1)</f>
        <v>6000</v>
      </c>
      <c r="F82" s="21">
        <f>+INDEX(Sheet1!$N$48:$N$56,COLUMN()-COLUMN($B$81)+1)</f>
        <v>6700</v>
      </c>
      <c r="G82" s="21">
        <f>+INDEX(Sheet1!$N$48:$N$56,COLUMN()-COLUMN($B$81)+1)</f>
        <v>6000</v>
      </c>
      <c r="H82" s="21">
        <f>+INDEX(Sheet1!$N$48:$N$56,COLUMN()-COLUMN($B$81)+1)</f>
        <v>-6700</v>
      </c>
      <c r="I82" s="21">
        <f>+INDEX(Sheet1!$N$48:$N$56,COLUMN()-COLUMN($B$81)+1)</f>
        <v>14000</v>
      </c>
    </row>
    <row r="83" spans="1:9">
      <c r="A83" t="s">
        <v>133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2" zoomScale="85" zoomScaleNormal="85" workbookViewId="0">
      <selection activeCell="F65" sqref="F65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181</v>
      </c>
      <c r="C50" s="21">
        <f>+INDEX(Sheet1!$D$59:$D$66,COLUMN()-COLUMN($B$83)+1)++INDEX(Sheet1!$S$59:$S$66,COLUMN()-COLUMN($B$83)+1)</f>
        <v>53</v>
      </c>
      <c r="D50" s="21">
        <f>+INDEX(Sheet1!$D$59:$D$66,COLUMN()-COLUMN($B$83)+1)++INDEX(Sheet1!$S$59:$S$66,COLUMN()-COLUMN($B$83)+1)</f>
        <v>247.74218089602704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-10</v>
      </c>
      <c r="H50" s="21">
        <f>+INDEX(Sheet1!$D$59:$D$66,COLUMN()-COLUMN($B$83)+1)++INDEX(Sheet1!$S$59:$S$66,COLUMN()-COLUMN($B$83)+1)</f>
        <v>-45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380</v>
      </c>
      <c r="G64">
        <v>500</v>
      </c>
      <c r="H64">
        <v>500</v>
      </c>
      <c r="I64">
        <v>500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3652.5125000000003</v>
      </c>
      <c r="C82" s="21">
        <f>+INDEX(Sheet1!$N$59:$N$66,COLUMN()-COLUMN($B$83)+1)</f>
        <v>129.67499999999998</v>
      </c>
      <c r="D82" s="21">
        <f>+INDEX(Sheet1!$N$59:$N$66,COLUMN()-COLUMN($B$83)+1)</f>
        <v>2111.484375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65" zoomScaleNormal="100" workbookViewId="0">
      <selection activeCell="E79" sqref="E79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267</v>
      </c>
    </row>
    <row r="39" spans="1:9">
      <c r="A39" t="s">
        <v>269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6700</v>
      </c>
      <c r="E83" s="21">
        <f>+INDEX(Sheet1!$N$70:$N$77,COLUMN()-COLUMN($B$79)+1)</f>
        <v>6000</v>
      </c>
      <c r="F83" s="21">
        <f>+INDEX(Sheet1!$N$70:$N$77,COLUMN()-COLUMN($B$79)+1)</f>
        <v>-6700</v>
      </c>
      <c r="G83" s="21">
        <f>+INDEX(Sheet1!$N$70:$N$77,COLUMN()-COLUMN($B$79)+1)</f>
        <v>6000</v>
      </c>
      <c r="H83" s="21">
        <f>+INDEX(Sheet1!$N$70:$N$77,COLUMN()-COLUMN($B$79)+1)</f>
        <v>6700</v>
      </c>
      <c r="I83" s="21">
        <f>+INDEX(Sheet1!$N$70:$N$77,COLUMN()-COLUMN($B$79)+1)</f>
        <v>14000</v>
      </c>
    </row>
    <row r="84" spans="1:9">
      <c r="A84" t="s">
        <v>133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5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32" zoomScale="85" zoomScaleNormal="85" workbookViewId="0">
      <selection activeCell="J55" sqref="J5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240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4246.4296875000009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6700</v>
      </c>
      <c r="M38">
        <f>Left_hand!E82</f>
        <v>6000</v>
      </c>
      <c r="N38">
        <f>Left_hand!F82</f>
        <v>6700</v>
      </c>
      <c r="O38">
        <f>Left_hand!G82</f>
        <v>6000</v>
      </c>
      <c r="P38">
        <f>Left_hand!H82</f>
        <v>-6700</v>
      </c>
      <c r="Q38">
        <f>Left_hand!I82</f>
        <v>14000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3652.5125000000003</v>
      </c>
      <c r="C51">
        <f>Right_arm!C82</f>
        <v>129.67499999999998</v>
      </c>
      <c r="D51">
        <f>Right_arm!D82</f>
        <v>2111.484375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6700</v>
      </c>
      <c r="M51">
        <f>Right_hand!E83</f>
        <v>6000</v>
      </c>
      <c r="N51">
        <f>Right_hand!F83</f>
        <v>-6700</v>
      </c>
      <c r="O51">
        <f>Right_hand!G83</f>
        <v>6000</v>
      </c>
      <c r="P51">
        <f>Right_hand!H83</f>
        <v>6700</v>
      </c>
      <c r="Q51">
        <f>Right_hand!I83</f>
        <v>14000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2010-05-11T12:41:45Z</dcterms:modified>
</cp:coreProperties>
</file>