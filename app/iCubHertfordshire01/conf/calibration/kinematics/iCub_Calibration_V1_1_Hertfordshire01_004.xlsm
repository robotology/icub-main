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<sst xmlns="http://schemas.openxmlformats.org/spreadsheetml/2006/main" count="789" uniqueCount="296">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</sst>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64" zoomScale="55" zoomScaleNormal="55" workbookViewId="0">
      <selection activeCell="G70" sqref="G70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-248.4</v>
      </c>
      <c r="D39" s="24">
        <f>-L39/-K39</f>
        <v>24.257819103972956</v>
      </c>
      <c r="E39" s="69">
        <f>ABS((+C39/(40/65)-(C37-C38)/(40/65)))-ABS(180)</f>
        <v>23.61250000000004</v>
      </c>
      <c r="F39" s="69">
        <f>IF(E39&gt;=0,(E39*11.375),(360+E39)*11.375)</f>
        <v>268.59218750000048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268.59218750000048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6500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6500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-6500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26000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0</v>
      </c>
      <c r="D59" s="24">
        <v>180</v>
      </c>
      <c r="E59" s="68">
        <f>(ABS(C59)-ABS(D59))</f>
        <v>-180</v>
      </c>
      <c r="F59" s="68">
        <f>IF(E59&gt;=0,(E59*11.375),(360+E59)*11.375)</f>
        <v>2047.5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2047.5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0</v>
      </c>
      <c r="D60" s="24">
        <f>45</f>
        <v>45</v>
      </c>
      <c r="E60" s="68">
        <f>(ABS(C60)-ABS(D60))</f>
        <v>-45</v>
      </c>
      <c r="F60" s="68">
        <f>IF(E60&gt;=0,(E60*11.375),(360+E60)*11.375)</f>
        <v>3583.125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3583.125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12.5</v>
      </c>
      <c r="D61" s="24">
        <f>L61/K61</f>
        <v>245.74218089602704</v>
      </c>
      <c r="E61" s="69">
        <f>ABS((+C61/(40/65)-(C59-C60)/(40/65)))-ABS(180)</f>
        <v>-159.6875</v>
      </c>
      <c r="F61" s="69">
        <f>IF(E61&gt;=0,(E61*11.375),(360+E61)*11.375)</f>
        <v>2278.5546875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2278.5546875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26000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49" zoomScaleNormal="100" workbookViewId="0">
      <selection activeCell="D30" sqref="D3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268.59218750000048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9" zoomScaleNormal="100" workbookViewId="0">
      <selection activeCell="B68" sqref="B6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6500</v>
      </c>
      <c r="E82" s="21">
        <f>+INDEX(Sheet1!$N$48:$N$56,COLUMN()-COLUMN($B$81)+1)</f>
        <v>6000</v>
      </c>
      <c r="F82" s="21">
        <f>+INDEX(Sheet1!$N$48:$N$56,COLUMN()-COLUMN($B$81)+1)</f>
        <v>6500</v>
      </c>
      <c r="G82" s="21">
        <f>+INDEX(Sheet1!$N$48:$N$56,COLUMN()-COLUMN($B$81)+1)</f>
        <v>6000</v>
      </c>
      <c r="H82" s="21">
        <f>+INDEX(Sheet1!$N$48:$N$56,COLUMN()-COLUMN($B$81)+1)</f>
        <v>-6500</v>
      </c>
      <c r="I82" s="21">
        <f>+INDEX(Sheet1!$N$48:$N$56,COLUMN()-COLUMN($B$81)+1)</f>
        <v>26000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2047.5</v>
      </c>
      <c r="C82" s="21">
        <f>+INDEX(Sheet1!$N$59:$N$66,COLUMN()-COLUMN($B$83)+1)</f>
        <v>3583.125</v>
      </c>
      <c r="D82" s="21">
        <f>+INDEX(Sheet1!$N$59:$N$66,COLUMN()-COLUMN($B$83)+1)</f>
        <v>2278.5546875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5" zoomScaleNormal="100" workbookViewId="0">
      <selection activeCell="D70" sqref="D7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26000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268.59218750000048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2047.5</v>
      </c>
      <c r="C51">
        <f>Right_arm!C82</f>
        <v>3583.125</v>
      </c>
      <c r="D51">
        <f>Right_arm!D82</f>
        <v>2278.5546875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2010-04-28T15:48:51Z</dcterms:modified>
</cp:coreProperties>
</file>