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 activeTab="4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F80" i="5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D52" i="1" l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<sst xmlns="http://schemas.openxmlformats.org/spreadsheetml/2006/main" count="789" uniqueCount="294">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</sst>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opLeftCell="A51" zoomScale="55" zoomScaleNormal="55" workbookViewId="0">
      <selection activeCell="K81" sqref="K81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6.710937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284</v>
      </c>
      <c r="P6" s="41" t="s">
        <v>250</v>
      </c>
      <c r="Q6" s="41" t="s">
        <v>206</v>
      </c>
      <c r="R6" s="41" t="s">
        <v>207</v>
      </c>
      <c r="S6" s="41" t="s">
        <v>282</v>
      </c>
      <c r="T6" s="41" t="s">
        <v>287</v>
      </c>
      <c r="U6" s="41" t="s">
        <v>288</v>
      </c>
      <c r="V6" s="41" t="s">
        <v>289</v>
      </c>
      <c r="W6" s="78" t="s">
        <v>290</v>
      </c>
      <c r="X6" s="78" t="s">
        <v>291</v>
      </c>
      <c r="Y6" s="78" t="s">
        <v>292</v>
      </c>
    </row>
    <row r="7" spans="1:25" ht="18.75">
      <c r="A7" s="26">
        <v>0</v>
      </c>
      <c r="B7" s="44" t="s">
        <v>14</v>
      </c>
      <c r="C7" s="79">
        <v>59.5</v>
      </c>
      <c r="D7" s="24">
        <v>180</v>
      </c>
      <c r="E7" s="68">
        <f>(ABS(C7)-ABS(D7))</f>
        <v>-120.5</v>
      </c>
      <c r="F7" s="68">
        <f>IF(E7&gt;=0,(E7*11.375),(360+E7)*11.375)</f>
        <v>2724.3125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2724.3125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41.1</v>
      </c>
      <c r="D8" s="24">
        <v>180</v>
      </c>
      <c r="E8" s="68">
        <f t="shared" ref="E8:E18" si="0">(ABS(C8)-ABS(D8))</f>
        <v>-138.9</v>
      </c>
      <c r="F8" s="68">
        <f t="shared" ref="F8:F18" si="1">IF(E8&gt;=0,(E8*11.375),(360+E8)*11.375)</f>
        <v>2515.0124999999998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2515.0124999999998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280.7</v>
      </c>
      <c r="D9" s="24">
        <v>180</v>
      </c>
      <c r="E9" s="68">
        <f t="shared" si="0"/>
        <v>100.69999999999999</v>
      </c>
      <c r="F9" s="68">
        <f t="shared" si="1"/>
        <v>1145.4624999999999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1145.4624999999999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182.2</v>
      </c>
      <c r="D10" s="24">
        <v>180</v>
      </c>
      <c r="E10" s="68">
        <f t="shared" si="0"/>
        <v>2.1999999999999886</v>
      </c>
      <c r="F10" s="68">
        <f t="shared" si="1"/>
        <v>25.024999999999871</v>
      </c>
      <c r="G10" s="73">
        <v>-120</v>
      </c>
      <c r="H10" s="73">
        <v>0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25.024999999999871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215.5</v>
      </c>
      <c r="D11" s="24">
        <v>180</v>
      </c>
      <c r="E11" s="68">
        <f t="shared" si="0"/>
        <v>35.5</v>
      </c>
      <c r="F11" s="68">
        <f t="shared" si="1"/>
        <v>403.8125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403.8125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222.7</v>
      </c>
      <c r="D12" s="24">
        <v>180</v>
      </c>
      <c r="E12" s="68">
        <f t="shared" si="0"/>
        <v>42.699999999999989</v>
      </c>
      <c r="F12" s="68">
        <f t="shared" si="1"/>
        <v>485.71249999999986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485.71249999999986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-5.5</v>
      </c>
      <c r="D13" s="24">
        <v>-180</v>
      </c>
      <c r="E13" s="68">
        <f t="shared" si="0"/>
        <v>-174.5</v>
      </c>
      <c r="F13" s="68">
        <f t="shared" si="1"/>
        <v>2110.0625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2110.0625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-191.2</v>
      </c>
      <c r="D14" s="24">
        <v>-180</v>
      </c>
      <c r="E14" s="68">
        <f t="shared" si="0"/>
        <v>11.199999999999989</v>
      </c>
      <c r="F14" s="68">
        <f t="shared" si="1"/>
        <v>127.39999999999986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127.39999999999986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-91.8</v>
      </c>
      <c r="D15" s="24">
        <v>-180</v>
      </c>
      <c r="E15" s="68">
        <f t="shared" si="0"/>
        <v>-88.2</v>
      </c>
      <c r="F15" s="68">
        <f t="shared" si="1"/>
        <v>3091.7249999999999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3091.7249999999999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-257.10000000000002</v>
      </c>
      <c r="D16" s="24">
        <v>-180</v>
      </c>
      <c r="E16" s="68">
        <f t="shared" si="0"/>
        <v>77.100000000000023</v>
      </c>
      <c r="F16" s="68">
        <f t="shared" si="1"/>
        <v>877.01250000000027</v>
      </c>
      <c r="G16" s="73">
        <v>-120</v>
      </c>
      <c r="H16" s="73">
        <v>0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877.01250000000027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-348.7</v>
      </c>
      <c r="D17" s="24">
        <v>-180</v>
      </c>
      <c r="E17" s="68">
        <f t="shared" si="0"/>
        <v>168.7</v>
      </c>
      <c r="F17" s="68">
        <f t="shared" si="1"/>
        <v>1918.9624999999999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1918.9624999999999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-337.7</v>
      </c>
      <c r="D18" s="24">
        <v>-180</v>
      </c>
      <c r="E18" s="68">
        <f t="shared" si="0"/>
        <v>157.69999999999999</v>
      </c>
      <c r="F18" s="68">
        <f t="shared" si="1"/>
        <v>1793.8374999999999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1793.8374999999999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282</v>
      </c>
      <c r="T23" s="41" t="s">
        <v>287</v>
      </c>
      <c r="U23" s="41" t="s">
        <v>288</v>
      </c>
      <c r="V23" s="41" t="s">
        <v>289</v>
      </c>
      <c r="W23" s="78" t="s">
        <v>290</v>
      </c>
      <c r="X23" s="78" t="s">
        <v>291</v>
      </c>
      <c r="Y23" s="78" t="s">
        <v>292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500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500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150</v>
      </c>
      <c r="D30" s="24">
        <v>180</v>
      </c>
      <c r="E30" s="68">
        <f>(C30-D30)</f>
        <v>-30</v>
      </c>
      <c r="F30" s="68">
        <f>IF(E30&gt;=0,(E30*11.375),(360+E30)*11.375)</f>
        <v>3753.75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3753.75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124</v>
      </c>
      <c r="D31" s="24">
        <v>180</v>
      </c>
      <c r="E31" s="68">
        <f>(C31-D31)</f>
        <v>-56</v>
      </c>
      <c r="F31" s="68">
        <f>IF(E31&gt;=0,(E31*11.375),(360+E31)*11.375)</f>
        <v>3458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3458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319.3</v>
      </c>
      <c r="D32" s="24">
        <v>180</v>
      </c>
      <c r="E32" s="68">
        <f>(C32-D32)</f>
        <v>139.30000000000001</v>
      </c>
      <c r="F32" s="68">
        <f>IF(E32&gt;=0,(E32*11.375),(360+E32)*11.375)</f>
        <v>1584.5375000000001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1584.5375000000001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282</v>
      </c>
      <c r="T36" s="41" t="s">
        <v>287</v>
      </c>
      <c r="U36" s="41" t="s">
        <v>288</v>
      </c>
      <c r="V36" s="41" t="s">
        <v>289</v>
      </c>
      <c r="W36" s="78" t="s">
        <v>290</v>
      </c>
      <c r="X36" s="78" t="s">
        <v>291</v>
      </c>
      <c r="Y36" s="78" t="s">
        <v>292</v>
      </c>
    </row>
    <row r="37" spans="1:25" ht="18.75">
      <c r="A37" s="26">
        <v>0</v>
      </c>
      <c r="B37" s="44" t="s">
        <v>39</v>
      </c>
      <c r="C37" s="79">
        <v>-288.39999999999998</v>
      </c>
      <c r="D37" s="24">
        <v>-180</v>
      </c>
      <c r="E37" s="68">
        <f>(ABS(C37)-ABS(D37))</f>
        <v>108.39999999999998</v>
      </c>
      <c r="F37" s="68">
        <f>IF(E37&gt;=0,(E37*11.375),(360+E37)*11.375)</f>
        <v>1233.0499999999997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1233.0499999999997</v>
      </c>
      <c r="O37" s="66">
        <v>-30</v>
      </c>
      <c r="P37" s="66">
        <v>10</v>
      </c>
      <c r="Q37" s="66">
        <v>-30</v>
      </c>
      <c r="R37" s="66">
        <v>10</v>
      </c>
      <c r="S37" s="67">
        <v>0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>
        <v>-165.3</v>
      </c>
      <c r="D38" s="24">
        <v>-315</v>
      </c>
      <c r="E38" s="68">
        <f>(ABS(C38)-ABS(D38))</f>
        <v>-149.69999999999999</v>
      </c>
      <c r="F38" s="68">
        <f>IF(E38&gt;=0,(E38*11.375),(360+E38)*11.375)</f>
        <v>2392.1624999999999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2392.1624999999999</v>
      </c>
      <c r="O38" s="66">
        <v>30</v>
      </c>
      <c r="P38" s="66">
        <v>10</v>
      </c>
      <c r="Q38" s="66">
        <v>30</v>
      </c>
      <c r="R38" s="66">
        <v>10</v>
      </c>
      <c r="S38" s="67">
        <v>0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>
        <v>-463.6</v>
      </c>
      <c r="D39" s="24">
        <f>-L39/-K39</f>
        <v>24.257819103972956</v>
      </c>
      <c r="E39" s="69">
        <f>ABS((+C39/(40/65)-(C37-C38)/(40/65)))-ABS(180)</f>
        <v>373.31250000000011</v>
      </c>
      <c r="F39" s="69">
        <f>IF(E39&gt;=0,(E39*11.375),(360+E39)*11.375)</f>
        <v>4246.4296875000009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4246.4296875000009</v>
      </c>
      <c r="O39" s="71">
        <v>0</v>
      </c>
      <c r="P39" s="66">
        <v>10</v>
      </c>
      <c r="Q39" s="71">
        <v>0</v>
      </c>
      <c r="R39" s="66">
        <v>10</v>
      </c>
      <c r="S39" s="67">
        <v>0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>
        <v>-219.3</v>
      </c>
      <c r="D40" s="24">
        <v>-180</v>
      </c>
      <c r="E40" s="68">
        <f>(ABS(C40)-ABS(D40))</f>
        <v>39.300000000000011</v>
      </c>
      <c r="F40" s="68">
        <f>IF(E40&gt;=0,(E40*11.375),(360+E40)*11.375)</f>
        <v>447.03750000000014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447.03750000000014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500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0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0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593.33333333333337</v>
      </c>
      <c r="E44" s="31"/>
      <c r="F44" s="31"/>
      <c r="G44" s="71">
        <v>0</v>
      </c>
      <c r="H44" s="71">
        <v>60</v>
      </c>
      <c r="I44" s="81">
        <v>1780</v>
      </c>
      <c r="J44" s="81">
        <v>1960</v>
      </c>
      <c r="K44" s="27">
        <f>(J44-I44)/(H44-G44)</f>
        <v>3</v>
      </c>
      <c r="L44" s="71">
        <f>ABS(+D44*K44)</f>
        <v>1780</v>
      </c>
      <c r="M44" s="71">
        <v>100</v>
      </c>
      <c r="N44" s="71">
        <v>0</v>
      </c>
      <c r="O44" s="71">
        <v>0</v>
      </c>
      <c r="P44" s="66">
        <v>100</v>
      </c>
      <c r="Q44" s="71">
        <v>0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287</v>
      </c>
      <c r="U47" s="41" t="s">
        <v>288</v>
      </c>
      <c r="V47" s="41" t="s">
        <v>289</v>
      </c>
      <c r="W47" s="78" t="s">
        <v>290</v>
      </c>
      <c r="X47" s="78" t="s">
        <v>291</v>
      </c>
      <c r="Y47" s="78" t="s">
        <v>292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19.033683048039755</v>
      </c>
      <c r="E48" s="31"/>
      <c r="F48" s="31"/>
      <c r="G48" s="71">
        <v>0</v>
      </c>
      <c r="H48" s="71">
        <v>90</v>
      </c>
      <c r="I48" s="81">
        <v>383</v>
      </c>
      <c r="J48" s="81">
        <v>2194</v>
      </c>
      <c r="K48" s="27">
        <f t="shared" ref="K48:K54" si="5">(J48-I48)/(H48-G48)</f>
        <v>20.122222222222224</v>
      </c>
      <c r="L48" s="71">
        <f>ABS(D48*K48)</f>
        <v>383</v>
      </c>
      <c r="M48" s="71">
        <v>10</v>
      </c>
      <c r="N48" s="71">
        <v>0</v>
      </c>
      <c r="O48" s="71">
        <v>0</v>
      </c>
      <c r="P48" s="71">
        <v>100</v>
      </c>
      <c r="Q48" s="71">
        <v>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-100</v>
      </c>
      <c r="E49" s="31"/>
      <c r="F49" s="31"/>
      <c r="G49" s="71">
        <v>0</v>
      </c>
      <c r="H49" s="71">
        <v>90</v>
      </c>
      <c r="I49" s="60">
        <v>250</v>
      </c>
      <c r="J49" s="60">
        <v>25</v>
      </c>
      <c r="K49" s="27">
        <f>(J49-I49)/(H49-G49)</f>
        <v>-2.5</v>
      </c>
      <c r="L49" s="71">
        <f>I49</f>
        <v>250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-200.93023255813955</v>
      </c>
      <c r="E50" s="31"/>
      <c r="F50" s="31"/>
      <c r="G50" s="71">
        <v>0</v>
      </c>
      <c r="H50" s="71">
        <v>180</v>
      </c>
      <c r="I50" s="60">
        <v>480</v>
      </c>
      <c r="J50" s="60">
        <v>50</v>
      </c>
      <c r="K50" s="27">
        <f t="shared" si="5"/>
        <v>-2.3888888888888888</v>
      </c>
      <c r="L50" s="71">
        <f>J50</f>
        <v>50</v>
      </c>
      <c r="M50" s="71">
        <v>10</v>
      </c>
      <c r="N50" s="71">
        <v>6600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-100.71428571428571</v>
      </c>
      <c r="E51" s="31"/>
      <c r="F51" s="31"/>
      <c r="G51" s="71">
        <v>0</v>
      </c>
      <c r="H51" s="71">
        <v>90</v>
      </c>
      <c r="I51" s="60">
        <v>235</v>
      </c>
      <c r="J51" s="60">
        <v>25</v>
      </c>
      <c r="K51" s="27">
        <f t="shared" si="5"/>
        <v>-2.3333333333333335</v>
      </c>
      <c r="L51" s="71">
        <f>I51</f>
        <v>235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-196.36363636363635</v>
      </c>
      <c r="E52" s="31"/>
      <c r="F52" s="31"/>
      <c r="G52" s="71">
        <v>0</v>
      </c>
      <c r="H52" s="71">
        <v>180</v>
      </c>
      <c r="I52" s="60">
        <v>480</v>
      </c>
      <c r="J52" s="60">
        <v>40</v>
      </c>
      <c r="K52" s="27">
        <f t="shared" si="5"/>
        <v>-2.4444444444444446</v>
      </c>
      <c r="L52" s="71">
        <f>J52</f>
        <v>40</v>
      </c>
      <c r="M52" s="71">
        <v>10</v>
      </c>
      <c r="N52" s="71">
        <v>6600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-100</v>
      </c>
      <c r="E53" s="31"/>
      <c r="F53" s="31"/>
      <c r="G53" s="71">
        <v>0</v>
      </c>
      <c r="H53" s="71">
        <v>90</v>
      </c>
      <c r="I53" s="60">
        <v>250</v>
      </c>
      <c r="J53" s="60">
        <v>25</v>
      </c>
      <c r="K53" s="27">
        <f t="shared" si="5"/>
        <v>-2.5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-200.93959731543623</v>
      </c>
      <c r="E54" s="31"/>
      <c r="F54" s="31"/>
      <c r="G54" s="71">
        <v>0</v>
      </c>
      <c r="H54" s="71">
        <v>180</v>
      </c>
      <c r="I54" s="60">
        <v>499</v>
      </c>
      <c r="J54" s="60">
        <v>52</v>
      </c>
      <c r="K54" s="27">
        <f t="shared" si="5"/>
        <v>-2.4833333333333334</v>
      </c>
      <c r="L54" s="71">
        <f>J54</f>
        <v>52</v>
      </c>
      <c r="M54" s="71">
        <v>10</v>
      </c>
      <c r="N54" s="71">
        <v>-6600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-335.85365853658539</v>
      </c>
      <c r="E55" s="31"/>
      <c r="F55" s="31"/>
      <c r="G55" s="71">
        <v>0</v>
      </c>
      <c r="H55" s="71">
        <v>270</v>
      </c>
      <c r="I55" s="60">
        <v>765</v>
      </c>
      <c r="J55" s="60">
        <v>150</v>
      </c>
      <c r="K55" s="27">
        <f>(J55-I55)/(H55-G55)</f>
        <v>-2.2777777777777777</v>
      </c>
      <c r="L55" s="71">
        <f>I55</f>
        <v>765</v>
      </c>
      <c r="M55" s="71">
        <v>10</v>
      </c>
      <c r="N55" s="71">
        <v>14000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282</v>
      </c>
      <c r="T58" s="41" t="s">
        <v>287</v>
      </c>
      <c r="U58" s="41" t="s">
        <v>288</v>
      </c>
      <c r="V58" s="41" t="s">
        <v>289</v>
      </c>
      <c r="W58" s="78" t="s">
        <v>290</v>
      </c>
      <c r="X58" s="78" t="s">
        <v>291</v>
      </c>
      <c r="Y58" s="78" t="s">
        <v>292</v>
      </c>
    </row>
    <row r="59" spans="1:25" ht="18.75">
      <c r="A59" s="26">
        <v>0</v>
      </c>
      <c r="B59" s="44" t="s">
        <v>57</v>
      </c>
      <c r="C59" s="23">
        <v>141.1</v>
      </c>
      <c r="D59" s="24">
        <v>180</v>
      </c>
      <c r="E59" s="68">
        <f>(ABS(C59)-ABS(D59))</f>
        <v>-38.900000000000006</v>
      </c>
      <c r="F59" s="68">
        <f>IF(E59&gt;=0,(E59*11.375),(360+E59)*11.375)</f>
        <v>3652.5125000000003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3652.5125000000003</v>
      </c>
      <c r="O59" s="66">
        <v>-30</v>
      </c>
      <c r="P59" s="66">
        <v>10</v>
      </c>
      <c r="Q59" s="66">
        <v>-30</v>
      </c>
      <c r="R59" s="66">
        <v>10</v>
      </c>
      <c r="S59" s="67">
        <v>0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56.4</v>
      </c>
      <c r="D60" s="24">
        <f>45</f>
        <v>45</v>
      </c>
      <c r="E60" s="68">
        <f>(ABS(C60)-ABS(D60))</f>
        <v>11.399999999999999</v>
      </c>
      <c r="F60" s="68">
        <f>IF(E60&gt;=0,(E60*11.375),(360+E60)*11.375)</f>
        <v>129.67499999999998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129.67499999999998</v>
      </c>
      <c r="O60" s="66">
        <v>30</v>
      </c>
      <c r="P60" s="66">
        <v>10</v>
      </c>
      <c r="Q60" s="66">
        <v>30</v>
      </c>
      <c r="R60" s="66">
        <v>10</v>
      </c>
      <c r="S60" s="67">
        <v>0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309.7</v>
      </c>
      <c r="D61" s="24">
        <f>L61/K61</f>
        <v>245.74218089602704</v>
      </c>
      <c r="E61" s="69">
        <f>ABS((+C61/(40/65)-(C59-C60)/(40/65)))-ABS(180)</f>
        <v>185.625</v>
      </c>
      <c r="F61" s="69">
        <f>IF(E61&gt;=0,(E61*11.375),(360+E61)*11.375)</f>
        <v>2111.484375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2111.484375</v>
      </c>
      <c r="O61" s="71">
        <v>0</v>
      </c>
      <c r="P61" s="66">
        <v>10</v>
      </c>
      <c r="Q61" s="71">
        <v>0</v>
      </c>
      <c r="R61" s="66">
        <v>10</v>
      </c>
      <c r="S61" s="67">
        <v>0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337</v>
      </c>
      <c r="D62" s="24">
        <v>180</v>
      </c>
      <c r="E62" s="68">
        <f>(ABS(C62)-ABS(D62))</f>
        <v>157</v>
      </c>
      <c r="F62" s="68">
        <f>IF(E62&gt;=0,(E62*11.375),(360+E62)*11.375)</f>
        <v>1785.875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1785.875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500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0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760</v>
      </c>
      <c r="E66" s="31"/>
      <c r="F66" s="31"/>
      <c r="G66" s="66">
        <v>0</v>
      </c>
      <c r="H66" s="66">
        <v>60</v>
      </c>
      <c r="I66" s="81">
        <v>1900</v>
      </c>
      <c r="J66" s="81">
        <v>2050</v>
      </c>
      <c r="K66" s="51">
        <f>(J66-I66)/(H66-G66)</f>
        <v>2.5</v>
      </c>
      <c r="L66" s="66">
        <f>ABS(+D66*K66)</f>
        <v>1900</v>
      </c>
      <c r="M66" s="66">
        <v>100</v>
      </c>
      <c r="N66" s="66">
        <v>0</v>
      </c>
      <c r="O66" s="71">
        <v>0</v>
      </c>
      <c r="P66" s="66">
        <v>100</v>
      </c>
      <c r="Q66" s="71">
        <v>0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287</v>
      </c>
      <c r="U69" s="41" t="s">
        <v>288</v>
      </c>
      <c r="V69" s="41" t="s">
        <v>289</v>
      </c>
      <c r="W69" s="78" t="s">
        <v>290</v>
      </c>
      <c r="X69" s="78" t="s">
        <v>291</v>
      </c>
      <c r="Y69" s="78" t="s">
        <v>292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25.636363636363637</v>
      </c>
      <c r="E70" s="31"/>
      <c r="F70" s="31"/>
      <c r="G70" s="71">
        <v>0</v>
      </c>
      <c r="H70" s="71">
        <v>90</v>
      </c>
      <c r="I70" s="81">
        <v>470</v>
      </c>
      <c r="J70" s="81">
        <v>2120</v>
      </c>
      <c r="K70" s="27">
        <f t="shared" ref="K70:K77" si="7">(J70-I70)/(H70-G70)</f>
        <v>18.333333333333332</v>
      </c>
      <c r="L70" s="66">
        <f>ABS(D70*K70)</f>
        <v>470</v>
      </c>
      <c r="M70" s="71">
        <v>10</v>
      </c>
      <c r="N70" s="71">
        <v>0</v>
      </c>
      <c r="O70" s="71">
        <v>0</v>
      </c>
      <c r="P70" s="71">
        <v>100</v>
      </c>
      <c r="Q70" s="71">
        <v>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-99.825327510917035</v>
      </c>
      <c r="E71" s="31"/>
      <c r="F71" s="31"/>
      <c r="G71" s="71">
        <v>0</v>
      </c>
      <c r="H71" s="71">
        <v>90</v>
      </c>
      <c r="I71" s="60">
        <v>254</v>
      </c>
      <c r="J71" s="60">
        <v>25</v>
      </c>
      <c r="K71" s="27">
        <f t="shared" si="7"/>
        <v>-2.5444444444444443</v>
      </c>
      <c r="L71" s="71">
        <f>I71</f>
        <v>254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-191.51385927505331</v>
      </c>
      <c r="E72" s="31"/>
      <c r="F72" s="31"/>
      <c r="G72" s="71">
        <v>0</v>
      </c>
      <c r="H72" s="71">
        <v>180</v>
      </c>
      <c r="I72" s="60">
        <v>499</v>
      </c>
      <c r="J72" s="60">
        <v>30</v>
      </c>
      <c r="K72" s="27">
        <f t="shared" si="7"/>
        <v>-2.6055555555555556</v>
      </c>
      <c r="L72" s="71">
        <f>+J72</f>
        <v>30</v>
      </c>
      <c r="M72" s="71">
        <v>10</v>
      </c>
      <c r="N72" s="71">
        <v>6600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-99.825327510917035</v>
      </c>
      <c r="E73" s="31"/>
      <c r="F73" s="31"/>
      <c r="G73" s="71">
        <v>0</v>
      </c>
      <c r="H73" s="71">
        <v>90</v>
      </c>
      <c r="I73" s="60">
        <v>254</v>
      </c>
      <c r="J73" s="60">
        <v>25</v>
      </c>
      <c r="K73" s="27">
        <f t="shared" si="7"/>
        <v>-2.5444444444444443</v>
      </c>
      <c r="L73" s="71">
        <f>I73</f>
        <v>254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-191.51385927505331</v>
      </c>
      <c r="E74" s="31"/>
      <c r="F74" s="31"/>
      <c r="G74" s="71">
        <v>0</v>
      </c>
      <c r="H74" s="71">
        <v>180</v>
      </c>
      <c r="I74" s="60">
        <v>499</v>
      </c>
      <c r="J74" s="60">
        <v>30</v>
      </c>
      <c r="K74" s="27">
        <f t="shared" si="7"/>
        <v>-2.6055555555555556</v>
      </c>
      <c r="L74" s="71">
        <f>+J74</f>
        <v>30</v>
      </c>
      <c r="M74" s="71">
        <v>10</v>
      </c>
      <c r="N74" s="71">
        <v>-6600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-195.30201342281879</v>
      </c>
      <c r="E76" s="31"/>
      <c r="F76" s="31"/>
      <c r="G76" s="71">
        <v>0</v>
      </c>
      <c r="H76" s="71">
        <v>180</v>
      </c>
      <c r="I76" s="60">
        <v>485</v>
      </c>
      <c r="J76" s="60">
        <v>38</v>
      </c>
      <c r="K76" s="27">
        <f t="shared" si="7"/>
        <v>-2.4833333333333334</v>
      </c>
      <c r="L76" s="71">
        <f>J76</f>
        <v>38</v>
      </c>
      <c r="M76" s="71">
        <v>10</v>
      </c>
      <c r="N76" s="71">
        <v>6600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-325.93800978792825</v>
      </c>
      <c r="E77" s="31"/>
      <c r="F77" s="31"/>
      <c r="G77" s="71">
        <v>0</v>
      </c>
      <c r="H77" s="71">
        <v>270</v>
      </c>
      <c r="I77" s="60">
        <v>740</v>
      </c>
      <c r="J77" s="60">
        <v>127</v>
      </c>
      <c r="K77" s="27">
        <f t="shared" si="7"/>
        <v>-2.2703703703703701</v>
      </c>
      <c r="L77" s="71">
        <v>738</v>
      </c>
      <c r="M77" s="71">
        <v>10</v>
      </c>
      <c r="N77" s="71">
        <v>14000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285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286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283</v>
      </c>
      <c r="B93" s="62"/>
      <c r="C93" s="3"/>
      <c r="D93" s="3"/>
    </row>
    <row r="94" spans="1:5" ht="21">
      <c r="A94" s="63" t="s">
        <v>280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293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279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279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281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0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0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-120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-120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2724.3125</v>
      </c>
      <c r="C95" s="61">
        <f>+INDEX(Sheet1!$N$7:$N20,COLUMN()-COLUMN($B$91)+1)</f>
        <v>2515.0124999999998</v>
      </c>
      <c r="D95" s="61">
        <f>+INDEX(Sheet1!$N$7:$N20,COLUMN()-COLUMN($B$91)+1)</f>
        <v>1145.4624999999999</v>
      </c>
      <c r="E95" s="61">
        <f>+INDEX(Sheet1!$N$7:$N20,COLUMN()-COLUMN($B$91)+1)</f>
        <v>25.024999999999871</v>
      </c>
      <c r="F95" s="61">
        <f>+INDEX(Sheet1!$N$7:$N20,COLUMN()-COLUMN($B$91)+1)</f>
        <v>403.8125</v>
      </c>
      <c r="G95" s="61">
        <f>+INDEX(Sheet1!$N$7:$N20,COLUMN()-COLUMN($B$91)+1)</f>
        <v>485.71249999999986</v>
      </c>
      <c r="H95" s="61">
        <f>+INDEX(Sheet1!$N$7:$N20,COLUMN()-COLUMN($B$91)+1)</f>
        <v>2110.0625</v>
      </c>
      <c r="I95" s="61">
        <f>+INDEX(Sheet1!$N$7:$N20,COLUMN()-COLUMN($B$91)+1)</f>
        <v>127.39999999999986</v>
      </c>
      <c r="J95" s="61">
        <f>+INDEX(Sheet1!$N$7:$N20,COLUMN()-COLUMN($B$91)+1)</f>
        <v>3091.7249999999999</v>
      </c>
      <c r="K95" s="61">
        <f>+INDEX(Sheet1!$N$7:$N20,COLUMN()-COLUMN($B$91)+1)</f>
        <v>877.01250000000027</v>
      </c>
      <c r="L95" s="61">
        <f>+INDEX(Sheet1!$N$7:$N20,COLUMN()-COLUMN($B$91)+1)</f>
        <v>1918.9624999999999</v>
      </c>
      <c r="M95" s="61">
        <f>+INDEX(Sheet1!$N$7:$N20,COLUMN()-COLUMN($B$91)+1)</f>
        <v>1793.8374999999999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67" zoomScaleNormal="100" workbookViewId="0">
      <selection activeCell="F65" sqref="F65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279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</v>
      </c>
    </row>
    <row r="50" spans="1:9">
      <c r="A50" t="s">
        <v>222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593.33333333333337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1780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1233.0499999999997</v>
      </c>
      <c r="C82" s="21">
        <f>+INDEX(Sheet1!$N$37:$N$44,COLUMN()-COLUMN($B$82)+1)</f>
        <v>2392.1624999999999</v>
      </c>
      <c r="D82" s="21">
        <f>+INDEX(Sheet1!$N$37:$N$44,COLUMN()-COLUMN($B$82)+1)</f>
        <v>4246.4296875000009</v>
      </c>
      <c r="E82" s="21">
        <f>+INDEX(Sheet1!$N$37:$N$44,COLUMN()-COLUMN($B$82)+1)</f>
        <v>447.03750000000014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81" zoomScaleNormal="100" workbookViewId="0">
      <selection activeCell="G80" sqref="G80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278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267</v>
      </c>
    </row>
    <row r="36" spans="1:9">
      <c r="A36" t="s">
        <v>269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20.122222222222224</v>
      </c>
      <c r="C49" s="34">
        <f>+INDEX(Sheet1!$K$48:$K$56,COLUMN()-COLUMN($B$83)+1)</f>
        <v>-2.5</v>
      </c>
      <c r="D49" s="34">
        <f>+INDEX(Sheet1!$K$48:$K$56,COLUMN()-COLUMN($B$83)+1)</f>
        <v>-2.3888888888888888</v>
      </c>
      <c r="E49" s="34">
        <f>+INDEX(Sheet1!$K$48:$K$56,COLUMN()-COLUMN($B$83)+1)</f>
        <v>-2.3333333333333335</v>
      </c>
      <c r="F49" s="34">
        <f>+INDEX(Sheet1!$K$48:$K$56,COLUMN()-COLUMN($B$83)+1)</f>
        <v>-2.4444444444444446</v>
      </c>
      <c r="G49" s="34">
        <f>+INDEX(Sheet1!$K$48:$K$56,COLUMN()-COLUMN($B$83)+1)</f>
        <v>-2.5</v>
      </c>
      <c r="H49" s="34">
        <f>+INDEX(Sheet1!$K$48:$K$56,COLUMN()-COLUMN($B$83)+1)</f>
        <v>-2.4833333333333334</v>
      </c>
      <c r="I49" s="34">
        <f>+INDEX(Sheet1!$K$48:$K$56,COLUMN()-COLUMN($B$83)+1)</f>
        <v>-2.2777777777777777</v>
      </c>
    </row>
    <row r="50" spans="1:9">
      <c r="A50" t="s">
        <v>222</v>
      </c>
      <c r="B50" s="34">
        <f>+INDEX(Sheet1!$D$48:$D$56,COLUMN()-COLUMN($B$83)+1)++INDEX(Sheet1!$S$48:$S$56,COLUMN()-COLUMN($B$83)+1)</f>
        <v>19.033683048039755</v>
      </c>
      <c r="C50" s="34">
        <f>+INDEX(Sheet1!$D$48:$D$56,COLUMN()-COLUMN($B$83)+1)++INDEX(Sheet1!$S$48:$S$56,COLUMN()-COLUMN($B$83)+1)</f>
        <v>-100</v>
      </c>
      <c r="D50" s="34">
        <f>+INDEX(Sheet1!$D$48:$D$56,COLUMN()-COLUMN($B$83)+1)++INDEX(Sheet1!$S$48:$S$56,COLUMN()-COLUMN($B$83)+1)</f>
        <v>-200.93023255813955</v>
      </c>
      <c r="E50" s="34">
        <f>+INDEX(Sheet1!$D$48:$D$56,COLUMN()-COLUMN($B$83)+1)++INDEX(Sheet1!$S$48:$S$56,COLUMN()-COLUMN($B$83)+1)</f>
        <v>-100.71428571428571</v>
      </c>
      <c r="F50" s="34">
        <f>+INDEX(Sheet1!$D$48:$D$56,COLUMN()-COLUMN($B$83)+1)++INDEX(Sheet1!$S$48:$S$56,COLUMN()-COLUMN($B$83)+1)</f>
        <v>-196.36363636363635</v>
      </c>
      <c r="G50" s="34">
        <f>+INDEX(Sheet1!$D$48:$D$56,COLUMN()-COLUMN($B$83)+1)++INDEX(Sheet1!$S$48:$S$56,COLUMN()-COLUMN($B$83)+1)</f>
        <v>-100</v>
      </c>
      <c r="H50" s="34">
        <f>+INDEX(Sheet1!$D$48:$D$56,COLUMN()-COLUMN($B$83)+1)++INDEX(Sheet1!$S$48:$S$56,COLUMN()-COLUMN($B$83)+1)</f>
        <v>-200.93959731543623</v>
      </c>
      <c r="I50" s="34">
        <f>+INDEX(Sheet1!$D$48:$D$56,COLUMN()-COLUMN($B$83)+1)++INDEX(Sheet1!$S$48:$S$56,COLUMN()-COLUMN($B$83)+1)</f>
        <v>-335.85365853658539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232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383</v>
      </c>
      <c r="C80" s="21">
        <f>+INDEX(Sheet1!$L$48:$L$56,COLUMN()-COLUMN($B$81)+1)</f>
        <v>250</v>
      </c>
      <c r="D80" s="21">
        <f>+INDEX(Sheet1!$L$48:$L$56,COLUMN()-COLUMN($B$81)+1)</f>
        <v>50</v>
      </c>
      <c r="E80" s="21">
        <f>+INDEX(Sheet1!$L$48:$L$56,COLUMN()-COLUMN($B$81)+1)</f>
        <v>235</v>
      </c>
      <c r="F80" s="21">
        <f>+INDEX(Sheet1!$L$48:$L$56,COLUMN()-COLUMN($B$81)+1)</f>
        <v>40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765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133</v>
      </c>
      <c r="B83" s="21">
        <f>+INDEX(Sheet1!$O$48:$O$56,COLUMN()-COLUMN($B$81)+1)</f>
        <v>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abSelected="1" topLeftCell="A54" zoomScale="85" zoomScaleNormal="85" workbookViewId="0">
      <selection activeCell="F65" sqref="F65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253</v>
      </c>
      <c r="B32" t="s">
        <v>279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2.5</v>
      </c>
    </row>
    <row r="50" spans="1:9">
      <c r="A50" t="s">
        <v>222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760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500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1900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3652.5125000000003</v>
      </c>
      <c r="C82" s="21">
        <f>+INDEX(Sheet1!$N$59:$N$66,COLUMN()-COLUMN($B$83)+1)</f>
        <v>129.67499999999998</v>
      </c>
      <c r="D82" s="21">
        <f>+INDEX(Sheet1!$N$59:$N$66,COLUMN()-COLUMN($B$83)+1)</f>
        <v>2111.484375</v>
      </c>
      <c r="E82" s="21">
        <f>+INDEX(Sheet1!$N$59:$N$66,COLUMN()-COLUMN($B$83)+1)</f>
        <v>1785.875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26" zoomScaleNormal="100" workbookViewId="0">
      <selection activeCell="A40" sqref="A40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276</v>
      </c>
    </row>
    <row r="34" spans="1:9">
      <c r="A34" t="s">
        <v>277</v>
      </c>
    </row>
    <row r="35" spans="1:9">
      <c r="A35" t="s">
        <v>266</v>
      </c>
      <c r="B35" t="s">
        <v>278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267</v>
      </c>
    </row>
    <row r="39" spans="1:9">
      <c r="A39" t="s">
        <v>269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18.333333333333332</v>
      </c>
      <c r="C50" s="34">
        <f>+INDEX(Sheet1!$K$70:$K$77,COLUMN()-COLUMN($B$81)+1)</f>
        <v>-2.5444444444444443</v>
      </c>
      <c r="D50" s="34">
        <f>+INDEX(Sheet1!$K$70:$K$77,COLUMN()-COLUMN($B$81)+1)</f>
        <v>-2.6055555555555556</v>
      </c>
      <c r="E50" s="34">
        <f>+INDEX(Sheet1!$K$70:$K$77,COLUMN()-COLUMN($B$81)+1)</f>
        <v>-2.5444444444444443</v>
      </c>
      <c r="F50" s="34">
        <f>+INDEX(Sheet1!$K$70:$K$77,COLUMN()-COLUMN($B$81)+1)</f>
        <v>-2.6055555555555556</v>
      </c>
      <c r="G50" s="34">
        <f>+INDEX(Sheet1!$K$70:$K$77,COLUMN()-COLUMN($B$81)+1)</f>
        <v>-2.5</v>
      </c>
      <c r="H50" s="34">
        <f>+INDEX(Sheet1!$K$70:$K$77,COLUMN()-COLUMN($B$81)+1)</f>
        <v>-2.4833333333333334</v>
      </c>
      <c r="I50" s="34">
        <f>+INDEX(Sheet1!$K$70:$K$77,COLUMN()-COLUMN($B$81)+1)</f>
        <v>-2.2703703703703701</v>
      </c>
    </row>
    <row r="51" spans="1:9">
      <c r="A51" t="s">
        <v>222</v>
      </c>
      <c r="B51" s="34">
        <f>+INDEX(Sheet1!$D$70:$D$77,COLUMN()-COLUMN($B$81)+1)++INDEX(Sheet1!$S$70:$S$77,COLUMN()-COLUMN($B$81)+1)</f>
        <v>25.636363636363637</v>
      </c>
      <c r="C51" s="34">
        <f>+INDEX(Sheet1!$D$70:$D$77,COLUMN()-COLUMN($B$81)+1)++INDEX(Sheet1!$S$70:$S$77,COLUMN()-COLUMN($B$81)+1)</f>
        <v>-99.825327510917035</v>
      </c>
      <c r="D51" s="34">
        <f>+INDEX(Sheet1!$D$70:$D$77,COLUMN()-COLUMN($B$81)+1)++INDEX(Sheet1!$S$70:$S$77,COLUMN()-COLUMN($B$81)+1)</f>
        <v>-191.51385927505331</v>
      </c>
      <c r="E51" s="34">
        <f>+INDEX(Sheet1!$D$70:$D$77,COLUMN()-COLUMN($B$81)+1)++INDEX(Sheet1!$S$70:$S$77,COLUMN()-COLUMN($B$81)+1)</f>
        <v>-99.825327510917035</v>
      </c>
      <c r="F51" s="34">
        <f>+INDEX(Sheet1!$D$70:$D$77,COLUMN()-COLUMN($B$81)+1)++INDEX(Sheet1!$S$70:$S$77,COLUMN()-COLUMN($B$81)+1)</f>
        <v>-191.51385927505331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-195.30201342281879</v>
      </c>
      <c r="I51" s="34">
        <f>+INDEX(Sheet1!$D$70:$D$77,COLUMN()-COLUMN($B$81)+1)++INDEX(Sheet1!$S$70:$S$77,COLUMN()-COLUMN($B$81)+1)</f>
        <v>-325.93800978792825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232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470</v>
      </c>
      <c r="C81" s="21">
        <f>+INDEX(Sheet1!$L$70:$L$77,COLUMN()-COLUMN($B$79)+1)</f>
        <v>254</v>
      </c>
      <c r="D81" s="21">
        <f>+INDEX(Sheet1!$L$70:$L$77,COLUMN()-COLUMN($B$79)+1)</f>
        <v>30</v>
      </c>
      <c r="E81" s="21">
        <f>+INDEX(Sheet1!$L$70:$L$77,COLUMN()-COLUMN($B$79)+1)</f>
        <v>254</v>
      </c>
      <c r="F81" s="21">
        <f>+INDEX(Sheet1!$L$70:$L$77,COLUMN()-COLUMN($B$79)+1)</f>
        <v>30</v>
      </c>
      <c r="G81" s="21">
        <f>+INDEX(Sheet1!$L$70:$L$77,COLUMN()-COLUMN($B$79)+1)</f>
        <v>250</v>
      </c>
      <c r="H81" s="21">
        <f>+INDEX(Sheet1!$L$70:$L$77,COLUMN()-COLUMN($B$79)+1)</f>
        <v>38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133</v>
      </c>
      <c r="B84" s="21">
        <f>+INDEX(Sheet1!$O$70:$O$77,COLUMN()-COLUMN($B$79)+1)</f>
        <v>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5" zoomScale="85" zoomScaleNormal="85" workbookViewId="0">
      <selection activeCell="F68" sqref="F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3753.75</v>
      </c>
      <c r="I70" s="21">
        <f>+INDEX(Sheet1!$N$24:$N34,COLUMN()-COLUMN($B$69)+1)</f>
        <v>3458</v>
      </c>
      <c r="J70" s="21">
        <f>+INDEX(Sheet1!$N$24:$N34,COLUMN()-COLUMN($B$69)+1)</f>
        <v>1584.5375000000001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3753.75</v>
      </c>
      <c r="C25">
        <f>Head_Torso!I70</f>
        <v>3458</v>
      </c>
      <c r="D25">
        <f>Head_Torso!J70</f>
        <v>1584.5375000000001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1780</v>
      </c>
      <c r="J36">
        <f>Left_hand!B80</f>
        <v>383</v>
      </c>
      <c r="K36">
        <f>Left_hand!C80</f>
        <v>250</v>
      </c>
      <c r="L36">
        <f>Left_hand!D80</f>
        <v>50</v>
      </c>
      <c r="M36">
        <f>Left_hand!E80</f>
        <v>235</v>
      </c>
      <c r="N36">
        <f>Left_hand!F80</f>
        <v>40</v>
      </c>
      <c r="O36">
        <f>Left_hand!G80</f>
        <v>250</v>
      </c>
      <c r="P36">
        <f>Left_hand!H80</f>
        <v>52</v>
      </c>
      <c r="Q36">
        <f>Left_hand!I80</f>
        <v>765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1233.0499999999997</v>
      </c>
      <c r="C38">
        <f>Left_arm!C82</f>
        <v>2392.1624999999999</v>
      </c>
      <c r="D38">
        <f>Left_arm!D82</f>
        <v>4246.4296875000009</v>
      </c>
      <c r="E38">
        <f>Left_arm!E82</f>
        <v>447.03750000000014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1900</v>
      </c>
      <c r="J49">
        <f>Right_hand!B81</f>
        <v>470</v>
      </c>
      <c r="K49">
        <f>Right_hand!C81</f>
        <v>254</v>
      </c>
      <c r="L49">
        <f>Right_hand!D81</f>
        <v>30</v>
      </c>
      <c r="M49">
        <f>Right_hand!E81</f>
        <v>254</v>
      </c>
      <c r="N49">
        <f>Right_hand!F81</f>
        <v>30</v>
      </c>
      <c r="O49">
        <f>Right_hand!G81</f>
        <v>250</v>
      </c>
      <c r="P49">
        <f>Right_hand!H81</f>
        <v>38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3652.5125000000003</v>
      </c>
      <c r="C51">
        <f>Right_arm!C82</f>
        <v>129.67499999999998</v>
      </c>
      <c r="D51">
        <f>Right_arm!D82</f>
        <v>2111.484375</v>
      </c>
      <c r="E51">
        <f>Right_arm!E82</f>
        <v>1785.875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2110.0625</v>
      </c>
      <c r="C64">
        <f>Legs!I95</f>
        <v>127.39999999999986</v>
      </c>
      <c r="D64">
        <f>Legs!J95</f>
        <v>3091.7249999999999</v>
      </c>
      <c r="E64">
        <f>Legs!K95</f>
        <v>877.01250000000027</v>
      </c>
      <c r="F64">
        <f>Legs!L95</f>
        <v>1918.9624999999999</v>
      </c>
      <c r="G64">
        <f>Legs!M95</f>
        <v>1793.8374999999999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2724.3125</v>
      </c>
      <c r="C76">
        <f>Legs!C95</f>
        <v>2515.0124999999998</v>
      </c>
      <c r="D76">
        <f>Legs!D95</f>
        <v>1145.4624999999999</v>
      </c>
      <c r="E76">
        <f>Legs!E95</f>
        <v>25.024999999999871</v>
      </c>
      <c r="F76">
        <f>Legs!F95</f>
        <v>403.8125</v>
      </c>
      <c r="G76">
        <f>Legs!G95</f>
        <v>485.71249999999986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2010-05-11T08:40:11Z</dcterms:modified>
</cp:coreProperties>
</file>