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<sst xmlns="http://schemas.openxmlformats.org/spreadsheetml/2006/main" count="789" uniqueCount="296">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</sst>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13" zoomScale="55" zoomScaleNormal="55" workbookViewId="0">
      <selection activeCell="C31" sqref="C31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286</v>
      </c>
      <c r="P6" s="41" t="s">
        <v>250</v>
      </c>
      <c r="Q6" s="41" t="s">
        <v>206</v>
      </c>
      <c r="R6" s="41" t="s">
        <v>207</v>
      </c>
      <c r="S6" s="41" t="s">
        <v>284</v>
      </c>
      <c r="T6" s="41" t="s">
        <v>289</v>
      </c>
      <c r="U6" s="41" t="s">
        <v>290</v>
      </c>
      <c r="V6" s="41" t="s">
        <v>291</v>
      </c>
      <c r="W6" s="78" t="s">
        <v>292</v>
      </c>
      <c r="X6" s="78" t="s">
        <v>293</v>
      </c>
      <c r="Y6" s="78" t="s">
        <v>294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284</v>
      </c>
      <c r="T23" s="41" t="s">
        <v>289</v>
      </c>
      <c r="U23" s="41" t="s">
        <v>290</v>
      </c>
      <c r="V23" s="41" t="s">
        <v>291</v>
      </c>
      <c r="W23" s="78" t="s">
        <v>292</v>
      </c>
      <c r="X23" s="78" t="s">
        <v>293</v>
      </c>
      <c r="Y23" s="78" t="s">
        <v>294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284</v>
      </c>
      <c r="T36" s="41" t="s">
        <v>289</v>
      </c>
      <c r="U36" s="41" t="s">
        <v>290</v>
      </c>
      <c r="V36" s="41" t="s">
        <v>291</v>
      </c>
      <c r="W36" s="78" t="s">
        <v>292</v>
      </c>
      <c r="X36" s="78" t="s">
        <v>293</v>
      </c>
      <c r="Y36" s="78" t="s">
        <v>294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-248.4</v>
      </c>
      <c r="D39" s="24">
        <f>-L39/-K39</f>
        <v>24.257819103972956</v>
      </c>
      <c r="E39" s="69">
        <f>ABS((+C39/(40/65)-(C37-C38)/(40/65)))-ABS(180)</f>
        <v>23.61250000000004</v>
      </c>
      <c r="F39" s="69">
        <f>IF(E39&gt;=0,(E39*11.375),(360+E39)*11.375)</f>
        <v>268.59218750000048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268.59218750000048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550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0</v>
      </c>
      <c r="P44" s="66">
        <v>100</v>
      </c>
      <c r="Q44" s="71">
        <v>0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289</v>
      </c>
      <c r="U47" s="41" t="s">
        <v>290</v>
      </c>
      <c r="V47" s="41" t="s">
        <v>291</v>
      </c>
      <c r="W47" s="78" t="s">
        <v>292</v>
      </c>
      <c r="X47" s="78" t="s">
        <v>293</v>
      </c>
      <c r="Y47" s="78" t="s">
        <v>294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0</v>
      </c>
      <c r="P48" s="71">
        <v>100</v>
      </c>
      <c r="Q48" s="71">
        <v>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6500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6500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-6500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26000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284</v>
      </c>
      <c r="T58" s="41" t="s">
        <v>289</v>
      </c>
      <c r="U58" s="41" t="s">
        <v>290</v>
      </c>
      <c r="V58" s="41" t="s">
        <v>291</v>
      </c>
      <c r="W58" s="78" t="s">
        <v>292</v>
      </c>
      <c r="X58" s="78" t="s">
        <v>293</v>
      </c>
      <c r="Y58" s="78" t="s">
        <v>294</v>
      </c>
    </row>
    <row r="59" spans="1:25" ht="18.75">
      <c r="A59" s="26">
        <v>0</v>
      </c>
      <c r="B59" s="44" t="s">
        <v>57</v>
      </c>
      <c r="C59" s="23">
        <v>0</v>
      </c>
      <c r="D59" s="24">
        <v>180</v>
      </c>
      <c r="E59" s="68">
        <f>(ABS(C59)-ABS(D59))</f>
        <v>-180</v>
      </c>
      <c r="F59" s="68">
        <f>IF(E59&gt;=0,(E59*11.375),(360+E59)*11.375)</f>
        <v>2047.5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2047.5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0</v>
      </c>
      <c r="D60" s="24">
        <f>45</f>
        <v>45</v>
      </c>
      <c r="E60" s="68">
        <f>(ABS(C60)-ABS(D60))</f>
        <v>-45</v>
      </c>
      <c r="F60" s="68">
        <f>IF(E60&gt;=0,(E60*11.375),(360+E60)*11.375)</f>
        <v>3583.125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3583.125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12.5</v>
      </c>
      <c r="D61" s="24">
        <f>L61/K61</f>
        <v>245.74218089602704</v>
      </c>
      <c r="E61" s="69">
        <f>ABS((+C61/(40/65)-(C59-C60)/(40/65)))-ABS(180)</f>
        <v>-159.6875</v>
      </c>
      <c r="F61" s="69">
        <f>IF(E61&gt;=0,(E61*11.375),(360+E61)*11.375)</f>
        <v>2278.5546875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2278.5546875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550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0</v>
      </c>
      <c r="P66" s="66">
        <v>100</v>
      </c>
      <c r="Q66" s="71">
        <v>0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289</v>
      </c>
      <c r="U69" s="41" t="s">
        <v>290</v>
      </c>
      <c r="V69" s="41" t="s">
        <v>291</v>
      </c>
      <c r="W69" s="78" t="s">
        <v>292</v>
      </c>
      <c r="X69" s="78" t="s">
        <v>293</v>
      </c>
      <c r="Y69" s="78" t="s">
        <v>294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0</v>
      </c>
      <c r="P70" s="71">
        <v>100</v>
      </c>
      <c r="Q70" s="71">
        <v>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26000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287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288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285</v>
      </c>
      <c r="B93" s="62"/>
      <c r="C93" s="3"/>
      <c r="D93" s="3"/>
    </row>
    <row r="94" spans="1:5" ht="21">
      <c r="A94" s="63" t="s">
        <v>282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295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281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281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283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49" zoomScaleNormal="100" workbookViewId="0">
      <selection activeCell="D30" sqref="D3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281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268.59218750000048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0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0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43" zoomScaleNormal="100" workbookViewId="0">
      <selection activeCell="D69" sqref="D69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280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274</v>
      </c>
    </row>
    <row r="36" spans="1:9">
      <c r="A36" t="s">
        <v>275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+INDEX([1]Sheet1!$H$48:$H$77,COLUMN()-COLUMN($B$83)+1)</f>
        <v>90</v>
      </c>
      <c r="C60" s="21">
        <f>+INDEX([1]Sheet1!$H$48:$H$77,COLUMN()-COLUMN($B$83)+1)</f>
        <v>90</v>
      </c>
      <c r="D60" s="21">
        <f>+INDEX([1]Sheet1!$H$48:$H$77,COLUMN()-COLUMN($B$83)+1)</f>
        <v>180</v>
      </c>
      <c r="E60" s="21">
        <f>+INDEX([1]Sheet1!$H$48:$H$77,COLUMN()-COLUMN($B$83)+1)</f>
        <v>90</v>
      </c>
      <c r="F60" s="21">
        <f>+INDEX([1]Sheet1!$H$48:$H$77,COLUMN()-COLUMN($B$83)+1)</f>
        <v>180</v>
      </c>
      <c r="G60" s="21">
        <f>+INDEX([1]Sheet1!$H$48:$H$77,COLUMN()-COLUMN($B$83)+1)</f>
        <v>90</v>
      </c>
      <c r="H60" s="21">
        <f>+INDEX([1]Sheet1!$H$48:$H$77,COLUMN()-COLUMN($B$83)+1)</f>
        <v>180</v>
      </c>
      <c r="I60" s="21">
        <f>+INDEX([1]Sheet1!$H$48:$H$77,COLUMN()-COLUMN($B$83)+1)</f>
        <v>270</v>
      </c>
    </row>
    <row r="61" spans="1:9">
      <c r="A61" t="s">
        <v>232</v>
      </c>
      <c r="B61" s="21">
        <f>+INDEX([1]Sheet1!$G$48:$G$77,COLUMN()-COLUMN($B$83)+1)</f>
        <v>-10</v>
      </c>
      <c r="C61" s="21">
        <f>+INDEX([1]Sheet1!$G$48:$G$77,COLUMN()-COLUMN($B$83)+1)</f>
        <v>0</v>
      </c>
      <c r="D61" s="21">
        <f>+INDEX([1]Sheet1!$G$48:$G$77,COLUMN()-COLUMN($B$83)+1)</f>
        <v>0</v>
      </c>
      <c r="E61" s="21">
        <f>+INDEX([1]Sheet1!$G$48:$G$77,COLUMN()-COLUMN($B$83)+1)</f>
        <v>0</v>
      </c>
      <c r="F61" s="21">
        <f>+INDEX([1]Sheet1!$G$48:$G$77,COLUMN()-COLUMN($B$83)+1)</f>
        <v>0</v>
      </c>
      <c r="G61" s="21">
        <f>+INDEX([1]Sheet1!$G$48:$G$77,COLUMN()-COLUMN($B$83)+1)</f>
        <v>0</v>
      </c>
      <c r="H61" s="21">
        <f>+INDEX([1]Sheet1!$G$48:$G$77,COLUMN()-COLUMN($B$83)+1)</f>
        <v>0</v>
      </c>
      <c r="I61" s="21">
        <f>+INDEX([1]Sheet1!$G$48:$G$77,COLUMN()-COLUMN($B$83)+1)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6500</v>
      </c>
      <c r="E82" s="21">
        <f>+INDEX(Sheet1!$N$48:$N$56,COLUMN()-COLUMN($B$81)+1)</f>
        <v>6000</v>
      </c>
      <c r="F82" s="21">
        <f>+INDEX(Sheet1!$N$48:$N$56,COLUMN()-COLUMN($B$81)+1)</f>
        <v>6500</v>
      </c>
      <c r="G82" s="21">
        <f>+INDEX(Sheet1!$N$48:$N$56,COLUMN()-COLUMN($B$81)+1)</f>
        <v>6000</v>
      </c>
      <c r="H82" s="21">
        <f>+INDEX(Sheet1!$N$48:$N$56,COLUMN()-COLUMN($B$81)+1)</f>
        <v>-6500</v>
      </c>
      <c r="I82" s="21">
        <f>+INDEX(Sheet1!$N$48:$N$56,COLUMN()-COLUMN($B$81)+1)</f>
        <v>26000</v>
      </c>
    </row>
    <row r="83" spans="1:9">
      <c r="A83" t="s">
        <v>133</v>
      </c>
      <c r="B83" s="21">
        <f>+INDEX(Sheet1!$O$48:$O$56,COLUMN()-COLUMN($B$81)+1)</f>
        <v>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7" zoomScale="85" zoomScaleNormal="85" workbookViewId="0">
      <selection activeCell="F80" sqref="F80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276</v>
      </c>
    </row>
    <row r="31" spans="1:9">
      <c r="A31" t="s">
        <v>277</v>
      </c>
    </row>
    <row r="32" spans="1:9">
      <c r="A32" t="s">
        <v>253</v>
      </c>
      <c r="B32" t="s">
        <v>281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2047.5</v>
      </c>
      <c r="C82" s="21">
        <f>+INDEX(Sheet1!$N$59:$N$66,COLUMN()-COLUMN($B$83)+1)</f>
        <v>3583.125</v>
      </c>
      <c r="D82" s="21">
        <f>+INDEX(Sheet1!$N$59:$N$66,COLUMN()-COLUMN($B$83)+1)</f>
        <v>2278.5546875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0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0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7" zoomScaleNormal="100" workbookViewId="0">
      <selection activeCell="B76" sqref="B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278</v>
      </c>
    </row>
    <row r="34" spans="1:9">
      <c r="A34" t="s">
        <v>279</v>
      </c>
    </row>
    <row r="35" spans="1:9">
      <c r="A35" t="s">
        <v>266</v>
      </c>
      <c r="B35" t="s">
        <v>280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274</v>
      </c>
    </row>
    <row r="39" spans="1:9">
      <c r="A39" t="s">
        <v>275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+INDEX([1]Sheet1!$H$70:$H$77,COLUMN()-COLUMN($B$81)+1)</f>
        <v>90</v>
      </c>
      <c r="C61" s="21">
        <f>+INDEX([1]Sheet1!$H$70:$H$77,COLUMN()-COLUMN($B$81)+1)</f>
        <v>90</v>
      </c>
      <c r="D61" s="21">
        <f>+INDEX([1]Sheet1!$H$70:$H$77,COLUMN()-COLUMN($B$81)+1)</f>
        <v>180</v>
      </c>
      <c r="E61" s="21">
        <f>+INDEX([1]Sheet1!$H$70:$H$77,COLUMN()-COLUMN($B$81)+1)</f>
        <v>90</v>
      </c>
      <c r="F61" s="21">
        <f>+INDEX([1]Sheet1!$H$70:$H$77,COLUMN()-COLUMN($B$81)+1)</f>
        <v>180</v>
      </c>
      <c r="G61" s="21">
        <f>+INDEX([1]Sheet1!$H$70:$H$77,COLUMN()-COLUMN($B$81)+1)</f>
        <v>90</v>
      </c>
      <c r="H61" s="21">
        <f>+INDEX([1]Sheet1!$H$70:$H$77,COLUMN()-COLUMN($B$81)+1)</f>
        <v>180</v>
      </c>
      <c r="I61" s="21">
        <f>+INDEX([1]Sheet1!$H$70:$H$77,COLUMN()-COLUMN($B$81)+1)</f>
        <v>270</v>
      </c>
    </row>
    <row r="62" spans="1:9">
      <c r="A62" t="s">
        <v>232</v>
      </c>
      <c r="B62" s="21">
        <f>+INDEX([1]Sheet1!$G$70:$G$77,COLUMN()-COLUMN($B$81)+1)</f>
        <v>-10</v>
      </c>
      <c r="C62" s="21">
        <f>+INDEX([1]Sheet1!$G$70:$G$77,COLUMN()-COLUMN($B$81)+1)</f>
        <v>0</v>
      </c>
      <c r="D62" s="21">
        <f>+INDEX([1]Sheet1!$G$70:$G$77,COLUMN()-COLUMN($B$81)+1)</f>
        <v>0</v>
      </c>
      <c r="E62" s="21">
        <f>+INDEX([1]Sheet1!$G$70:$G$77,COLUMN()-COLUMN($B$81)+1)</f>
        <v>0</v>
      </c>
      <c r="F62" s="21">
        <f>+INDEX([1]Sheet1!$G$70:$G$77,COLUMN()-COLUMN($B$81)+1)</f>
        <v>0</v>
      </c>
      <c r="G62" s="21">
        <f>+INDEX([1]Sheet1!$G$70:$G$77,COLUMN()-COLUMN($B$81)+1)</f>
        <v>0</v>
      </c>
      <c r="H62" s="21">
        <f>+INDEX([1]Sheet1!$G$70:$G$77,COLUMN()-COLUMN($B$81)+1)</f>
        <v>0</v>
      </c>
      <c r="I62" s="21">
        <f>+INDEX([1]Sheet1!$G$70:$G$77,COLUMN()-COLUMN($B$81)+1)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26000</v>
      </c>
    </row>
    <row r="84" spans="1:9">
      <c r="A84" t="s">
        <v>133</v>
      </c>
      <c r="B84" s="21">
        <f>+INDEX(Sheet1!$O$70:$O$77,COLUMN()-COLUMN($B$79)+1)</f>
        <v>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2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268.59218750000048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2047.5</v>
      </c>
      <c r="C51">
        <f>Right_arm!C82</f>
        <v>3583.125</v>
      </c>
      <c r="D51">
        <f>Right_arm!D82</f>
        <v>2278.5546875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2010-04-28T15:33:16Z</dcterms:modified>
</cp:coreProperties>
</file>