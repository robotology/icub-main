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2" i="1"/>
  <c r="F50" i="4" s="1"/>
  <c r="D50" i="1"/>
  <c r="D50" i="4" s="1"/>
  <c r="F50" i="6" l="1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<sst xmlns="http://schemas.openxmlformats.org/spreadsheetml/2006/main" count="789" uniqueCount="296">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</sst>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zoomScale="55" zoomScaleNormal="55" workbookViewId="0">
      <selection activeCell="C3" sqref="C3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56.4</v>
      </c>
      <c r="D7" s="24">
        <v>180</v>
      </c>
      <c r="E7" s="68">
        <f>(ABS(C7)-ABS(D7))</f>
        <v>-123.6</v>
      </c>
      <c r="F7" s="68">
        <f>IF(E7&gt;=0,(E7*11.375),(360+E7)*11.375)</f>
        <v>2689.05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2689.05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101.6</v>
      </c>
      <c r="D8" s="24">
        <v>180</v>
      </c>
      <c r="E8" s="68">
        <f t="shared" ref="E8:E18" si="0">(ABS(C8)-ABS(D8))</f>
        <v>-78.400000000000006</v>
      </c>
      <c r="F8" s="68">
        <f t="shared" ref="F8:F18" si="1">IF(E8&gt;=0,(E8*11.375),(360+E8)*11.375)</f>
        <v>3203.2000000000003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3203.2000000000003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332.9</v>
      </c>
      <c r="D9" s="24">
        <v>180</v>
      </c>
      <c r="E9" s="68">
        <f t="shared" si="0"/>
        <v>152.89999999999998</v>
      </c>
      <c r="F9" s="68">
        <f t="shared" si="1"/>
        <v>1739.2374999999997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1739.2374999999997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185.4</v>
      </c>
      <c r="D10" s="24">
        <v>180</v>
      </c>
      <c r="E10" s="68">
        <f t="shared" si="0"/>
        <v>5.4000000000000057</v>
      </c>
      <c r="F10" s="68">
        <f t="shared" si="1"/>
        <v>61.425000000000068</v>
      </c>
      <c r="G10" s="73">
        <v>-125</v>
      </c>
      <c r="H10" s="73">
        <v>15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61.425000000000068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220</v>
      </c>
      <c r="D11" s="24">
        <v>180</v>
      </c>
      <c r="E11" s="68">
        <f t="shared" si="0"/>
        <v>40</v>
      </c>
      <c r="F11" s="68">
        <f t="shared" si="1"/>
        <v>455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455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220</v>
      </c>
      <c r="D12" s="24">
        <v>180</v>
      </c>
      <c r="E12" s="68">
        <f t="shared" si="0"/>
        <v>40</v>
      </c>
      <c r="F12" s="68">
        <f t="shared" si="1"/>
        <v>455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455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247.1</v>
      </c>
      <c r="D13" s="24">
        <v>-180</v>
      </c>
      <c r="E13" s="68">
        <f t="shared" si="0"/>
        <v>67.099999999999994</v>
      </c>
      <c r="F13" s="68">
        <f t="shared" si="1"/>
        <v>763.26249999999993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763.26249999999993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129.9</v>
      </c>
      <c r="D14" s="24">
        <v>-180</v>
      </c>
      <c r="E14" s="68">
        <f t="shared" si="0"/>
        <v>-50.099999999999994</v>
      </c>
      <c r="F14" s="68">
        <f t="shared" si="1"/>
        <v>3525.1124999999997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3525.1124999999997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92.8</v>
      </c>
      <c r="D15" s="24">
        <v>-180</v>
      </c>
      <c r="E15" s="68">
        <f t="shared" si="0"/>
        <v>-87.2</v>
      </c>
      <c r="F15" s="68">
        <f t="shared" si="1"/>
        <v>3103.1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3103.1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134.6</v>
      </c>
      <c r="D16" s="24">
        <v>-180</v>
      </c>
      <c r="E16" s="68">
        <f t="shared" si="0"/>
        <v>-45.400000000000006</v>
      </c>
      <c r="F16" s="68">
        <f t="shared" si="1"/>
        <v>3578.5750000000003</v>
      </c>
      <c r="G16" s="73">
        <v>-125</v>
      </c>
      <c r="H16" s="73">
        <v>15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3578.5750000000003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348</v>
      </c>
      <c r="D17" s="24">
        <v>-180</v>
      </c>
      <c r="E17" s="68">
        <f t="shared" si="0"/>
        <v>168</v>
      </c>
      <c r="F17" s="68">
        <f t="shared" si="1"/>
        <v>1911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1911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338.6</v>
      </c>
      <c r="D18" s="24">
        <v>-180</v>
      </c>
      <c r="E18" s="68">
        <f t="shared" si="0"/>
        <v>158.60000000000002</v>
      </c>
      <c r="F18" s="68">
        <f t="shared" si="1"/>
        <v>1804.0750000000003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1804.0750000000003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1333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1333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308.60000000000002</v>
      </c>
      <c r="D30" s="24">
        <v>180</v>
      </c>
      <c r="E30" s="68">
        <f>(C30-D30)</f>
        <v>128.60000000000002</v>
      </c>
      <c r="F30" s="68">
        <f>IF(E30&gt;=0,(E30*11.375),(360+E30)*11.375)</f>
        <v>1462.8250000000003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1462.8250000000003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125.5</v>
      </c>
      <c r="D31" s="24">
        <v>180</v>
      </c>
      <c r="E31" s="68">
        <f>(C31-D31)</f>
        <v>-54.5</v>
      </c>
      <c r="F31" s="68">
        <f>IF(E31&gt;=0,(E31*11.375),(360+E31)*11.375)</f>
        <v>3475.0625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3475.0625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118.4</v>
      </c>
      <c r="D32" s="24">
        <v>180</v>
      </c>
      <c r="E32" s="68">
        <f>(C32-D32)</f>
        <v>-61.599999999999994</v>
      </c>
      <c r="F32" s="68">
        <f>IF(E32&gt;=0,(E32*11.375),(360+E32)*11.375)</f>
        <v>3394.2999999999997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3394.2999999999997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/>
      <c r="D37" s="24">
        <v>-180</v>
      </c>
      <c r="E37" s="68">
        <f>(ABS(C37)-ABS(D37))</f>
        <v>-180</v>
      </c>
      <c r="F37" s="68">
        <f>IF(E37&gt;=0,(E37*11.375),(360+E37)*11.375)</f>
        <v>2047.5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2047.5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/>
      <c r="D38" s="24">
        <v>-315</v>
      </c>
      <c r="E38" s="68">
        <f>(ABS(C38)-ABS(D38))</f>
        <v>-315</v>
      </c>
      <c r="F38" s="68">
        <f>IF(E38&gt;=0,(E38*11.375),(360+E38)*11.375)</f>
        <v>511.875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511.875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/>
      <c r="D39" s="24">
        <f>-L39/-K39</f>
        <v>24.257819103972956</v>
      </c>
      <c r="E39" s="69">
        <f>ABS((+C39/(40/65)-(C37-C38)/(40/65)))-ABS(180)</f>
        <v>-180</v>
      </c>
      <c r="F39" s="69">
        <f>IF(E39&gt;=0,(E39*11.375),(360+E39)*11.375)</f>
        <v>2047.5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2047.5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/>
      <c r="D40" s="24">
        <v>-180</v>
      </c>
      <c r="E40" s="68">
        <f>(ABS(C40)-ABS(D40))</f>
        <v>-180</v>
      </c>
      <c r="F40" s="68">
        <f>IF(E40&gt;=0,(E40*11.375),(360+E40)*11.375)</f>
        <v>2047.5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2047.5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384.44444444444446</v>
      </c>
      <c r="E44" s="31"/>
      <c r="F44" s="31"/>
      <c r="G44" s="71">
        <v>0</v>
      </c>
      <c r="H44" s="71">
        <v>60</v>
      </c>
      <c r="I44" s="81">
        <v>1730</v>
      </c>
      <c r="J44" s="81">
        <v>2000</v>
      </c>
      <c r="K44" s="27">
        <f>(J44-I44)/(H44-G44)</f>
        <v>4.5</v>
      </c>
      <c r="L44" s="71">
        <f>ABS(+D44*K44)</f>
        <v>1730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16.666666666666668</v>
      </c>
      <c r="E48" s="31"/>
      <c r="F48" s="31"/>
      <c r="G48" s="71">
        <v>0</v>
      </c>
      <c r="H48" s="71">
        <v>90</v>
      </c>
      <c r="I48" s="81">
        <v>500</v>
      </c>
      <c r="J48" s="81">
        <v>3200</v>
      </c>
      <c r="K48" s="27">
        <f t="shared" ref="K48:K54" si="5">(J48-I48)/(H48-G48)</f>
        <v>30</v>
      </c>
      <c r="L48" s="71">
        <f>ABS(D48*K48)</f>
        <v>500.00000000000006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-93.84615384615384</v>
      </c>
      <c r="E49" s="31"/>
      <c r="F49" s="31"/>
      <c r="G49" s="71">
        <v>0</v>
      </c>
      <c r="H49" s="71">
        <v>90</v>
      </c>
      <c r="I49" s="60">
        <v>244</v>
      </c>
      <c r="J49" s="60">
        <v>10</v>
      </c>
      <c r="K49" s="27">
        <f>(J49-I49)/(H49-G49)</f>
        <v>-2.6</v>
      </c>
      <c r="L49" s="71">
        <f>I49</f>
        <v>244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-183.91304347826087</v>
      </c>
      <c r="E50" s="31"/>
      <c r="F50" s="31"/>
      <c r="G50" s="71">
        <v>0</v>
      </c>
      <c r="H50" s="71">
        <v>180</v>
      </c>
      <c r="I50" s="60">
        <v>470</v>
      </c>
      <c r="J50" s="60">
        <v>10</v>
      </c>
      <c r="K50" s="27">
        <f t="shared" si="5"/>
        <v>-2.5555555555555554</v>
      </c>
      <c r="L50" s="71">
        <f>J50</f>
        <v>10</v>
      </c>
      <c r="M50" s="71">
        <v>10</v>
      </c>
      <c r="N50" s="71">
        <v>6500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-93.84615384615384</v>
      </c>
      <c r="E51" s="31"/>
      <c r="F51" s="31"/>
      <c r="G51" s="71">
        <v>0</v>
      </c>
      <c r="H51" s="71">
        <v>90</v>
      </c>
      <c r="I51" s="60">
        <v>244</v>
      </c>
      <c r="J51" s="60">
        <v>10</v>
      </c>
      <c r="K51" s="27">
        <f t="shared" si="5"/>
        <v>-2.6</v>
      </c>
      <c r="L51" s="71">
        <f>I51</f>
        <v>244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-187.74193548387095</v>
      </c>
      <c r="E52" s="31"/>
      <c r="F52" s="31"/>
      <c r="G52" s="71">
        <v>0</v>
      </c>
      <c r="H52" s="71">
        <v>180</v>
      </c>
      <c r="I52" s="60">
        <v>485</v>
      </c>
      <c r="J52" s="60">
        <v>20</v>
      </c>
      <c r="K52" s="27">
        <f t="shared" si="5"/>
        <v>-2.5833333333333335</v>
      </c>
      <c r="L52" s="71">
        <f>J52</f>
        <v>20</v>
      </c>
      <c r="M52" s="71">
        <v>10</v>
      </c>
      <c r="N52" s="71">
        <v>6500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-93.75</v>
      </c>
      <c r="E53" s="31"/>
      <c r="F53" s="31"/>
      <c r="G53" s="71">
        <v>0</v>
      </c>
      <c r="H53" s="71">
        <v>90</v>
      </c>
      <c r="I53" s="60">
        <v>250</v>
      </c>
      <c r="J53" s="60">
        <v>10</v>
      </c>
      <c r="K53" s="27">
        <f t="shared" si="5"/>
        <v>-2.6666666666666665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-202.39234449760764</v>
      </c>
      <c r="E54" s="31"/>
      <c r="F54" s="31"/>
      <c r="G54" s="71">
        <v>0</v>
      </c>
      <c r="H54" s="71">
        <v>180</v>
      </c>
      <c r="I54" s="60">
        <v>470</v>
      </c>
      <c r="J54" s="60">
        <v>52</v>
      </c>
      <c r="K54" s="27">
        <f t="shared" si="5"/>
        <v>-2.3222222222222224</v>
      </c>
      <c r="L54" s="71">
        <f>J54</f>
        <v>52</v>
      </c>
      <c r="M54" s="71">
        <v>10</v>
      </c>
      <c r="N54" s="71">
        <v>-6500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-286.74418604651163</v>
      </c>
      <c r="E55" s="31"/>
      <c r="F55" s="31"/>
      <c r="G55" s="71">
        <v>0</v>
      </c>
      <c r="H55" s="71">
        <v>270</v>
      </c>
      <c r="I55" s="60">
        <v>685</v>
      </c>
      <c r="J55" s="60">
        <v>40</v>
      </c>
      <c r="K55" s="27">
        <f>(J55-I55)/(H55-G55)</f>
        <v>-2.3888888888888888</v>
      </c>
      <c r="L55" s="71">
        <f>I55</f>
        <v>685</v>
      </c>
      <c r="M55" s="71">
        <v>10</v>
      </c>
      <c r="N55" s="71">
        <v>26000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225.1</v>
      </c>
      <c r="D59" s="24">
        <v>180</v>
      </c>
      <c r="E59" s="68">
        <f>(ABS(C59)-ABS(D59))</f>
        <v>45.099999999999994</v>
      </c>
      <c r="F59" s="68">
        <f>IF(E59&gt;=0,(E59*11.375),(360+E59)*11.375)</f>
        <v>513.01249999999993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513.01249999999993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5.4</v>
      </c>
      <c r="D60" s="24">
        <f>45</f>
        <v>45</v>
      </c>
      <c r="E60" s="68">
        <f>(ABS(C60)-ABS(D60))</f>
        <v>-39.6</v>
      </c>
      <c r="F60" s="68">
        <f>IF(E60&gt;=0,(E60*11.375),(360+E60)*11.375)</f>
        <v>3644.5499999999997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3644.5499999999997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410</v>
      </c>
      <c r="D61" s="24">
        <f>L61/K61</f>
        <v>245.74218089602704</v>
      </c>
      <c r="E61" s="69">
        <f>ABS((+C61/(40/65)-(C59-C60)/(40/65)))-ABS(180)</f>
        <v>129.23750000000001</v>
      </c>
      <c r="F61" s="69">
        <f>IF(E61&gt;=0,(E61*11.375),(360+E61)*11.375)</f>
        <v>1470.0765625000001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1470.0765625000001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48.3</v>
      </c>
      <c r="D62" s="24">
        <v>180</v>
      </c>
      <c r="E62" s="68">
        <f>(ABS(C62)-ABS(D62))</f>
        <v>-131.69999999999999</v>
      </c>
      <c r="F62" s="68">
        <f>IF(E62&gt;=0,(E62*11.375),(360+E62)*11.375)</f>
        <v>2596.9124999999999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2596.9124999999999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300</v>
      </c>
      <c r="E66" s="31"/>
      <c r="F66" s="31"/>
      <c r="G66" s="66">
        <v>0</v>
      </c>
      <c r="H66" s="66">
        <v>60</v>
      </c>
      <c r="I66" s="81">
        <v>1750</v>
      </c>
      <c r="J66" s="81">
        <v>2100</v>
      </c>
      <c r="K66" s="51">
        <f>(J66-I66)/(H66-G66)</f>
        <v>5.833333333333333</v>
      </c>
      <c r="L66" s="66">
        <f>ABS(+D66*K66)</f>
        <v>1750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18</v>
      </c>
      <c r="E70" s="31"/>
      <c r="F70" s="31"/>
      <c r="G70" s="71">
        <v>0</v>
      </c>
      <c r="H70" s="71">
        <v>90</v>
      </c>
      <c r="I70" s="81">
        <v>500</v>
      </c>
      <c r="J70" s="81">
        <v>3000</v>
      </c>
      <c r="K70" s="27">
        <f t="shared" ref="K70:K77" si="7">(J70-I70)/(H70-G70)</f>
        <v>27.777777777777779</v>
      </c>
      <c r="L70" s="66">
        <f>ABS(D70*K70)</f>
        <v>500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-93.75</v>
      </c>
      <c r="E71" s="31"/>
      <c r="F71" s="31"/>
      <c r="G71" s="71">
        <v>0</v>
      </c>
      <c r="H71" s="71">
        <v>90</v>
      </c>
      <c r="I71" s="60">
        <v>250</v>
      </c>
      <c r="J71" s="60">
        <v>10</v>
      </c>
      <c r="K71" s="27">
        <f t="shared" si="7"/>
        <v>-2.6666666666666665</v>
      </c>
      <c r="L71" s="71">
        <f>I71</f>
        <v>250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-202.5</v>
      </c>
      <c r="E72" s="31"/>
      <c r="F72" s="31"/>
      <c r="G72" s="71">
        <v>0</v>
      </c>
      <c r="H72" s="71">
        <v>180</v>
      </c>
      <c r="I72" s="60">
        <v>450</v>
      </c>
      <c r="J72" s="60">
        <v>50</v>
      </c>
      <c r="K72" s="27">
        <f t="shared" si="7"/>
        <v>-2.2222222222222223</v>
      </c>
      <c r="L72" s="71">
        <f>+J72</f>
        <v>50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-93.75</v>
      </c>
      <c r="E73" s="31"/>
      <c r="F73" s="31"/>
      <c r="G73" s="71">
        <v>0</v>
      </c>
      <c r="H73" s="71">
        <v>90</v>
      </c>
      <c r="I73" s="60">
        <v>250</v>
      </c>
      <c r="J73" s="60">
        <v>10</v>
      </c>
      <c r="K73" s="27">
        <f t="shared" si="7"/>
        <v>-2.6666666666666665</v>
      </c>
      <c r="L73" s="71">
        <f>I73</f>
        <v>250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-183.75</v>
      </c>
      <c r="E74" s="31"/>
      <c r="F74" s="31"/>
      <c r="G74" s="71">
        <v>0</v>
      </c>
      <c r="H74" s="71">
        <v>180</v>
      </c>
      <c r="I74" s="60">
        <v>490</v>
      </c>
      <c r="J74" s="60">
        <v>10</v>
      </c>
      <c r="K74" s="27">
        <f t="shared" si="7"/>
        <v>-2.6666666666666665</v>
      </c>
      <c r="L74" s="71">
        <f>+J74</f>
        <v>10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-187.74193548387095</v>
      </c>
      <c r="E76" s="31"/>
      <c r="F76" s="31"/>
      <c r="G76" s="71">
        <v>0</v>
      </c>
      <c r="H76" s="71">
        <v>180</v>
      </c>
      <c r="I76" s="60">
        <v>485</v>
      </c>
      <c r="J76" s="60">
        <v>20</v>
      </c>
      <c r="K76" s="27">
        <f t="shared" si="7"/>
        <v>-2.5833333333333335</v>
      </c>
      <c r="L76" s="71">
        <f>J76</f>
        <v>20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-313.54838709677421</v>
      </c>
      <c r="E77" s="31"/>
      <c r="F77" s="31"/>
      <c r="G77" s="71">
        <v>0</v>
      </c>
      <c r="H77" s="71">
        <v>270</v>
      </c>
      <c r="I77" s="60">
        <v>720</v>
      </c>
      <c r="J77" s="60">
        <v>100</v>
      </c>
      <c r="K77" s="27">
        <f t="shared" si="7"/>
        <v>-2.2962962962962963</v>
      </c>
      <c r="L77" s="71">
        <v>738</v>
      </c>
      <c r="M77" s="71">
        <v>10</v>
      </c>
      <c r="N77" s="71">
        <v>26000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15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15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-125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-125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2689.05</v>
      </c>
      <c r="C95" s="61">
        <f>+INDEX(Sheet1!$N$7:$N20,COLUMN()-COLUMN($B$91)+1)</f>
        <v>3203.2000000000003</v>
      </c>
      <c r="D95" s="61">
        <f>+INDEX(Sheet1!$N$7:$N20,COLUMN()-COLUMN($B$91)+1)</f>
        <v>1739.2374999999997</v>
      </c>
      <c r="E95" s="61">
        <f>+INDEX(Sheet1!$N$7:$N20,COLUMN()-COLUMN($B$91)+1)</f>
        <v>61.425000000000068</v>
      </c>
      <c r="F95" s="61">
        <f>+INDEX(Sheet1!$N$7:$N20,COLUMN()-COLUMN($B$91)+1)</f>
        <v>455</v>
      </c>
      <c r="G95" s="61">
        <f>+INDEX(Sheet1!$N$7:$N20,COLUMN()-COLUMN($B$91)+1)</f>
        <v>455</v>
      </c>
      <c r="H95" s="61">
        <f>+INDEX(Sheet1!$N$7:$N20,COLUMN()-COLUMN($B$91)+1)</f>
        <v>763.26249999999993</v>
      </c>
      <c r="I95" s="61">
        <f>+INDEX(Sheet1!$N$7:$N20,COLUMN()-COLUMN($B$91)+1)</f>
        <v>3525.1124999999997</v>
      </c>
      <c r="J95" s="61">
        <f>+INDEX(Sheet1!$N$7:$N20,COLUMN()-COLUMN($B$91)+1)</f>
        <v>3103.1</v>
      </c>
      <c r="K95" s="61">
        <f>+INDEX(Sheet1!$N$7:$N20,COLUMN()-COLUMN($B$91)+1)</f>
        <v>3578.5750000000003</v>
      </c>
      <c r="L95" s="61">
        <f>+INDEX(Sheet1!$N$7:$N20,COLUMN()-COLUMN($B$91)+1)</f>
        <v>1911</v>
      </c>
      <c r="M95" s="61">
        <f>+INDEX(Sheet1!$N$7:$N20,COLUMN()-COLUMN($B$91)+1)</f>
        <v>1804.0750000000003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4.5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384.44444444444446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1730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2047.5</v>
      </c>
      <c r="C82" s="21">
        <f>+INDEX(Sheet1!$N$37:$N$44,COLUMN()-COLUMN($B$82)+1)</f>
        <v>511.875</v>
      </c>
      <c r="D82" s="21">
        <f>+INDEX(Sheet1!$N$37:$N$44,COLUMN()-COLUMN($B$82)+1)</f>
        <v>2047.5</v>
      </c>
      <c r="E82" s="21">
        <f>+INDEX(Sheet1!$N$37:$N$44,COLUMN()-COLUMN($B$82)+1)</f>
        <v>2047.5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52" zoomScaleNormal="100" workbookViewId="0">
      <selection activeCell="A65" sqref="A6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30</v>
      </c>
      <c r="C49" s="34">
        <f>+INDEX(Sheet1!$K$48:$K$56,COLUMN()-COLUMN($B$83)+1)</f>
        <v>-2.6</v>
      </c>
      <c r="D49" s="34">
        <f>+INDEX(Sheet1!$K$48:$K$56,COLUMN()-COLUMN($B$83)+1)</f>
        <v>-2.5555555555555554</v>
      </c>
      <c r="E49" s="34">
        <f>+INDEX(Sheet1!$K$48:$K$56,COLUMN()-COLUMN($B$83)+1)</f>
        <v>-2.6</v>
      </c>
      <c r="F49" s="34">
        <f>+INDEX(Sheet1!$K$48:$K$56,COLUMN()-COLUMN($B$83)+1)</f>
        <v>-2.5833333333333335</v>
      </c>
      <c r="G49" s="34">
        <f>+INDEX(Sheet1!$K$48:$K$56,COLUMN()-COLUMN($B$83)+1)</f>
        <v>-2.6666666666666665</v>
      </c>
      <c r="H49" s="34">
        <f>+INDEX(Sheet1!$K$48:$K$56,COLUMN()-COLUMN($B$83)+1)</f>
        <v>-2.3222222222222224</v>
      </c>
      <c r="I49" s="34">
        <f>+INDEX(Sheet1!$K$48:$K$56,COLUMN()-COLUMN($B$83)+1)</f>
        <v>-2.3888888888888888</v>
      </c>
    </row>
    <row r="50" spans="1:9">
      <c r="A50" t="s">
        <v>222</v>
      </c>
      <c r="B50" s="34">
        <f>+INDEX(Sheet1!$D$48:$D$56,COLUMN()-COLUMN($B$83)+1)++INDEX(Sheet1!$S$48:$S$56,COLUMN()-COLUMN($B$83)+1)</f>
        <v>16.666666666666668</v>
      </c>
      <c r="C50" s="34">
        <f>+INDEX(Sheet1!$D$48:$D$56,COLUMN()-COLUMN($B$83)+1)++INDEX(Sheet1!$S$48:$S$56,COLUMN()-COLUMN($B$83)+1)</f>
        <v>-93.84615384615384</v>
      </c>
      <c r="D50" s="34">
        <f>+INDEX(Sheet1!$D$48:$D$56,COLUMN()-COLUMN($B$83)+1)++INDEX(Sheet1!$S$48:$S$56,COLUMN()-COLUMN($B$83)+1)</f>
        <v>-183.91304347826087</v>
      </c>
      <c r="E50" s="34">
        <f>+INDEX(Sheet1!$D$48:$D$56,COLUMN()-COLUMN($B$83)+1)++INDEX(Sheet1!$S$48:$S$56,COLUMN()-COLUMN($B$83)+1)</f>
        <v>-93.84615384615384</v>
      </c>
      <c r="F50" s="34">
        <f>+INDEX(Sheet1!$D$48:$D$56,COLUMN()-COLUMN($B$83)+1)++INDEX(Sheet1!$S$48:$S$56,COLUMN()-COLUMN($B$83)+1)</f>
        <v>-187.74193548387095</v>
      </c>
      <c r="G50" s="34">
        <f>+INDEX(Sheet1!$D$48:$D$56,COLUMN()-COLUMN($B$83)+1)++INDEX(Sheet1!$S$48:$S$56,COLUMN()-COLUMN($B$83)+1)</f>
        <v>-93.75</v>
      </c>
      <c r="H50" s="34">
        <f>+INDEX(Sheet1!$D$48:$D$56,COLUMN()-COLUMN($B$83)+1)++INDEX(Sheet1!$S$48:$S$56,COLUMN()-COLUMN($B$83)+1)</f>
        <v>-202.39234449760764</v>
      </c>
      <c r="I50" s="34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+INDEX([1]Sheet1!$H$48:$H$77,COLUMN()-COLUMN($B$83)+1)</f>
        <v>90</v>
      </c>
      <c r="C60" s="21">
        <f>+INDEX([1]Sheet1!$H$48:$H$77,COLUMN()-COLUMN($B$83)+1)</f>
        <v>90</v>
      </c>
      <c r="D60" s="21">
        <f>+INDEX([1]Sheet1!$H$48:$H$77,COLUMN()-COLUMN($B$83)+1)</f>
        <v>180</v>
      </c>
      <c r="E60" s="21">
        <f>+INDEX([1]Sheet1!$H$48:$H$77,COLUMN()-COLUMN($B$83)+1)</f>
        <v>90</v>
      </c>
      <c r="F60" s="21">
        <f>+INDEX([1]Sheet1!$H$48:$H$77,COLUMN()-COLUMN($B$83)+1)</f>
        <v>180</v>
      </c>
      <c r="G60" s="21">
        <f>+INDEX([1]Sheet1!$H$48:$H$77,COLUMN()-COLUMN($B$83)+1)</f>
        <v>90</v>
      </c>
      <c r="H60" s="21">
        <f>+INDEX([1]Sheet1!$H$48:$H$77,COLUMN()-COLUMN($B$83)+1)</f>
        <v>180</v>
      </c>
      <c r="I60" s="21">
        <f>+INDEX([1]Sheet1!$H$48:$H$77,COLUMN()-COLUMN($B$83)+1)</f>
        <v>270</v>
      </c>
    </row>
    <row r="61" spans="1:9">
      <c r="A61" t="s">
        <v>232</v>
      </c>
      <c r="B61" s="21">
        <f>+INDEX([1]Sheet1!$G$48:$G$77,COLUMN()-COLUMN($B$83)+1)</f>
        <v>-10</v>
      </c>
      <c r="C61" s="21">
        <f>+INDEX([1]Sheet1!$G$48:$G$77,COLUMN()-COLUMN($B$83)+1)</f>
        <v>0</v>
      </c>
      <c r="D61" s="21">
        <f>+INDEX([1]Sheet1!$G$48:$G$77,COLUMN()-COLUMN($B$83)+1)</f>
        <v>0</v>
      </c>
      <c r="E61" s="21">
        <f>+INDEX([1]Sheet1!$G$48:$G$77,COLUMN()-COLUMN($B$83)+1)</f>
        <v>0</v>
      </c>
      <c r="F61" s="21">
        <f>+INDEX([1]Sheet1!$G$48:$G$77,COLUMN()-COLUMN($B$83)+1)</f>
        <v>0</v>
      </c>
      <c r="G61" s="21">
        <f>+INDEX([1]Sheet1!$G$48:$G$77,COLUMN()-COLUMN($B$83)+1)</f>
        <v>0</v>
      </c>
      <c r="H61" s="21">
        <f>+INDEX([1]Sheet1!$G$48:$G$77,COLUMN()-COLUMN($B$83)+1)</f>
        <v>0</v>
      </c>
      <c r="I61" s="21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500.00000000000006</v>
      </c>
      <c r="C80" s="21">
        <f>+INDEX(Sheet1!$L$48:$L$56,COLUMN()-COLUMN($B$81)+1)</f>
        <v>244</v>
      </c>
      <c r="D80" s="21">
        <f>+INDEX(Sheet1!$L$48:$L$56,COLUMN()-COLUMN($B$81)+1)</f>
        <v>10</v>
      </c>
      <c r="E80" s="21">
        <f>+INDEX(Sheet1!$L$48:$L$56,COLUMN()-COLUMN($B$81)+1)</f>
        <v>244</v>
      </c>
      <c r="F80" s="21">
        <f>+INDEX(Sheet1!$L$48:$L$56,COLUMN()-COLUMN($B$81)+1)</f>
        <v>20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685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6500</v>
      </c>
      <c r="E82" s="21">
        <f>+INDEX(Sheet1!$N$48:$N$56,COLUMN()-COLUMN($B$81)+1)</f>
        <v>6000</v>
      </c>
      <c r="F82" s="21">
        <f>+INDEX(Sheet1!$N$48:$N$56,COLUMN()-COLUMN($B$81)+1)</f>
        <v>6500</v>
      </c>
      <c r="G82" s="21">
        <f>+INDEX(Sheet1!$N$48:$N$56,COLUMN()-COLUMN($B$81)+1)</f>
        <v>6000</v>
      </c>
      <c r="H82" s="21">
        <f>+INDEX(Sheet1!$N$48:$N$56,COLUMN()-COLUMN($B$81)+1)</f>
        <v>-6500</v>
      </c>
      <c r="I82" s="21">
        <f>+INDEX(Sheet1!$N$48:$N$56,COLUMN()-COLUMN($B$81)+1)</f>
        <v>26000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5.833333333333333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300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1750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513.01249999999993</v>
      </c>
      <c r="C82" s="21">
        <f>+INDEX(Sheet1!$N$59:$N$66,COLUMN()-COLUMN($B$83)+1)</f>
        <v>3644.5499999999997</v>
      </c>
      <c r="D82" s="21">
        <f>+INDEX(Sheet1!$N$59:$N$66,COLUMN()-COLUMN($B$83)+1)</f>
        <v>1470.0765625000001</v>
      </c>
      <c r="E82" s="21">
        <f>+INDEX(Sheet1!$N$59:$N$66,COLUMN()-COLUMN($B$83)+1)</f>
        <v>2596.9124999999999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27.777777777777779</v>
      </c>
      <c r="C50" s="34">
        <f>+INDEX(Sheet1!$K$70:$K$77,COLUMN()-COLUMN($B$81)+1)</f>
        <v>-2.6666666666666665</v>
      </c>
      <c r="D50" s="34">
        <f>+INDEX(Sheet1!$K$70:$K$77,COLUMN()-COLUMN($B$81)+1)</f>
        <v>-2.2222222222222223</v>
      </c>
      <c r="E50" s="34">
        <f>+INDEX(Sheet1!$K$70:$K$77,COLUMN()-COLUMN($B$81)+1)</f>
        <v>-2.6666666666666665</v>
      </c>
      <c r="F50" s="34">
        <f>+INDEX(Sheet1!$K$70:$K$77,COLUMN()-COLUMN($B$81)+1)</f>
        <v>-2.6666666666666665</v>
      </c>
      <c r="G50" s="34">
        <f>+INDEX(Sheet1!$K$70:$K$77,COLUMN()-COLUMN($B$81)+1)</f>
        <v>-2.5</v>
      </c>
      <c r="H50" s="34">
        <f>+INDEX(Sheet1!$K$70:$K$77,COLUMN()-COLUMN($B$81)+1)</f>
        <v>-2.5833333333333335</v>
      </c>
      <c r="I50" s="34">
        <f>+INDEX(Sheet1!$K$70:$K$77,COLUMN()-COLUMN($B$81)+1)</f>
        <v>-2.2962962962962963</v>
      </c>
    </row>
    <row r="51" spans="1:9">
      <c r="A51" t="s">
        <v>222</v>
      </c>
      <c r="B51" s="34">
        <f>+INDEX(Sheet1!$D$70:$D$77,COLUMN()-COLUMN($B$81)+1)++INDEX(Sheet1!$S$70:$S$77,COLUMN()-COLUMN($B$81)+1)</f>
        <v>18</v>
      </c>
      <c r="C51" s="34">
        <f>+INDEX(Sheet1!$D$70:$D$77,COLUMN()-COLUMN($B$81)+1)++INDEX(Sheet1!$S$70:$S$77,COLUMN()-COLUMN($B$81)+1)</f>
        <v>-93.75</v>
      </c>
      <c r="D51" s="34">
        <f>+INDEX(Sheet1!$D$70:$D$77,COLUMN()-COLUMN($B$81)+1)++INDEX(Sheet1!$S$70:$S$77,COLUMN()-COLUMN($B$81)+1)</f>
        <v>-202.5</v>
      </c>
      <c r="E51" s="34">
        <f>+INDEX(Sheet1!$D$70:$D$77,COLUMN()-COLUMN($B$81)+1)++INDEX(Sheet1!$S$70:$S$77,COLUMN()-COLUMN($B$81)+1)</f>
        <v>-93.75</v>
      </c>
      <c r="F51" s="34">
        <f>+INDEX(Sheet1!$D$70:$D$77,COLUMN()-COLUMN($B$81)+1)++INDEX(Sheet1!$S$70:$S$77,COLUMN()-COLUMN($B$81)+1)</f>
        <v>-183.75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-187.74193548387095</v>
      </c>
      <c r="I51" s="34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+INDEX([1]Sheet1!$H$70:$H$77,COLUMN()-COLUMN($B$81)+1)</f>
        <v>90</v>
      </c>
      <c r="C61" s="21">
        <f>+INDEX([1]Sheet1!$H$70:$H$77,COLUMN()-COLUMN($B$81)+1)</f>
        <v>90</v>
      </c>
      <c r="D61" s="21">
        <f>+INDEX([1]Sheet1!$H$70:$H$77,COLUMN()-COLUMN($B$81)+1)</f>
        <v>180</v>
      </c>
      <c r="E61" s="21">
        <f>+INDEX([1]Sheet1!$H$70:$H$77,COLUMN()-COLUMN($B$81)+1)</f>
        <v>90</v>
      </c>
      <c r="F61" s="21">
        <f>+INDEX([1]Sheet1!$H$70:$H$77,COLUMN()-COLUMN($B$81)+1)</f>
        <v>180</v>
      </c>
      <c r="G61" s="21">
        <f>+INDEX([1]Sheet1!$H$70:$H$77,COLUMN()-COLUMN($B$81)+1)</f>
        <v>90</v>
      </c>
      <c r="H61" s="21">
        <f>+INDEX([1]Sheet1!$H$70:$H$77,COLUMN()-COLUMN($B$81)+1)</f>
        <v>180</v>
      </c>
      <c r="I61" s="21">
        <f>+INDEX([1]Sheet1!$H$70:$H$77,COLUMN()-COLUMN($B$81)+1)</f>
        <v>270</v>
      </c>
    </row>
    <row r="62" spans="1:9">
      <c r="A62" t="s">
        <v>232</v>
      </c>
      <c r="B62" s="21">
        <f>+INDEX([1]Sheet1!$G$70:$G$77,COLUMN()-COLUMN($B$81)+1)</f>
        <v>-10</v>
      </c>
      <c r="C62" s="21">
        <f>+INDEX([1]Sheet1!$G$70:$G$77,COLUMN()-COLUMN($B$81)+1)</f>
        <v>0</v>
      </c>
      <c r="D62" s="21">
        <f>+INDEX([1]Sheet1!$G$70:$G$77,COLUMN()-COLUMN($B$81)+1)</f>
        <v>0</v>
      </c>
      <c r="E62" s="21">
        <f>+INDEX([1]Sheet1!$G$70:$G$77,COLUMN()-COLUMN($B$81)+1)</f>
        <v>0</v>
      </c>
      <c r="F62" s="21">
        <f>+INDEX([1]Sheet1!$G$70:$G$77,COLUMN()-COLUMN($B$81)+1)</f>
        <v>0</v>
      </c>
      <c r="G62" s="21">
        <f>+INDEX([1]Sheet1!$G$70:$G$77,COLUMN()-COLUMN($B$81)+1)</f>
        <v>0</v>
      </c>
      <c r="H62" s="21">
        <f>+INDEX([1]Sheet1!$G$70:$G$77,COLUMN()-COLUMN($B$81)+1)</f>
        <v>0</v>
      </c>
      <c r="I62" s="21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500</v>
      </c>
      <c r="C81" s="21">
        <f>+INDEX(Sheet1!$L$70:$L$77,COLUMN()-COLUMN($B$79)+1)</f>
        <v>250</v>
      </c>
      <c r="D81" s="21">
        <f>+INDEX(Sheet1!$L$70:$L$77,COLUMN()-COLUMN($B$79)+1)</f>
        <v>50</v>
      </c>
      <c r="E81" s="21">
        <f>+INDEX(Sheet1!$L$70:$L$77,COLUMN()-COLUMN($B$79)+1)</f>
        <v>250</v>
      </c>
      <c r="F81" s="21">
        <f>+INDEX(Sheet1!$L$70:$L$77,COLUMN()-COLUMN($B$79)+1)</f>
        <v>10</v>
      </c>
      <c r="G81" s="21">
        <f>+INDEX(Sheet1!$L$70:$L$77,COLUMN()-COLUMN($B$79)+1)</f>
        <v>250</v>
      </c>
      <c r="H81" s="21">
        <f>+INDEX(Sheet1!$L$70:$L$77,COLUMN()-COLUMN($B$79)+1)</f>
        <v>20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26000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B76" sqref="B76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1333</v>
      </c>
      <c r="G68" s="21">
        <f>+INDEX(Sheet1!$L$24:$L34,COLUMN()-COLUMN($B$69)+1)</f>
        <v>1333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1462.8250000000003</v>
      </c>
      <c r="I70" s="21">
        <f>+INDEX(Sheet1!$N$24:$N34,COLUMN()-COLUMN($B$69)+1)</f>
        <v>3475.0625</v>
      </c>
      <c r="J70" s="21">
        <f>+INDEX(Sheet1!$N$24:$N34,COLUMN()-COLUMN($B$69)+1)</f>
        <v>3394.2999999999997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1462.8250000000003</v>
      </c>
      <c r="C25">
        <f>Head_Torso!I70</f>
        <v>3475.0625</v>
      </c>
      <c r="D25">
        <f>Head_Torso!J70</f>
        <v>3394.2999999999997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1730</v>
      </c>
      <c r="J36">
        <f>Left_hand!B80</f>
        <v>500.00000000000006</v>
      </c>
      <c r="K36">
        <f>Left_hand!C80</f>
        <v>244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2047.5</v>
      </c>
      <c r="C38">
        <f>Left_arm!C82</f>
        <v>511.875</v>
      </c>
      <c r="D38">
        <f>Left_arm!D82</f>
        <v>2047.5</v>
      </c>
      <c r="E38">
        <f>Left_arm!E82</f>
        <v>2047.5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1750</v>
      </c>
      <c r="J49">
        <f>Right_hand!B81</f>
        <v>500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763.26249999999993</v>
      </c>
      <c r="C64">
        <f>Legs!I95</f>
        <v>3525.1124999999997</v>
      </c>
      <c r="D64">
        <f>Legs!J95</f>
        <v>3103.1</v>
      </c>
      <c r="E64">
        <f>Legs!K95</f>
        <v>3578.5750000000003</v>
      </c>
      <c r="F64">
        <f>Legs!L95</f>
        <v>1911</v>
      </c>
      <c r="G64">
        <f>Legs!M95</f>
        <v>1804.0750000000003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2689.05</v>
      </c>
      <c r="C76">
        <f>Legs!C95</f>
        <v>3203.2000000000003</v>
      </c>
      <c r="D76">
        <f>Legs!D95</f>
        <v>1739.2374999999997</v>
      </c>
      <c r="E76">
        <f>Legs!E95</f>
        <v>61.425000000000068</v>
      </c>
      <c r="F76">
        <f>Legs!F95</f>
        <v>455</v>
      </c>
      <c r="G76">
        <f>Legs!G95</f>
        <v>455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2010-04-28T13:34:05Z</dcterms:modified>
</cp:coreProperties>
</file>