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Sheet2" sheetId="8" r:id="rId8"/>
  </sheets>
  <calcPr calcId="125725"/>
</workbook>
</file>

<file path=xl/calcChain.xml><?xml version="1.0" encoding="utf-8"?>
<calcChain xmlns="http://schemas.openxmlformats.org/spreadsheetml/2006/main">
  <c r="L72" i="1"/>
  <c r="L74"/>
  <c r="I45" i="5"/>
  <c r="I46"/>
  <c r="D45"/>
  <c r="E45"/>
  <c r="F45"/>
  <c r="G45"/>
  <c r="H45"/>
  <c r="D46"/>
  <c r="E46"/>
  <c r="F46"/>
  <c r="G46"/>
  <c r="H46"/>
  <c r="C45"/>
  <c r="C46"/>
  <c r="B46"/>
  <c r="B45"/>
  <c r="C48" i="4"/>
  <c r="D48"/>
  <c r="E48"/>
  <c r="F48"/>
  <c r="G48"/>
  <c r="H48"/>
  <c r="I48"/>
  <c r="C49"/>
  <c r="D49"/>
  <c r="E49"/>
  <c r="F49"/>
  <c r="G49"/>
  <c r="H49"/>
  <c r="I49"/>
  <c r="B49"/>
  <c r="B48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C68"/>
  <c r="D68"/>
  <c r="E68"/>
  <c r="F68"/>
  <c r="G68"/>
  <c r="K68"/>
  <c r="B69"/>
  <c r="C69"/>
  <c r="D69"/>
  <c r="E69"/>
  <c r="F69"/>
  <c r="G69"/>
  <c r="H69"/>
  <c r="I69"/>
  <c r="J69"/>
  <c r="K69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C69"/>
  <c r="D69"/>
  <c r="E69"/>
  <c r="F69"/>
  <c r="G69"/>
  <c r="H69"/>
  <c r="I69"/>
  <c r="B70"/>
  <c r="C70"/>
  <c r="D70"/>
  <c r="E70"/>
  <c r="F70"/>
  <c r="G70"/>
  <c r="H70"/>
  <c r="I70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J72"/>
  <c r="K72"/>
  <c r="L72"/>
  <c r="M72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C66"/>
  <c r="E66"/>
  <c r="G66"/>
  <c r="H66"/>
  <c r="B67"/>
  <c r="C67"/>
  <c r="D67"/>
  <c r="E67"/>
  <c r="F67"/>
  <c r="G67"/>
  <c r="H67"/>
  <c r="I67"/>
  <c r="F68"/>
  <c r="G68"/>
  <c r="H68"/>
  <c r="I68"/>
  <c r="E59" i="6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B73"/>
  <c r="C73"/>
  <c r="D73"/>
  <c r="E73"/>
  <c r="F73"/>
  <c r="G73"/>
  <c r="H73"/>
  <c r="I73"/>
  <c r="E7" i="1"/>
  <c r="F7"/>
  <c r="N7"/>
  <c r="B73" i="2"/>
  <c r="L7" i="1"/>
  <c r="B71" i="2"/>
  <c r="E8" i="1"/>
  <c r="F8"/>
  <c r="N8"/>
  <c r="C73" i="2"/>
  <c r="L8" i="1"/>
  <c r="C71" i="2"/>
  <c r="E9" i="1"/>
  <c r="F9"/>
  <c r="N9"/>
  <c r="D73" i="2"/>
  <c r="L9" i="1"/>
  <c r="D71" i="2"/>
  <c r="E10" i="1"/>
  <c r="F10"/>
  <c r="N10"/>
  <c r="E73" i="2"/>
  <c r="L10" i="1"/>
  <c r="E71" i="2"/>
  <c r="E11" i="1"/>
  <c r="F11"/>
  <c r="N11"/>
  <c r="F73" i="2"/>
  <c r="L11" i="1"/>
  <c r="F71" i="2"/>
  <c r="E12" i="1"/>
  <c r="F12"/>
  <c r="N12"/>
  <c r="G73" i="2"/>
  <c r="L12" i="1"/>
  <c r="G71" i="2"/>
  <c r="E13" i="1"/>
  <c r="F13"/>
  <c r="N13"/>
  <c r="H73" i="2"/>
  <c r="L13" i="1"/>
  <c r="H71" i="2"/>
  <c r="E14" i="1"/>
  <c r="F14"/>
  <c r="N14"/>
  <c r="I73" i="2"/>
  <c r="L14" i="1"/>
  <c r="I71" i="2"/>
  <c r="E15" i="1"/>
  <c r="F15"/>
  <c r="N15"/>
  <c r="J73" i="2"/>
  <c r="L15" i="1"/>
  <c r="J71" i="2"/>
  <c r="E16" i="1"/>
  <c r="F16"/>
  <c r="N16"/>
  <c r="K73" i="2"/>
  <c r="L16" i="1"/>
  <c r="K71" i="2"/>
  <c r="E17" i="1"/>
  <c r="F17"/>
  <c r="N17"/>
  <c r="L73" i="2"/>
  <c r="L17" i="1"/>
  <c r="L71" i="2"/>
  <c r="E18" i="1"/>
  <c r="F18"/>
  <c r="N18"/>
  <c r="M73" i="2"/>
  <c r="L18" i="1"/>
  <c r="M71" i="2"/>
  <c r="N25" i="1"/>
  <c r="C70" i="7"/>
  <c r="N26" i="1"/>
  <c r="D70" i="7"/>
  <c r="N27" i="1"/>
  <c r="E70" i="7"/>
  <c r="N28" i="1"/>
  <c r="F70" i="7"/>
  <c r="N29" i="1"/>
  <c r="G70" i="7"/>
  <c r="E30" i="1"/>
  <c r="F30"/>
  <c r="N30"/>
  <c r="H70" i="7"/>
  <c r="L30" i="1"/>
  <c r="H68" i="7"/>
  <c r="E31" i="1"/>
  <c r="F31"/>
  <c r="N31"/>
  <c r="I70" i="7"/>
  <c r="L31" i="1"/>
  <c r="I68" i="7"/>
  <c r="E32" i="1"/>
  <c r="F32"/>
  <c r="L32"/>
  <c r="J68" i="7"/>
  <c r="N32" i="1"/>
  <c r="J70" i="7"/>
  <c r="E37" i="1"/>
  <c r="F37"/>
  <c r="N37"/>
  <c r="B69" i="3"/>
  <c r="E38" i="1"/>
  <c r="F38"/>
  <c r="N38"/>
  <c r="C69" i="3"/>
  <c r="E39" i="1"/>
  <c r="F39"/>
  <c r="N39"/>
  <c r="D69" i="3"/>
  <c r="L39" i="1"/>
  <c r="D67" i="3"/>
  <c r="E40" i="1"/>
  <c r="F40"/>
  <c r="N40"/>
  <c r="E69" i="3"/>
  <c r="K41" i="1"/>
  <c r="F38" i="3"/>
  <c r="D44" i="1"/>
  <c r="I39" i="3"/>
  <c r="K44" i="1"/>
  <c r="I38" i="3"/>
  <c r="L44" i="1"/>
  <c r="I67" i="3"/>
  <c r="K48" i="1"/>
  <c r="B37" i="4"/>
  <c r="D49" i="1"/>
  <c r="C38" i="4"/>
  <c r="K49" i="1"/>
  <c r="C37" i="4"/>
  <c r="L49" i="1"/>
  <c r="C68" i="4"/>
  <c r="K50" i="1"/>
  <c r="D37" i="4"/>
  <c r="L50" i="1"/>
  <c r="D68" i="4"/>
  <c r="D51" i="1"/>
  <c r="E38" i="4"/>
  <c r="K51" i="1"/>
  <c r="E37" i="4"/>
  <c r="L51" i="1"/>
  <c r="E68" i="4"/>
  <c r="K52" i="1"/>
  <c r="F37" i="4"/>
  <c r="L52" i="1"/>
  <c r="F68" i="4"/>
  <c r="D53" i="1"/>
  <c r="G38" i="4"/>
  <c r="K53" i="1"/>
  <c r="G37" i="4"/>
  <c r="L53" i="1"/>
  <c r="G68" i="4"/>
  <c r="K54" i="1"/>
  <c r="H37" i="4"/>
  <c r="L54" i="1"/>
  <c r="H68" i="4"/>
  <c r="D55" i="1"/>
  <c r="I38" i="4"/>
  <c r="K55" i="1"/>
  <c r="I37" i="4"/>
  <c r="L55" i="1"/>
  <c r="I68" i="4"/>
  <c r="E59" i="1"/>
  <c r="F59"/>
  <c r="N59"/>
  <c r="B68" i="5"/>
  <c r="E60" i="1"/>
  <c r="F60"/>
  <c r="N60"/>
  <c r="C68" i="5"/>
  <c r="E61" i="1"/>
  <c r="F61"/>
  <c r="N61"/>
  <c r="D68" i="5"/>
  <c r="L61" i="1"/>
  <c r="D66" i="5"/>
  <c r="E62" i="1"/>
  <c r="F62"/>
  <c r="N62"/>
  <c r="E68" i="5"/>
  <c r="K63" i="1"/>
  <c r="F37" i="5"/>
  <c r="D66" i="1"/>
  <c r="L66"/>
  <c r="I66" i="5"/>
  <c r="K66" i="1"/>
  <c r="I37" i="5"/>
  <c r="K70" i="1"/>
  <c r="D70"/>
  <c r="D71"/>
  <c r="C41" i="6"/>
  <c r="K71" i="1"/>
  <c r="C40" i="6"/>
  <c r="L71" i="1"/>
  <c r="C71" i="6"/>
  <c r="K72" i="1"/>
  <c r="D72"/>
  <c r="D41" i="6"/>
  <c r="D71"/>
  <c r="D73" i="1"/>
  <c r="E41" i="6"/>
  <c r="K73" i="1"/>
  <c r="E40" i="6"/>
  <c r="L73" i="1"/>
  <c r="E71" i="6"/>
  <c r="K74" i="1"/>
  <c r="D74"/>
  <c r="F41" i="6"/>
  <c r="F71"/>
  <c r="D75" i="1"/>
  <c r="G41" i="6"/>
  <c r="K75" i="1"/>
  <c r="G40" i="6"/>
  <c r="L75" i="1"/>
  <c r="G71" i="6"/>
  <c r="K76" i="1"/>
  <c r="D76"/>
  <c r="H41" i="6"/>
  <c r="L76" i="1"/>
  <c r="H71" i="6"/>
  <c r="D77" i="1"/>
  <c r="I41" i="6"/>
  <c r="K77" i="1"/>
  <c r="I40" i="6"/>
  <c r="L77" i="1"/>
  <c r="I71" i="6"/>
  <c r="L70" i="1"/>
  <c r="B71" i="6"/>
  <c r="B41"/>
  <c r="H40"/>
  <c r="F40"/>
  <c r="D40"/>
  <c r="B40"/>
  <c r="I38" i="5"/>
  <c r="D61" i="1"/>
  <c r="D38" i="5"/>
  <c r="D54" i="1"/>
  <c r="H38" i="4"/>
  <c r="D52" i="1"/>
  <c r="F38" i="4"/>
  <c r="D50" i="1"/>
  <c r="D38" i="4"/>
  <c r="D48" i="1"/>
  <c r="D39"/>
  <c r="D39" i="3"/>
  <c r="B38" i="4"/>
  <c r="L48" i="1"/>
  <c r="B68" i="4"/>
</calcChain>
</file>

<file path=xl/sharedStrings.xml><?xml version="1.0" encoding="utf-8"?>
<sst xmlns="http://schemas.openxmlformats.org/spreadsheetml/2006/main" count="597" uniqueCount="187">
  <si>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</si>
  <si>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</si>
  <si>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</si>
  <si>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</si>
  <si>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</si>
  <si>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</si>
  <si>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</si>
  <si>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</si>
  <si>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</si>
  <si>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</si>
  <si>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</si>
  <si>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</si>
  <si>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</si>
  <si>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</si>
  <si>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</si>
  <si>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</si>
  <si>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</si>
  <si>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</si>
  <si>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</si>
  <si>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</si>
  <si>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</si>
  <si>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</si>
  <si>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</si>
  <si>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</si>
  <si>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</si>
  <si>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</si>
  <si>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</si>
  <si>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</si>
  <si>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</si>
  <si>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</si>
  <si>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</si>
  <si>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</si>
  <si>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</si>
  <si>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</si>
  <si>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</si>
  <si>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</si>
  <si>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</si>
  <si>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</si>
  <si>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</si>
  <si>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</si>
  <si>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</si>
  <si>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</si>
  <si>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</si>
  <si>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</si>
  <si>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</si>
  <si>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</si>
  <si>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</si>
  <si>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</si>
  <si>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</si>
  <si>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</si>
  <si>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</si>
  <si>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</si>
  <si>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</si>
  <si>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</si>
  <si>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</si>
  <si>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</si>
  <si>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</si>
  <si>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</si>
  <si>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</si>
  <si>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</si>
  <si>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</si>
  <si>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</si>
  <si>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</si>
  <si>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</si>
  <si>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</si>
  <si>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</si>
  <si>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</si>
  <si>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</si>
  <si>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</si>
  <si>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</si>
  <si>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</si>
  <si>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</si>
  <si>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</si>
  <si>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</si>
  <si>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</si>
  <si>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</si>
  <si>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</si>
  <si>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</si>
  <si>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</si>
  <si>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</si>
  <si>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</si>
  <si>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</si>
  <si>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</si>
  <si>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</si>
  <si>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</si>
  <si>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</si>
  <si>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</si>
  <si>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</si>
  <si>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</si>
  <si>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</si>
  <si>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</si>
  <si>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</si>
  <si>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</si>
  <si>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</si>
  <si>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</si>
  <si>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</si>
  <si>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</si>
  <si>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</si>
  <si>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</si>
  <si>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</si>
  <si>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</si>
  <si>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</si>
  <si>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</si>
  <si>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</si>
  <si>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</si>
  <si>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</si>
  <si>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</si>
  <si>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</si>
  <si>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</si>
  <si>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</si>
  <si>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</si>
  <si>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</si>
  <si>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</si>
  <si>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</si>
  <si>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</si>
  <si>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</si>
  <si>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</si>
  <si>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</si>
  <si>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</si>
  <si>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</si>
  <si>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</si>
  <si>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</si>
  <si>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</si>
  <si>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</si>
  <si>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</si>
  <si>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</si>
  <si>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</si>
  <si>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</si>
  <si>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</si>
  <si>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</si>
  <si>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</si>
  <si>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</si>
  <si>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</si>
  <si>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</si>
  <si>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</si>
  <si>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</si>
  <si>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</si>
  <si>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</si>
  <si>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</si>
  <si>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</si>
  <si>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</si>
  <si>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</si>
  <si>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</si>
  <si>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</si>
  <si>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</si>
  <si>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</si>
  <si>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</si>
  <si>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</si>
  <si>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</si>
  <si>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</si>
  <si>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</si>
  <si>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</si>
  <si>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</si>
  <si>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</si>
  <si>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</si>
  <si>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</si>
  <si>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</si>
  <si>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</si>
  <si>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</si>
  <si>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</si>
  <si>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</si>
  <si>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</si>
  <si>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</si>
  <si>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</si>
  <si>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</si>
  <si>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</si>
  <si>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</si>
  <si>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</si>
  <si>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</si>
  <si>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</si>
  <si>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</si>
  <si>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</si>
  <si>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</si>
  <si>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</si>
  <si>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</si>
  <si>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</si>
  <si>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</si>
  <si>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</si>
  <si>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</si>
  <si>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</si>
  <si>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</si>
  <si>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Release: 0.2</t>
  </si>
  <si>
    <t>13/11/09</t>
  </si>
  <si>
    <t>value written in the configuration file</t>
  </si>
  <si>
    <t>path:</t>
  </si>
  <si>
    <t>d:\iCub\app\iCubTemplate\conf</t>
  </si>
  <si>
    <t>Prepared by Marco Maggiali</t>
  </si>
</sst>
</file>

<file path=xl/styles.xml><?xml version="1.0" encoding="utf-8"?>
<styleSheet xmlns="http://schemas.openxmlformats.org/spreadsheetml/2006/main">
  <numFmts count="1">
    <numFmt numFmtId="164" formatCode="0.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15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17" fillId="8" borderId="10" xfId="0" applyFont="1" applyFill="1" applyBorder="1"/>
    <xf numFmtId="0" fontId="17" fillId="8" borderId="11" xfId="0" applyFont="1" applyFill="1" applyBorder="1"/>
    <xf numFmtId="0" fontId="18" fillId="8" borderId="11" xfId="0" applyFont="1" applyFill="1" applyBorder="1"/>
    <xf numFmtId="0" fontId="17" fillId="8" borderId="12" xfId="0" applyFont="1" applyFill="1" applyBorder="1"/>
    <xf numFmtId="164" fontId="23" fillId="25" borderId="13" xfId="0" applyNumberFormat="1" applyFont="1" applyFill="1" applyBorder="1"/>
    <xf numFmtId="164" fontId="23" fillId="17" borderId="13" xfId="0" applyNumberFormat="1" applyFont="1" applyFill="1" applyBorder="1"/>
    <xf numFmtId="164" fontId="23" fillId="10" borderId="13" xfId="0" applyNumberFormat="1" applyFont="1" applyFill="1" applyBorder="1"/>
    <xf numFmtId="0" fontId="23" fillId="17" borderId="13" xfId="0" applyFont="1" applyFill="1" applyBorder="1"/>
    <xf numFmtId="0" fontId="23" fillId="17" borderId="15" xfId="0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21" borderId="16" xfId="0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/>
    </xf>
    <xf numFmtId="164" fontId="20" fillId="21" borderId="17" xfId="0" applyNumberFormat="1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 wrapText="1"/>
    </xf>
    <xf numFmtId="164" fontId="24" fillId="21" borderId="18" xfId="0" applyNumberFormat="1" applyFont="1" applyFill="1" applyBorder="1" applyAlignment="1">
      <alignment horizontal="center" vertical="center"/>
    </xf>
    <xf numFmtId="164" fontId="23" fillId="17" borderId="15" xfId="0" applyNumberFormat="1" applyFont="1" applyFill="1" applyBorder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9" xfId="0" applyFill="1" applyBorder="1"/>
    <xf numFmtId="0" fontId="0" fillId="25" borderId="19" xfId="0" applyFill="1" applyBorder="1"/>
    <xf numFmtId="0" fontId="0" fillId="17" borderId="19" xfId="0" applyFill="1" applyBorder="1"/>
    <xf numFmtId="0" fontId="0" fillId="0" borderId="19" xfId="0" applyBorder="1"/>
    <xf numFmtId="0" fontId="0" fillId="25" borderId="20" xfId="0" applyFont="1" applyFill="1" applyBorder="1"/>
    <xf numFmtId="0" fontId="0" fillId="25" borderId="12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20" xfId="0" applyFont="1" applyFill="1" applyBorder="1"/>
    <xf numFmtId="0" fontId="0" fillId="11" borderId="12" xfId="0" applyFill="1" applyBorder="1"/>
    <xf numFmtId="0" fontId="0" fillId="0" borderId="0" xfId="0" applyNumberFormat="1"/>
    <xf numFmtId="0" fontId="23" fillId="26" borderId="13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164" fontId="23" fillId="25" borderId="21" xfId="0" applyNumberFormat="1" applyFont="1" applyFill="1" applyBorder="1"/>
    <xf numFmtId="164" fontId="23" fillId="17" borderId="21" xfId="0" applyNumberFormat="1" applyFont="1" applyFill="1" applyBorder="1"/>
    <xf numFmtId="164" fontId="23" fillId="10" borderId="21" xfId="0" applyNumberFormat="1" applyFont="1" applyFill="1" applyBorder="1"/>
    <xf numFmtId="0" fontId="23" fillId="17" borderId="21" xfId="0" applyFont="1" applyFill="1" applyBorder="1"/>
    <xf numFmtId="0" fontId="23" fillId="10" borderId="25" xfId="0" applyFont="1" applyFill="1" applyBorder="1"/>
    <xf numFmtId="164" fontId="23" fillId="10" borderId="26" xfId="0" applyNumberFormat="1" applyFont="1" applyFill="1" applyBorder="1"/>
    <xf numFmtId="164" fontId="23" fillId="17" borderId="26" xfId="0" applyNumberFormat="1" applyFont="1" applyFill="1" applyBorder="1"/>
    <xf numFmtId="0" fontId="23" fillId="17" borderId="26" xfId="0" applyFont="1" applyFill="1" applyBorder="1"/>
    <xf numFmtId="164" fontId="23" fillId="17" borderId="27" xfId="0" applyNumberFormat="1" applyFont="1" applyFill="1" applyBorder="1"/>
    <xf numFmtId="0" fontId="23" fillId="10" borderId="28" xfId="0" applyFont="1" applyFill="1" applyBorder="1"/>
    <xf numFmtId="164" fontId="23" fillId="17" borderId="29" xfId="0" applyNumberFormat="1" applyFont="1" applyFill="1" applyBorder="1"/>
    <xf numFmtId="0" fontId="23" fillId="10" borderId="30" xfId="0" applyFont="1" applyFill="1" applyBorder="1"/>
    <xf numFmtId="164" fontId="23" fillId="25" borderId="31" xfId="0" applyNumberFormat="1" applyFont="1" applyFill="1" applyBorder="1"/>
    <xf numFmtId="164" fontId="23" fillId="17" borderId="31" xfId="0" applyNumberFormat="1" applyFont="1" applyFill="1" applyBorder="1"/>
    <xf numFmtId="164" fontId="23" fillId="10" borderId="31" xfId="0" applyNumberFormat="1" applyFont="1" applyFill="1" applyBorder="1"/>
    <xf numFmtId="0" fontId="23" fillId="17" borderId="31" xfId="0" applyFont="1" applyFill="1" applyBorder="1"/>
    <xf numFmtId="164" fontId="23" fillId="17" borderId="32" xfId="0" applyNumberFormat="1" applyFont="1" applyFill="1" applyBorder="1"/>
    <xf numFmtId="0" fontId="17" fillId="8" borderId="33" xfId="0" applyFont="1" applyFill="1" applyBorder="1"/>
    <xf numFmtId="0" fontId="17" fillId="8" borderId="34" xfId="0" applyFont="1" applyFill="1" applyBorder="1"/>
    <xf numFmtId="0" fontId="18" fillId="8" borderId="34" xfId="0" applyFont="1" applyFill="1" applyBorder="1"/>
    <xf numFmtId="0" fontId="17" fillId="8" borderId="35" xfId="0" applyFont="1" applyFill="1" applyBorder="1"/>
    <xf numFmtId="0" fontId="22" fillId="3" borderId="36" xfId="25" applyNumberFormat="1" applyFont="1" applyBorder="1" applyAlignment="1" applyProtection="1">
      <alignment horizontal="center"/>
    </xf>
    <xf numFmtId="0" fontId="24" fillId="21" borderId="37" xfId="0" applyFont="1" applyFill="1" applyBorder="1" applyAlignment="1">
      <alignment horizontal="center" vertical="center" wrapText="1"/>
    </xf>
    <xf numFmtId="164" fontId="24" fillId="21" borderId="38" xfId="0" applyNumberFormat="1" applyFont="1" applyFill="1" applyBorder="1" applyAlignment="1">
      <alignment horizontal="center" vertical="center"/>
    </xf>
    <xf numFmtId="164" fontId="20" fillId="21" borderId="38" xfId="0" applyNumberFormat="1" applyFont="1" applyFill="1" applyBorder="1" applyAlignment="1">
      <alignment horizontal="center" vertical="center"/>
    </xf>
    <xf numFmtId="164" fontId="24" fillId="21" borderId="38" xfId="0" applyNumberFormat="1" applyFont="1" applyFill="1" applyBorder="1" applyAlignment="1">
      <alignment horizontal="center" vertical="center" wrapText="1"/>
    </xf>
    <xf numFmtId="164" fontId="24" fillId="21" borderId="39" xfId="0" applyNumberFormat="1" applyFont="1" applyFill="1" applyBorder="1" applyAlignment="1">
      <alignment horizontal="center" vertical="center"/>
    </xf>
    <xf numFmtId="164" fontId="24" fillId="21" borderId="40" xfId="0" applyNumberFormat="1" applyFont="1" applyFill="1" applyBorder="1" applyAlignment="1">
      <alignment horizontal="center" vertical="center"/>
    </xf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41" xfId="0" applyFont="1" applyFill="1" applyBorder="1"/>
    <xf numFmtId="0" fontId="17" fillId="8" borderId="24" xfId="0" applyFont="1" applyFill="1" applyBorder="1"/>
    <xf numFmtId="0" fontId="23" fillId="21" borderId="37" xfId="0" applyFont="1" applyFill="1" applyBorder="1" applyAlignment="1">
      <alignment horizontal="center" vertical="center"/>
    </xf>
    <xf numFmtId="0" fontId="23" fillId="10" borderId="42" xfId="0" applyFont="1" applyFill="1" applyBorder="1"/>
    <xf numFmtId="164" fontId="23" fillId="25" borderId="43" xfId="0" applyNumberFormat="1" applyFont="1" applyFill="1" applyBorder="1"/>
    <xf numFmtId="164" fontId="23" fillId="17" borderId="43" xfId="0" applyNumberFormat="1" applyFont="1" applyFill="1" applyBorder="1"/>
    <xf numFmtId="164" fontId="23" fillId="10" borderId="43" xfId="0" applyNumberFormat="1" applyFont="1" applyFill="1" applyBorder="1"/>
    <xf numFmtId="0" fontId="23" fillId="17" borderId="43" xfId="0" applyFont="1" applyFill="1" applyBorder="1"/>
    <xf numFmtId="0" fontId="23" fillId="17" borderId="44" xfId="0" applyFont="1" applyFill="1" applyBorder="1"/>
    <xf numFmtId="164" fontId="23" fillId="17" borderId="45" xfId="0" applyNumberFormat="1" applyFont="1" applyFill="1" applyBorder="1"/>
    <xf numFmtId="0" fontId="23" fillId="10" borderId="46" xfId="0" applyFont="1" applyFill="1" applyBorder="1"/>
    <xf numFmtId="164" fontId="23" fillId="17" borderId="47" xfId="0" applyNumberFormat="1" applyFont="1" applyFill="1" applyBorder="1"/>
    <xf numFmtId="0" fontId="23" fillId="17" borderId="47" xfId="0" applyFont="1" applyFill="1" applyBorder="1"/>
    <xf numFmtId="0" fontId="23" fillId="10" borderId="48" xfId="0" applyFont="1" applyFill="1" applyBorder="1"/>
    <xf numFmtId="0" fontId="23" fillId="17" borderId="49" xfId="0" applyFont="1" applyFill="1" applyBorder="1"/>
    <xf numFmtId="0" fontId="23" fillId="25" borderId="49" xfId="0" applyFont="1" applyFill="1" applyBorder="1"/>
    <xf numFmtId="2" fontId="23" fillId="17" borderId="49" xfId="0" applyNumberFormat="1" applyFont="1" applyFill="1" applyBorder="1"/>
    <xf numFmtId="0" fontId="23" fillId="17" borderId="50" xfId="0" applyFont="1" applyFill="1" applyBorder="1"/>
    <xf numFmtId="0" fontId="23" fillId="17" borderId="51" xfId="0" applyFont="1" applyFill="1" applyBorder="1"/>
    <xf numFmtId="0" fontId="23" fillId="21" borderId="52" xfId="0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/>
    </xf>
    <xf numFmtId="164" fontId="20" fillId="21" borderId="53" xfId="0" applyNumberFormat="1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 wrapText="1"/>
    </xf>
    <xf numFmtId="164" fontId="24" fillId="21" borderId="54" xfId="0" applyNumberFormat="1" applyFont="1" applyFill="1" applyBorder="1" applyAlignment="1">
      <alignment horizontal="center" vertical="center"/>
    </xf>
    <xf numFmtId="164" fontId="24" fillId="21" borderId="55" xfId="0" applyNumberFormat="1" applyFont="1" applyFill="1" applyBorder="1" applyAlignment="1">
      <alignment horizontal="center" vertical="center"/>
    </xf>
    <xf numFmtId="0" fontId="23" fillId="25" borderId="21" xfId="0" applyFont="1" applyFill="1" applyBorder="1"/>
    <xf numFmtId="2" fontId="23" fillId="17" borderId="21" xfId="0" applyNumberFormat="1" applyFont="1" applyFill="1" applyBorder="1"/>
    <xf numFmtId="0" fontId="23" fillId="25" borderId="26" xfId="0" applyFont="1" applyFill="1" applyBorder="1"/>
    <xf numFmtId="2" fontId="23" fillId="17" borderId="26" xfId="0" applyNumberFormat="1" applyFont="1" applyFill="1" applyBorder="1"/>
    <xf numFmtId="0" fontId="23" fillId="17" borderId="27" xfId="0" applyFont="1" applyFill="1" applyBorder="1"/>
    <xf numFmtId="0" fontId="23" fillId="17" borderId="29" xfId="0" applyFont="1" applyFill="1" applyBorder="1"/>
    <xf numFmtId="0" fontId="23" fillId="25" borderId="31" xfId="0" applyFont="1" applyFill="1" applyBorder="1"/>
    <xf numFmtId="0" fontId="23" fillId="17" borderId="32" xfId="0" applyFont="1" applyFill="1" applyBorder="1"/>
    <xf numFmtId="0" fontId="22" fillId="3" borderId="5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17" fillId="8" borderId="37" xfId="0" applyFont="1" applyFill="1" applyBorder="1"/>
    <xf numFmtId="0" fontId="17" fillId="8" borderId="38" xfId="0" applyFont="1" applyFill="1" applyBorder="1"/>
    <xf numFmtId="0" fontId="18" fillId="8" borderId="38" xfId="0" applyFont="1" applyFill="1" applyBorder="1"/>
    <xf numFmtId="0" fontId="17" fillId="8" borderId="57" xfId="0" applyFont="1" applyFill="1" applyBorder="1"/>
    <xf numFmtId="0" fontId="17" fillId="8" borderId="40" xfId="0" applyFont="1" applyFill="1" applyBorder="1"/>
    <xf numFmtId="0" fontId="22" fillId="0" borderId="56" xfId="25" applyNumberFormat="1" applyFont="1" applyFill="1" applyBorder="1" applyAlignment="1" applyProtection="1">
      <alignment horizontal="center"/>
    </xf>
    <xf numFmtId="164" fontId="23" fillId="0" borderId="43" xfId="0" applyNumberFormat="1" applyFont="1" applyFill="1" applyBorder="1"/>
    <xf numFmtId="164" fontId="23" fillId="0" borderId="49" xfId="0" applyNumberFormat="1" applyFont="1" applyFill="1" applyBorder="1"/>
    <xf numFmtId="164" fontId="23" fillId="0" borderId="21" xfId="0" applyNumberFormat="1" applyFont="1" applyFill="1" applyBorder="1"/>
    <xf numFmtId="164" fontId="23" fillId="0" borderId="26" xfId="0" applyNumberFormat="1" applyFont="1" applyFill="1" applyBorder="1"/>
    <xf numFmtId="164" fontId="23" fillId="0" borderId="31" xfId="0" applyNumberFormat="1" applyFont="1" applyFill="1" applyBorder="1"/>
    <xf numFmtId="0" fontId="23" fillId="0" borderId="13" xfId="0" applyFont="1" applyFill="1" applyBorder="1"/>
    <xf numFmtId="164" fontId="23" fillId="0" borderId="13" xfId="0" applyNumberFormat="1" applyFont="1" applyFill="1" applyBorder="1"/>
    <xf numFmtId="0" fontId="23" fillId="0" borderId="26" xfId="0" applyFont="1" applyFill="1" applyBorder="1"/>
    <xf numFmtId="0" fontId="23" fillId="0" borderId="21" xfId="0" applyFont="1" applyFill="1" applyBorder="1"/>
    <xf numFmtId="0" fontId="23" fillId="0" borderId="31" xfId="0" applyFont="1" applyFill="1" applyBorder="1"/>
    <xf numFmtId="0" fontId="0" fillId="0" borderId="21" xfId="0" applyBorder="1"/>
    <xf numFmtId="0" fontId="19" fillId="27" borderId="21" xfId="0" applyFont="1" applyFill="1" applyBorder="1"/>
    <xf numFmtId="0" fontId="24" fillId="21" borderId="58" xfId="0" applyFont="1" applyFill="1" applyBorder="1" applyAlignment="1">
      <alignment horizontal="center" vertical="center"/>
    </xf>
    <xf numFmtId="164" fontId="23" fillId="25" borderId="26" xfId="0" applyNumberFormat="1" applyFont="1" applyFill="1" applyBorder="1"/>
    <xf numFmtId="0" fontId="19" fillId="27" borderId="26" xfId="0" applyFont="1" applyFill="1" applyBorder="1"/>
    <xf numFmtId="0" fontId="0" fillId="0" borderId="26" xfId="0" applyBorder="1"/>
    <xf numFmtId="0" fontId="19" fillId="27" borderId="31" xfId="0" applyFont="1" applyFill="1" applyBorder="1"/>
    <xf numFmtId="0" fontId="0" fillId="0" borderId="31" xfId="0" applyBorder="1"/>
    <xf numFmtId="0" fontId="23" fillId="27" borderId="21" xfId="0" applyFont="1" applyFill="1" applyBorder="1"/>
    <xf numFmtId="164" fontId="23" fillId="0" borderId="59" xfId="0" applyNumberFormat="1" applyFont="1" applyFill="1" applyBorder="1"/>
    <xf numFmtId="164" fontId="23" fillId="0" borderId="60" xfId="0" applyNumberFormat="1" applyFont="1" applyFill="1" applyBorder="1"/>
    <xf numFmtId="164" fontId="23" fillId="10" borderId="60" xfId="0" applyNumberFormat="1" applyFont="1" applyFill="1" applyBorder="1"/>
    <xf numFmtId="164" fontId="23" fillId="10" borderId="61" xfId="0" applyNumberFormat="1" applyFont="1" applyFill="1" applyBorder="1"/>
    <xf numFmtId="0" fontId="23" fillId="0" borderId="62" xfId="0" applyFont="1" applyFill="1" applyBorder="1"/>
    <xf numFmtId="0" fontId="23" fillId="0" borderId="63" xfId="0" applyFont="1" applyFill="1" applyBorder="1"/>
    <xf numFmtId="0" fontId="23" fillId="0" borderId="64" xfId="0" applyFont="1" applyFill="1" applyBorder="1"/>
    <xf numFmtId="164" fontId="23" fillId="10" borderId="44" xfId="0" applyNumberFormat="1" applyFont="1" applyFill="1" applyBorder="1"/>
    <xf numFmtId="164" fontId="23" fillId="10" borderId="15" xfId="0" applyNumberFormat="1" applyFont="1" applyFill="1" applyBorder="1"/>
    <xf numFmtId="0" fontId="23" fillId="26" borderId="15" xfId="0" applyFont="1" applyFill="1" applyBorder="1"/>
    <xf numFmtId="164" fontId="23" fillId="0" borderId="15" xfId="0" applyNumberFormat="1" applyFont="1" applyFill="1" applyBorder="1"/>
    <xf numFmtId="0" fontId="23" fillId="0" borderId="65" xfId="0" applyFont="1" applyFill="1" applyBorder="1"/>
    <xf numFmtId="0" fontId="23" fillId="0" borderId="14" xfId="0" applyFont="1" applyFill="1" applyBorder="1"/>
    <xf numFmtId="0" fontId="23" fillId="17" borderId="66" xfId="0" applyFont="1" applyFill="1" applyBorder="1"/>
    <xf numFmtId="2" fontId="23" fillId="17" borderId="31" xfId="0" applyNumberFormat="1" applyFont="1" applyFill="1" applyBorder="1"/>
    <xf numFmtId="164" fontId="19" fillId="27" borderId="21" xfId="0" applyNumberFormat="1" applyFont="1" applyFill="1" applyBorder="1"/>
    <xf numFmtId="164" fontId="23" fillId="0" borderId="65" xfId="0" applyNumberFormat="1" applyFont="1" applyFill="1" applyBorder="1"/>
    <xf numFmtId="164" fontId="23" fillId="17" borderId="44" xfId="0" applyNumberFormat="1" applyFont="1" applyFill="1" applyBorder="1"/>
    <xf numFmtId="164" fontId="23" fillId="0" borderId="14" xfId="0" applyNumberFormat="1" applyFont="1" applyFill="1" applyBorder="1"/>
    <xf numFmtId="164" fontId="23" fillId="17" borderId="66" xfId="0" applyNumberFormat="1" applyFont="1" applyFill="1" applyBorder="1"/>
    <xf numFmtId="164" fontId="23" fillId="25" borderId="49" xfId="0" applyNumberFormat="1" applyFont="1" applyFill="1" applyBorder="1"/>
    <xf numFmtId="164" fontId="23" fillId="17" borderId="49" xfId="0" applyNumberFormat="1" applyFont="1" applyFill="1" applyBorder="1"/>
    <xf numFmtId="164" fontId="23" fillId="17" borderId="50" xfId="0" applyNumberFormat="1" applyFont="1" applyFill="1" applyBorder="1"/>
    <xf numFmtId="164" fontId="23" fillId="17" borderId="51" xfId="0" applyNumberFormat="1" applyFont="1" applyFill="1" applyBorder="1"/>
    <xf numFmtId="2" fontId="0" fillId="0" borderId="0" xfId="0" applyNumberFormat="1"/>
    <xf numFmtId="0" fontId="19" fillId="28" borderId="68" xfId="0" applyFont="1" applyFill="1" applyBorder="1"/>
    <xf numFmtId="0" fontId="19" fillId="28" borderId="69" xfId="0" applyFont="1" applyFill="1" applyBorder="1"/>
    <xf numFmtId="0" fontId="19" fillId="28" borderId="70" xfId="0" applyFont="1" applyFill="1" applyBorder="1"/>
    <xf numFmtId="0" fontId="17" fillId="29" borderId="67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T107"/>
  <sheetViews>
    <sheetView tabSelected="1" zoomScale="75" zoomScaleNormal="75" workbookViewId="0">
      <selection activeCell="A3" sqref="A3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8.28515625" customWidth="1"/>
    <col min="10" max="10" width="10.5703125" bestFit="1" customWidth="1"/>
    <col min="11" max="11" width="12.28515625" customWidth="1"/>
    <col min="12" max="12" width="21.7109375" customWidth="1"/>
    <col min="13" max="13" width="15.5703125" customWidth="1"/>
    <col min="14" max="14" width="18.28515625" customWidth="1"/>
  </cols>
  <sheetData>
    <row r="2" spans="1:20">
      <c r="A2" t="s">
        <v>186</v>
      </c>
    </row>
    <row r="4" spans="1:20" ht="15.75" thickBot="1">
      <c r="C4" s="3"/>
      <c r="D4" s="3"/>
    </row>
    <row r="5" spans="1:20" ht="21.75" thickBot="1">
      <c r="B5" s="56" t="s">
        <v>0</v>
      </c>
      <c r="C5" s="57"/>
      <c r="D5" s="57"/>
      <c r="E5" s="58"/>
      <c r="F5" s="58"/>
      <c r="G5" s="57"/>
      <c r="H5" s="57"/>
      <c r="I5" s="57"/>
      <c r="J5" s="57"/>
      <c r="K5" s="57"/>
      <c r="L5" s="57"/>
      <c r="M5" s="57"/>
      <c r="N5" s="59"/>
    </row>
    <row r="6" spans="1:20" ht="47.25" customHeight="1" thickBot="1">
      <c r="A6" s="61" t="s">
        <v>1</v>
      </c>
      <c r="B6" s="123" t="s">
        <v>2</v>
      </c>
      <c r="C6" s="90" t="s">
        <v>3</v>
      </c>
      <c r="D6" s="90" t="s">
        <v>4</v>
      </c>
      <c r="E6" s="91" t="s">
        <v>5</v>
      </c>
      <c r="F6" s="92" t="s">
        <v>179</v>
      </c>
      <c r="G6" s="90" t="s">
        <v>6</v>
      </c>
      <c r="H6" s="90" t="s">
        <v>7</v>
      </c>
      <c r="I6" s="90" t="s">
        <v>8</v>
      </c>
      <c r="J6" s="90" t="s">
        <v>9</v>
      </c>
      <c r="K6" s="90" t="s">
        <v>10</v>
      </c>
      <c r="L6" s="90" t="s">
        <v>11</v>
      </c>
      <c r="M6" s="93" t="s">
        <v>12</v>
      </c>
      <c r="N6" s="94" t="s">
        <v>13</v>
      </c>
    </row>
    <row r="7" spans="1:20" ht="18.75">
      <c r="A7" s="60">
        <v>0</v>
      </c>
      <c r="B7" s="43" t="s">
        <v>14</v>
      </c>
      <c r="C7" s="124">
        <v>233.2</v>
      </c>
      <c r="D7" s="45">
        <v>180</v>
      </c>
      <c r="E7" s="44">
        <f>(ABS(C7)-ABS(D7))</f>
        <v>53.199999999999989</v>
      </c>
      <c r="F7" s="44">
        <f>IF(E7&gt;=0,(E7*11.375),(360+E7)*11.375)</f>
        <v>605.14999999999986</v>
      </c>
      <c r="G7" s="125">
        <v>-30</v>
      </c>
      <c r="H7" s="125">
        <v>90</v>
      </c>
      <c r="I7" s="126"/>
      <c r="J7" s="126"/>
      <c r="K7" s="98">
        <v>11.375</v>
      </c>
      <c r="L7" s="46">
        <f>D7*K7</f>
        <v>2047.5</v>
      </c>
      <c r="M7" s="46">
        <v>10</v>
      </c>
      <c r="N7" s="47">
        <f>+F7</f>
        <v>605.14999999999986</v>
      </c>
    </row>
    <row r="8" spans="1:20" ht="18.75">
      <c r="A8" s="38">
        <v>1</v>
      </c>
      <c r="B8" s="48" t="s">
        <v>15</v>
      </c>
      <c r="C8" s="39">
        <v>210.6</v>
      </c>
      <c r="D8" s="40">
        <v>180</v>
      </c>
      <c r="E8" s="41">
        <f t="shared" ref="E8:E18" si="0">(ABS(C8)-ABS(D8))</f>
        <v>30.599999999999994</v>
      </c>
      <c r="F8" s="41">
        <f t="shared" ref="F8:F18" si="1">IF(E8&gt;=0,(E8*11.375),(360+E8)*11.375)</f>
        <v>348.07499999999993</v>
      </c>
      <c r="G8" s="122">
        <v>0</v>
      </c>
      <c r="H8" s="122">
        <v>90</v>
      </c>
      <c r="I8" s="121"/>
      <c r="J8" s="121"/>
      <c r="K8" s="96">
        <v>11.375</v>
      </c>
      <c r="L8" s="42">
        <f t="shared" ref="L8:L18" si="2">D8*K8</f>
        <v>2047.5</v>
      </c>
      <c r="M8" s="42">
        <v>10</v>
      </c>
      <c r="N8" s="49">
        <f>F8</f>
        <v>348.07499999999993</v>
      </c>
    </row>
    <row r="9" spans="1:20" ht="18.75">
      <c r="A9" s="38">
        <v>2</v>
      </c>
      <c r="B9" s="48" t="s">
        <v>16</v>
      </c>
      <c r="C9" s="39">
        <v>124.9</v>
      </c>
      <c r="D9" s="40">
        <v>180</v>
      </c>
      <c r="E9" s="41">
        <f t="shared" si="0"/>
        <v>-55.099999999999994</v>
      </c>
      <c r="F9" s="41">
        <f t="shared" si="1"/>
        <v>3468.2374999999997</v>
      </c>
      <c r="G9" s="122">
        <v>-80</v>
      </c>
      <c r="H9" s="122">
        <v>78</v>
      </c>
      <c r="I9" s="121"/>
      <c r="J9" s="121"/>
      <c r="K9" s="96">
        <v>11.375</v>
      </c>
      <c r="L9" s="42">
        <f t="shared" si="2"/>
        <v>2047.5</v>
      </c>
      <c r="M9" s="42">
        <v>10</v>
      </c>
      <c r="N9" s="49">
        <f t="shared" ref="N9:N18" si="3">+F9</f>
        <v>3468.2374999999997</v>
      </c>
    </row>
    <row r="10" spans="1:20" ht="18.75">
      <c r="A10" s="38">
        <v>3</v>
      </c>
      <c r="B10" s="48" t="s">
        <v>17</v>
      </c>
      <c r="C10" s="39">
        <v>124</v>
      </c>
      <c r="D10" s="40">
        <v>180</v>
      </c>
      <c r="E10" s="41">
        <f t="shared" si="0"/>
        <v>-56</v>
      </c>
      <c r="F10" s="41">
        <f t="shared" si="1"/>
        <v>3458</v>
      </c>
      <c r="G10" s="122">
        <v>-125</v>
      </c>
      <c r="H10" s="122">
        <v>15</v>
      </c>
      <c r="I10" s="121"/>
      <c r="J10" s="121"/>
      <c r="K10" s="96">
        <v>11.375</v>
      </c>
      <c r="L10" s="42">
        <f t="shared" si="2"/>
        <v>2047.5</v>
      </c>
      <c r="M10" s="42">
        <v>10</v>
      </c>
      <c r="N10" s="49">
        <f t="shared" si="3"/>
        <v>3458</v>
      </c>
    </row>
    <row r="11" spans="1:20" ht="18.75">
      <c r="A11" s="38">
        <v>4</v>
      </c>
      <c r="B11" s="48" t="s">
        <v>18</v>
      </c>
      <c r="C11" s="39">
        <v>358.4</v>
      </c>
      <c r="D11" s="40">
        <v>180</v>
      </c>
      <c r="E11" s="41">
        <f t="shared" si="0"/>
        <v>178.39999999999998</v>
      </c>
      <c r="F11" s="41">
        <f t="shared" si="1"/>
        <v>2029.2999999999997</v>
      </c>
      <c r="G11" s="122">
        <v>-20</v>
      </c>
      <c r="H11" s="122">
        <v>39</v>
      </c>
      <c r="I11" s="121"/>
      <c r="J11" s="121"/>
      <c r="K11" s="96">
        <v>11.375</v>
      </c>
      <c r="L11" s="42">
        <f t="shared" si="2"/>
        <v>2047.5</v>
      </c>
      <c r="M11" s="42">
        <v>10</v>
      </c>
      <c r="N11" s="49">
        <f t="shared" si="3"/>
        <v>2029.2999999999997</v>
      </c>
    </row>
    <row r="12" spans="1:20" ht="18.75">
      <c r="A12" s="38">
        <v>5</v>
      </c>
      <c r="B12" s="48" t="s">
        <v>19</v>
      </c>
      <c r="C12" s="39">
        <v>124.4</v>
      </c>
      <c r="D12" s="40">
        <v>180</v>
      </c>
      <c r="E12" s="41">
        <f t="shared" si="0"/>
        <v>-55.599999999999994</v>
      </c>
      <c r="F12" s="41">
        <f t="shared" si="1"/>
        <v>3462.5499999999997</v>
      </c>
      <c r="G12" s="122">
        <v>-22</v>
      </c>
      <c r="H12" s="122">
        <v>22</v>
      </c>
      <c r="I12" s="121"/>
      <c r="J12" s="121"/>
      <c r="K12" s="96">
        <v>11.375</v>
      </c>
      <c r="L12" s="42">
        <f t="shared" si="2"/>
        <v>2047.5</v>
      </c>
      <c r="M12" s="42">
        <v>10</v>
      </c>
      <c r="N12" s="49">
        <f t="shared" si="3"/>
        <v>3462.5499999999997</v>
      </c>
    </row>
    <row r="13" spans="1:20" ht="18.75">
      <c r="A13" s="38">
        <v>6</v>
      </c>
      <c r="B13" s="48" t="s">
        <v>20</v>
      </c>
      <c r="C13" s="39">
        <v>-156.69999999999999</v>
      </c>
      <c r="D13" s="40">
        <v>-180</v>
      </c>
      <c r="E13" s="41">
        <f t="shared" si="0"/>
        <v>-23.300000000000011</v>
      </c>
      <c r="F13" s="41">
        <f t="shared" si="1"/>
        <v>3829.9625000000001</v>
      </c>
      <c r="G13" s="122">
        <v>-30</v>
      </c>
      <c r="H13" s="122">
        <v>90</v>
      </c>
      <c r="I13" s="121"/>
      <c r="J13" s="121"/>
      <c r="K13" s="96">
        <v>-11.375</v>
      </c>
      <c r="L13" s="42">
        <f t="shared" si="2"/>
        <v>2047.5</v>
      </c>
      <c r="M13" s="42">
        <v>10</v>
      </c>
      <c r="N13" s="49">
        <f t="shared" si="3"/>
        <v>3829.9625000000001</v>
      </c>
    </row>
    <row r="14" spans="1:20" ht="18.75">
      <c r="A14" s="38">
        <v>7</v>
      </c>
      <c r="B14" s="48" t="s">
        <v>21</v>
      </c>
      <c r="C14" s="39">
        <v>-124</v>
      </c>
      <c r="D14" s="40">
        <v>-180</v>
      </c>
      <c r="E14" s="41">
        <f t="shared" si="0"/>
        <v>-56</v>
      </c>
      <c r="F14" s="41">
        <f t="shared" si="1"/>
        <v>3458</v>
      </c>
      <c r="G14" s="122">
        <v>0</v>
      </c>
      <c r="H14" s="122">
        <v>90</v>
      </c>
      <c r="I14" s="121"/>
      <c r="J14" s="121"/>
      <c r="K14" s="96">
        <v>-11.375</v>
      </c>
      <c r="L14" s="42">
        <f t="shared" si="2"/>
        <v>2047.5</v>
      </c>
      <c r="M14" s="42">
        <v>10</v>
      </c>
      <c r="N14" s="49">
        <f t="shared" si="3"/>
        <v>3458</v>
      </c>
    </row>
    <row r="15" spans="1:20" ht="19.5" thickBot="1">
      <c r="A15" s="38">
        <v>8</v>
      </c>
      <c r="B15" s="48" t="s">
        <v>22</v>
      </c>
      <c r="C15" s="39">
        <v>-190.8</v>
      </c>
      <c r="D15" s="40">
        <v>-180</v>
      </c>
      <c r="E15" s="41">
        <f t="shared" si="0"/>
        <v>10.800000000000011</v>
      </c>
      <c r="F15" s="41">
        <f t="shared" si="1"/>
        <v>122.85000000000014</v>
      </c>
      <c r="G15" s="122">
        <v>-80</v>
      </c>
      <c r="H15" s="122">
        <v>78</v>
      </c>
      <c r="I15" s="121"/>
      <c r="J15" s="121"/>
      <c r="K15" s="96">
        <v>-11.375</v>
      </c>
      <c r="L15" s="42">
        <f t="shared" si="2"/>
        <v>2047.5</v>
      </c>
      <c r="M15" s="42">
        <v>10</v>
      </c>
      <c r="N15" s="49">
        <f t="shared" si="3"/>
        <v>122.85000000000014</v>
      </c>
    </row>
    <row r="16" spans="1:20" ht="21.75" thickBot="1">
      <c r="A16" s="38">
        <v>9</v>
      </c>
      <c r="B16" s="48" t="s">
        <v>23</v>
      </c>
      <c r="C16" s="39">
        <v>-47.7</v>
      </c>
      <c r="D16" s="40">
        <v>-180</v>
      </c>
      <c r="E16" s="41">
        <f t="shared" si="0"/>
        <v>-132.30000000000001</v>
      </c>
      <c r="F16" s="41">
        <f t="shared" si="1"/>
        <v>2590.0875000000001</v>
      </c>
      <c r="G16" s="122">
        <v>-125</v>
      </c>
      <c r="H16" s="122">
        <v>15</v>
      </c>
      <c r="I16" s="121"/>
      <c r="J16" s="121"/>
      <c r="K16" s="96">
        <v>-11.375</v>
      </c>
      <c r="L16" s="42">
        <f t="shared" si="2"/>
        <v>2047.5</v>
      </c>
      <c r="M16" s="42">
        <v>10</v>
      </c>
      <c r="N16" s="49">
        <f t="shared" si="3"/>
        <v>2590.0875000000001</v>
      </c>
      <c r="P16" s="158" t="s">
        <v>184</v>
      </c>
      <c r="Q16" s="157" t="s">
        <v>185</v>
      </c>
      <c r="R16" s="155"/>
      <c r="S16" s="155"/>
      <c r="T16" s="156"/>
    </row>
    <row r="17" spans="1:14" ht="18.75">
      <c r="A17" s="38">
        <v>10</v>
      </c>
      <c r="B17" s="48" t="s">
        <v>24</v>
      </c>
      <c r="C17" s="39">
        <v>-65.2</v>
      </c>
      <c r="D17" s="40">
        <v>-180</v>
      </c>
      <c r="E17" s="41">
        <f t="shared" si="0"/>
        <v>-114.8</v>
      </c>
      <c r="F17" s="41">
        <f t="shared" si="1"/>
        <v>2789.15</v>
      </c>
      <c r="G17" s="122">
        <v>-20</v>
      </c>
      <c r="H17" s="122">
        <v>39</v>
      </c>
      <c r="I17" s="121"/>
      <c r="J17" s="121"/>
      <c r="K17" s="96">
        <v>-11.375</v>
      </c>
      <c r="L17" s="42">
        <f t="shared" si="2"/>
        <v>2047.5</v>
      </c>
      <c r="M17" s="42">
        <v>10</v>
      </c>
      <c r="N17" s="49">
        <f t="shared" si="3"/>
        <v>2789.15</v>
      </c>
    </row>
    <row r="18" spans="1:14" ht="19.5" thickBot="1">
      <c r="A18" s="38">
        <v>11</v>
      </c>
      <c r="B18" s="50" t="s">
        <v>25</v>
      </c>
      <c r="C18" s="51">
        <v>-321.10000000000002</v>
      </c>
      <c r="D18" s="52">
        <v>-180</v>
      </c>
      <c r="E18" s="53">
        <f t="shared" si="0"/>
        <v>141.10000000000002</v>
      </c>
      <c r="F18" s="53">
        <f t="shared" si="1"/>
        <v>1605.0125000000003</v>
      </c>
      <c r="G18" s="127">
        <v>-22</v>
      </c>
      <c r="H18" s="127">
        <v>22</v>
      </c>
      <c r="I18" s="128"/>
      <c r="J18" s="128"/>
      <c r="K18" s="144">
        <v>-11.375</v>
      </c>
      <c r="L18" s="54">
        <f t="shared" si="2"/>
        <v>2047.5</v>
      </c>
      <c r="M18" s="54">
        <v>10</v>
      </c>
      <c r="N18" s="55">
        <f t="shared" si="3"/>
        <v>1605.0125000000003</v>
      </c>
    </row>
    <row r="19" spans="1:14" ht="18.75">
      <c r="B19" s="13"/>
      <c r="C19" s="14"/>
      <c r="D19" s="14"/>
      <c r="E19" s="14"/>
      <c r="F19" s="14"/>
      <c r="G19" s="15"/>
      <c r="H19" s="14"/>
      <c r="I19" s="14"/>
      <c r="J19" s="15"/>
      <c r="K19" s="15"/>
      <c r="L19" s="15"/>
      <c r="M19" s="15"/>
      <c r="N19" s="14"/>
    </row>
    <row r="20" spans="1:14" ht="18.75">
      <c r="B20" s="13"/>
      <c r="C20" s="14"/>
      <c r="D20" s="14"/>
      <c r="E20" s="14"/>
      <c r="F20" s="14"/>
      <c r="G20" s="15"/>
      <c r="H20" s="14"/>
      <c r="I20" s="14"/>
      <c r="J20" s="15"/>
      <c r="K20" s="15"/>
      <c r="L20" s="15"/>
      <c r="M20" s="15"/>
      <c r="N20" s="14"/>
    </row>
    <row r="21" spans="1:14" ht="18.75">
      <c r="B21" s="13"/>
      <c r="C21" s="14"/>
      <c r="D21" s="14"/>
      <c r="E21" s="14"/>
      <c r="F21" s="14"/>
      <c r="G21" s="15"/>
      <c r="H21" s="14"/>
      <c r="I21" s="14"/>
      <c r="J21" s="15"/>
      <c r="K21" s="15"/>
      <c r="L21" s="15"/>
      <c r="M21" s="15"/>
      <c r="N21" s="14"/>
    </row>
    <row r="22" spans="1:14" ht="21.75" thickBot="1">
      <c r="B22" s="4" t="s">
        <v>26</v>
      </c>
      <c r="C22" s="5"/>
      <c r="D22" s="5"/>
      <c r="E22" s="6"/>
      <c r="F22" s="6"/>
      <c r="G22" s="5"/>
      <c r="H22" s="5"/>
      <c r="I22" s="5"/>
      <c r="J22" s="5"/>
      <c r="K22" s="5"/>
      <c r="L22" s="5"/>
      <c r="M22" s="5"/>
      <c r="N22" s="7"/>
    </row>
    <row r="23" spans="1:14" ht="48" customHeight="1" thickBot="1">
      <c r="A23" s="61" t="s">
        <v>1</v>
      </c>
      <c r="B23" s="16" t="s">
        <v>2</v>
      </c>
      <c r="C23" s="17" t="s">
        <v>27</v>
      </c>
      <c r="D23" s="17" t="s">
        <v>4</v>
      </c>
      <c r="E23" s="18" t="s">
        <v>5</v>
      </c>
      <c r="F23" s="19" t="s">
        <v>179</v>
      </c>
      <c r="G23" s="17" t="s">
        <v>6</v>
      </c>
      <c r="H23" s="17" t="s">
        <v>7</v>
      </c>
      <c r="I23" s="17" t="s">
        <v>8</v>
      </c>
      <c r="J23" s="17" t="s">
        <v>9</v>
      </c>
      <c r="K23" s="17" t="s">
        <v>10</v>
      </c>
      <c r="L23" s="17" t="s">
        <v>11</v>
      </c>
      <c r="M23" s="17" t="s">
        <v>12</v>
      </c>
      <c r="N23" s="20" t="s">
        <v>13</v>
      </c>
    </row>
    <row r="24" spans="1:14" ht="18.75">
      <c r="A24" s="60">
        <v>0</v>
      </c>
      <c r="B24" s="43" t="s">
        <v>28</v>
      </c>
      <c r="C24" s="114"/>
      <c r="D24" s="45">
        <v>40</v>
      </c>
      <c r="E24" s="114"/>
      <c r="F24" s="130"/>
      <c r="G24" s="125">
        <v>-39</v>
      </c>
      <c r="H24" s="125">
        <v>24</v>
      </c>
      <c r="I24" s="134"/>
      <c r="J24" s="118"/>
      <c r="K24" s="46">
        <v>-1951.29</v>
      </c>
      <c r="L24" s="46">
        <v>500</v>
      </c>
      <c r="M24" s="45">
        <v>20</v>
      </c>
      <c r="N24" s="47">
        <v>0</v>
      </c>
    </row>
    <row r="25" spans="1:14" ht="18.75">
      <c r="A25" s="38">
        <v>1</v>
      </c>
      <c r="B25" s="48" t="s">
        <v>29</v>
      </c>
      <c r="C25" s="113"/>
      <c r="D25" s="40">
        <v>47</v>
      </c>
      <c r="E25" s="113"/>
      <c r="F25" s="131"/>
      <c r="G25" s="129">
        <v>-47</v>
      </c>
      <c r="H25" s="122">
        <v>47</v>
      </c>
      <c r="I25" s="135"/>
      <c r="J25" s="119"/>
      <c r="K25" s="42">
        <v>-1951.29</v>
      </c>
      <c r="L25" s="42">
        <v>1000</v>
      </c>
      <c r="M25" s="40">
        <v>20</v>
      </c>
      <c r="N25" s="49">
        <f t="shared" ref="N25:N32" si="4">+F25</f>
        <v>0</v>
      </c>
    </row>
    <row r="26" spans="1:14" ht="18.75">
      <c r="A26" s="38">
        <v>2</v>
      </c>
      <c r="B26" s="48" t="s">
        <v>30</v>
      </c>
      <c r="C26" s="113"/>
      <c r="D26" s="40">
        <v>55.45</v>
      </c>
      <c r="E26" s="113"/>
      <c r="F26" s="131"/>
      <c r="G26" s="122">
        <v>-52</v>
      </c>
      <c r="H26" s="122">
        <v>52</v>
      </c>
      <c r="I26" s="135"/>
      <c r="J26" s="119"/>
      <c r="K26" s="42">
        <v>-1399.46</v>
      </c>
      <c r="L26" s="42">
        <v>900</v>
      </c>
      <c r="M26" s="40">
        <v>20</v>
      </c>
      <c r="N26" s="49">
        <f t="shared" si="4"/>
        <v>0</v>
      </c>
    </row>
    <row r="27" spans="1:14" ht="18.75">
      <c r="A27" s="38">
        <v>3</v>
      </c>
      <c r="B27" s="48" t="s">
        <v>31</v>
      </c>
      <c r="C27" s="113"/>
      <c r="D27" s="40">
        <v>-38.4</v>
      </c>
      <c r="E27" s="113"/>
      <c r="F27" s="131"/>
      <c r="G27" s="122">
        <v>-44</v>
      </c>
      <c r="H27" s="122">
        <v>19</v>
      </c>
      <c r="I27" s="135"/>
      <c r="J27" s="119"/>
      <c r="K27" s="42">
        <v>-1093.33</v>
      </c>
      <c r="L27" s="42">
        <v>600</v>
      </c>
      <c r="M27" s="40">
        <v>-20</v>
      </c>
      <c r="N27" s="49">
        <f t="shared" si="4"/>
        <v>0</v>
      </c>
    </row>
    <row r="28" spans="1:14" ht="18.75">
      <c r="A28" s="38">
        <v>4</v>
      </c>
      <c r="B28" s="48" t="s">
        <v>32</v>
      </c>
      <c r="C28" s="113"/>
      <c r="D28" s="40">
        <v>47.35</v>
      </c>
      <c r="E28" s="113"/>
      <c r="F28" s="131"/>
      <c r="G28" s="122">
        <v>-63</v>
      </c>
      <c r="H28" s="122">
        <v>66</v>
      </c>
      <c r="I28" s="135"/>
      <c r="J28" s="119"/>
      <c r="K28" s="42">
        <v>-586.66</v>
      </c>
      <c r="L28" s="42">
        <v>1333</v>
      </c>
      <c r="M28" s="40">
        <v>20</v>
      </c>
      <c r="N28" s="49">
        <f t="shared" si="4"/>
        <v>0</v>
      </c>
    </row>
    <row r="29" spans="1:14" ht="18.75">
      <c r="A29" s="38">
        <v>5</v>
      </c>
      <c r="B29" s="48" t="s">
        <v>33</v>
      </c>
      <c r="C29" s="113"/>
      <c r="D29" s="40">
        <v>8.9600000000000009</v>
      </c>
      <c r="E29" s="113"/>
      <c r="F29" s="131"/>
      <c r="G29" s="122">
        <v>0</v>
      </c>
      <c r="H29" s="122">
        <v>50</v>
      </c>
      <c r="I29" s="135"/>
      <c r="J29" s="119"/>
      <c r="K29" s="42">
        <v>293.33</v>
      </c>
      <c r="L29" s="42">
        <v>1333</v>
      </c>
      <c r="M29" s="40">
        <v>20</v>
      </c>
      <c r="N29" s="49">
        <f t="shared" si="4"/>
        <v>0</v>
      </c>
    </row>
    <row r="30" spans="1:14" ht="18.75">
      <c r="A30" s="38">
        <v>6</v>
      </c>
      <c r="B30" s="48" t="s">
        <v>34</v>
      </c>
      <c r="C30" s="39">
        <v>233</v>
      </c>
      <c r="D30" s="40">
        <v>180</v>
      </c>
      <c r="E30" s="41">
        <f>(C30-D30)</f>
        <v>53</v>
      </c>
      <c r="F30" s="132">
        <f>IF(E30&gt;=0,(E30*11.375),(360+E30)*11.375)</f>
        <v>602.875</v>
      </c>
      <c r="G30" s="122">
        <v>-50</v>
      </c>
      <c r="H30" s="122">
        <v>50</v>
      </c>
      <c r="I30" s="135"/>
      <c r="J30" s="119"/>
      <c r="K30" s="42">
        <v>11.375</v>
      </c>
      <c r="L30" s="42">
        <f>D30*K30</f>
        <v>2047.5</v>
      </c>
      <c r="M30" s="42">
        <v>10</v>
      </c>
      <c r="N30" s="49">
        <f t="shared" si="4"/>
        <v>602.875</v>
      </c>
    </row>
    <row r="31" spans="1:14" ht="18.75">
      <c r="A31" s="38">
        <v>7</v>
      </c>
      <c r="B31" s="48" t="s">
        <v>35</v>
      </c>
      <c r="C31" s="39">
        <v>51.6</v>
      </c>
      <c r="D31" s="40">
        <v>180</v>
      </c>
      <c r="E31" s="41">
        <f>(C31-D31)</f>
        <v>-128.4</v>
      </c>
      <c r="F31" s="132">
        <f>IF(E31&gt;=0,(E31*11.375),(360+E31)*11.375)</f>
        <v>2634.45</v>
      </c>
      <c r="G31" s="122">
        <v>-30</v>
      </c>
      <c r="H31" s="122">
        <v>30</v>
      </c>
      <c r="I31" s="135"/>
      <c r="J31" s="119"/>
      <c r="K31" s="42">
        <v>11.375</v>
      </c>
      <c r="L31" s="42">
        <f>D31*K31</f>
        <v>2047.5</v>
      </c>
      <c r="M31" s="42">
        <v>10</v>
      </c>
      <c r="N31" s="49">
        <f t="shared" si="4"/>
        <v>2634.45</v>
      </c>
    </row>
    <row r="32" spans="1:14" ht="19.5" thickBot="1">
      <c r="A32" s="103">
        <v>8</v>
      </c>
      <c r="B32" s="50" t="s">
        <v>36</v>
      </c>
      <c r="C32" s="51">
        <v>77.8</v>
      </c>
      <c r="D32" s="52">
        <v>180</v>
      </c>
      <c r="E32" s="53">
        <f>(C32-D32)</f>
        <v>-102.2</v>
      </c>
      <c r="F32" s="133">
        <f>IF(E32&gt;=0,(E32*11.375),(360+E32)*11.375)</f>
        <v>2932.4749999999999</v>
      </c>
      <c r="G32" s="127">
        <v>-22</v>
      </c>
      <c r="H32" s="127">
        <v>70</v>
      </c>
      <c r="I32" s="136"/>
      <c r="J32" s="120"/>
      <c r="K32" s="54">
        <v>11.375</v>
      </c>
      <c r="L32" s="54">
        <f>D32*K32</f>
        <v>2047.5</v>
      </c>
      <c r="M32" s="54">
        <v>10</v>
      </c>
      <c r="N32" s="55">
        <f t="shared" si="4"/>
        <v>2932.4749999999999</v>
      </c>
    </row>
    <row r="33" spans="1:14" ht="18.75">
      <c r="A33" s="104"/>
      <c r="B33" s="13"/>
      <c r="C33" s="14"/>
      <c r="D33" s="14"/>
      <c r="E33" s="14"/>
      <c r="F33" s="14"/>
      <c r="G33" s="13"/>
      <c r="H33" s="13"/>
      <c r="I33" s="13"/>
      <c r="J33" s="13"/>
      <c r="K33" s="13"/>
      <c r="L33" s="13"/>
      <c r="M33" s="13"/>
      <c r="N33" s="15"/>
    </row>
    <row r="34" spans="1:14" ht="19.5" thickBot="1">
      <c r="A34" s="104"/>
      <c r="B34" s="15"/>
      <c r="C34" s="22"/>
      <c r="D34" s="22"/>
      <c r="E34" s="15"/>
      <c r="F34" s="15"/>
      <c r="G34" s="15"/>
      <c r="H34" s="15"/>
      <c r="I34" s="15"/>
      <c r="J34" s="15"/>
      <c r="K34" s="15"/>
      <c r="L34" s="15"/>
      <c r="M34" s="15"/>
      <c r="N34" s="15"/>
    </row>
    <row r="35" spans="1:14" ht="21.75" thickBot="1">
      <c r="A35" s="104"/>
      <c r="B35" s="105" t="s">
        <v>37</v>
      </c>
      <c r="C35" s="106"/>
      <c r="D35" s="106"/>
      <c r="E35" s="107"/>
      <c r="F35" s="107"/>
      <c r="G35" s="106"/>
      <c r="H35" s="106"/>
      <c r="I35" s="106"/>
      <c r="J35" s="106"/>
      <c r="K35" s="106"/>
      <c r="L35" s="106"/>
      <c r="M35" s="108"/>
      <c r="N35" s="109"/>
    </row>
    <row r="36" spans="1:14" ht="39" customHeight="1" thickBot="1">
      <c r="A36" s="61" t="s">
        <v>1</v>
      </c>
      <c r="B36" s="72" t="s">
        <v>2</v>
      </c>
      <c r="C36" s="62" t="s">
        <v>38</v>
      </c>
      <c r="D36" s="62" t="s">
        <v>4</v>
      </c>
      <c r="E36" s="63" t="s">
        <v>5</v>
      </c>
      <c r="F36" s="64" t="s">
        <v>179</v>
      </c>
      <c r="G36" s="90" t="s">
        <v>6</v>
      </c>
      <c r="H36" s="90" t="s">
        <v>7</v>
      </c>
      <c r="I36" s="62" t="s">
        <v>8</v>
      </c>
      <c r="J36" s="62" t="s">
        <v>9</v>
      </c>
      <c r="K36" s="62" t="s">
        <v>10</v>
      </c>
      <c r="L36" s="62" t="s">
        <v>11</v>
      </c>
      <c r="M36" s="65" t="s">
        <v>12</v>
      </c>
      <c r="N36" s="66" t="s">
        <v>13</v>
      </c>
    </row>
    <row r="37" spans="1:14" ht="18.75">
      <c r="A37" s="60">
        <v>0</v>
      </c>
      <c r="B37" s="73" t="s">
        <v>39</v>
      </c>
      <c r="C37" s="74">
        <v>-72.099999999999994</v>
      </c>
      <c r="D37" s="75">
        <v>-180</v>
      </c>
      <c r="E37" s="76">
        <f>(ABS(C37)-ABS(D37))</f>
        <v>-107.9</v>
      </c>
      <c r="F37" s="137">
        <f>IF(E37&gt;=0,(E37*11.375),(360+E37)*11.375)</f>
        <v>2867.6374999999998</v>
      </c>
      <c r="G37" s="122">
        <v>-95.5</v>
      </c>
      <c r="H37" s="122">
        <v>10</v>
      </c>
      <c r="I37" s="141"/>
      <c r="K37" s="77">
        <v>-11.375</v>
      </c>
      <c r="L37" s="77">
        <v>2388</v>
      </c>
      <c r="M37" s="78">
        <v>10</v>
      </c>
      <c r="N37" s="79">
        <f>+F37</f>
        <v>2867.6374999999998</v>
      </c>
    </row>
    <row r="38" spans="1:14" ht="18.75">
      <c r="A38" s="38">
        <v>1</v>
      </c>
      <c r="B38" s="80" t="s">
        <v>40</v>
      </c>
      <c r="C38" s="8">
        <v>-230</v>
      </c>
      <c r="D38" s="9">
        <v>-315</v>
      </c>
      <c r="E38" s="10">
        <f>(ABS(C38)-ABS(D38))</f>
        <v>-85</v>
      </c>
      <c r="F38" s="138">
        <f>IF(E38&gt;=0,(E38*11.375),(360+E38)*11.375)</f>
        <v>3128.125</v>
      </c>
      <c r="G38" s="122">
        <v>0</v>
      </c>
      <c r="H38" s="122">
        <v>160.80000000000001</v>
      </c>
      <c r="I38" s="142"/>
      <c r="J38" s="116"/>
      <c r="K38" s="11">
        <v>-11.375</v>
      </c>
      <c r="L38" s="11">
        <v>3241</v>
      </c>
      <c r="M38" s="12">
        <v>10</v>
      </c>
      <c r="N38" s="81">
        <f>+F38</f>
        <v>3128.125</v>
      </c>
    </row>
    <row r="39" spans="1:14" ht="18.75">
      <c r="A39" s="38">
        <v>2</v>
      </c>
      <c r="B39" s="80" t="s">
        <v>41</v>
      </c>
      <c r="C39" s="8">
        <v>-203</v>
      </c>
      <c r="D39" s="9">
        <f>-L39/19.462</f>
        <v>-30.209819134724082</v>
      </c>
      <c r="E39" s="37">
        <f>ABS((C39*19.46/11.375))-180</f>
        <v>167.28615384615387</v>
      </c>
      <c r="F39" s="139">
        <f>IF(E39&gt;=0,(E39*11.375),(360+E39)*11.375)</f>
        <v>1902.88</v>
      </c>
      <c r="G39" s="122">
        <v>-37</v>
      </c>
      <c r="H39" s="122">
        <v>80</v>
      </c>
      <c r="I39" s="142"/>
      <c r="J39" s="116"/>
      <c r="K39" s="11">
        <v>-19.462</v>
      </c>
      <c r="L39" s="11">
        <f>2047+(L37-L38)*1.7105</f>
        <v>587.94350000000009</v>
      </c>
      <c r="M39" s="12">
        <v>10</v>
      </c>
      <c r="N39" s="82">
        <f>F39</f>
        <v>1902.88</v>
      </c>
    </row>
    <row r="40" spans="1:14" ht="18.75">
      <c r="A40" s="38">
        <v>3</v>
      </c>
      <c r="B40" s="80" t="s">
        <v>42</v>
      </c>
      <c r="C40" s="8">
        <v>32</v>
      </c>
      <c r="D40" s="9">
        <v>-180</v>
      </c>
      <c r="E40" s="10">
        <f>(ABS(C40)-ABS(D40))</f>
        <v>-148</v>
      </c>
      <c r="F40" s="138">
        <f>IF(E40&gt;=0,(E40*11.375),(360+E40)*11.375)</f>
        <v>2411.5</v>
      </c>
      <c r="G40" s="122">
        <v>5.5</v>
      </c>
      <c r="H40" s="122">
        <v>106</v>
      </c>
      <c r="I40" s="142"/>
      <c r="J40" s="116"/>
      <c r="K40" s="11">
        <v>-11.375</v>
      </c>
      <c r="L40" s="11">
        <v>1532</v>
      </c>
      <c r="M40" s="12">
        <v>10</v>
      </c>
      <c r="N40" s="81">
        <f>+F40</f>
        <v>2411.5</v>
      </c>
    </row>
    <row r="41" spans="1:14" ht="18.75">
      <c r="A41" s="38">
        <v>4</v>
      </c>
      <c r="B41" s="80" t="s">
        <v>43</v>
      </c>
      <c r="C41" s="117"/>
      <c r="D41" s="9">
        <v>90</v>
      </c>
      <c r="E41" s="117"/>
      <c r="F41" s="140"/>
      <c r="G41" s="122">
        <v>-90</v>
      </c>
      <c r="H41" s="122">
        <v>90</v>
      </c>
      <c r="I41" s="142"/>
      <c r="J41" s="116"/>
      <c r="K41" s="11">
        <f>-706.67</f>
        <v>-706.67</v>
      </c>
      <c r="L41" s="11">
        <v>1000</v>
      </c>
      <c r="M41" s="12">
        <v>20</v>
      </c>
      <c r="N41" s="81">
        <v>0</v>
      </c>
    </row>
    <row r="42" spans="1:14" ht="18.75">
      <c r="A42" s="38">
        <v>5</v>
      </c>
      <c r="B42" s="80" t="s">
        <v>44</v>
      </c>
      <c r="C42" s="117"/>
      <c r="D42" s="9">
        <v>-20</v>
      </c>
      <c r="E42" s="117"/>
      <c r="F42" s="140"/>
      <c r="G42" s="122">
        <v>-90</v>
      </c>
      <c r="H42" s="122">
        <v>0</v>
      </c>
      <c r="I42" s="142"/>
      <c r="J42" s="116"/>
      <c r="K42" s="11">
        <v>-978.46</v>
      </c>
      <c r="L42" s="11">
        <v>750</v>
      </c>
      <c r="M42" s="12">
        <v>-10</v>
      </c>
      <c r="N42" s="81">
        <v>0</v>
      </c>
    </row>
    <row r="43" spans="1:14" ht="18.75">
      <c r="A43" s="38">
        <v>6</v>
      </c>
      <c r="B43" s="80" t="s">
        <v>45</v>
      </c>
      <c r="C43" s="117"/>
      <c r="D43" s="9">
        <v>-52</v>
      </c>
      <c r="E43" s="117"/>
      <c r="F43" s="140"/>
      <c r="G43" s="122">
        <v>-20</v>
      </c>
      <c r="H43" s="122">
        <v>40</v>
      </c>
      <c r="I43" s="142"/>
      <c r="J43" s="116"/>
      <c r="K43" s="11">
        <v>-978.46</v>
      </c>
      <c r="L43" s="11">
        <v>750</v>
      </c>
      <c r="M43" s="12">
        <v>-10</v>
      </c>
      <c r="N43" s="81">
        <v>0</v>
      </c>
    </row>
    <row r="44" spans="1:14" ht="19.5" thickBot="1">
      <c r="A44" s="38">
        <v>7</v>
      </c>
      <c r="B44" s="83" t="s">
        <v>46</v>
      </c>
      <c r="C44" s="112"/>
      <c r="D44" s="84">
        <f>IF(K44&gt;0,+I44/K44+G44,+I44/K44-G44)</f>
        <v>-480</v>
      </c>
      <c r="E44" s="112"/>
      <c r="F44" s="112"/>
      <c r="G44" s="143">
        <v>0</v>
      </c>
      <c r="H44" s="143">
        <v>60</v>
      </c>
      <c r="I44" s="85">
        <v>1600</v>
      </c>
      <c r="J44" s="85">
        <v>1400</v>
      </c>
      <c r="K44" s="86">
        <f>(J44-I44)/(H44-G44)</f>
        <v>-3.3333333333333335</v>
      </c>
      <c r="L44" s="84">
        <f>ABS(+D44*K44)</f>
        <v>1600</v>
      </c>
      <c r="M44" s="87">
        <v>100</v>
      </c>
      <c r="N44" s="88">
        <v>0</v>
      </c>
    </row>
    <row r="45" spans="1:14" ht="19.5" thickBot="1">
      <c r="A45" s="110"/>
      <c r="B45" s="23"/>
      <c r="C45" s="14"/>
      <c r="D45" s="14"/>
      <c r="E45" s="23"/>
      <c r="F45" s="23"/>
      <c r="G45" s="15"/>
      <c r="H45" s="15"/>
      <c r="I45" s="15"/>
      <c r="J45" s="15"/>
      <c r="K45" s="15"/>
      <c r="L45" s="15"/>
      <c r="M45" s="15"/>
      <c r="N45" s="15"/>
    </row>
    <row r="46" spans="1:14" ht="21.75" thickBot="1">
      <c r="B46" s="67" t="s">
        <v>47</v>
      </c>
      <c r="C46" s="68"/>
      <c r="D46" s="68"/>
      <c r="E46" s="69"/>
      <c r="F46" s="69"/>
      <c r="G46" s="68"/>
      <c r="H46" s="68"/>
      <c r="I46" s="68"/>
      <c r="J46" s="68"/>
      <c r="K46" s="68"/>
      <c r="L46" s="68"/>
      <c r="M46" s="70"/>
      <c r="N46" s="71"/>
    </row>
    <row r="47" spans="1:14" ht="36.75" customHeight="1" thickBot="1">
      <c r="A47" s="61" t="s">
        <v>1</v>
      </c>
      <c r="B47" s="89" t="s">
        <v>2</v>
      </c>
      <c r="C47" s="90" t="s">
        <v>38</v>
      </c>
      <c r="D47" s="90" t="s">
        <v>4</v>
      </c>
      <c r="E47" s="91" t="s">
        <v>5</v>
      </c>
      <c r="F47" s="92" t="s">
        <v>179</v>
      </c>
      <c r="G47" s="90" t="s">
        <v>6</v>
      </c>
      <c r="H47" s="90" t="s">
        <v>7</v>
      </c>
      <c r="I47" s="90" t="s">
        <v>8</v>
      </c>
      <c r="J47" s="90" t="s">
        <v>9</v>
      </c>
      <c r="K47" s="90" t="s">
        <v>10</v>
      </c>
      <c r="L47" s="90" t="s">
        <v>11</v>
      </c>
      <c r="M47" s="93" t="s">
        <v>12</v>
      </c>
      <c r="N47" s="94" t="s">
        <v>13</v>
      </c>
    </row>
    <row r="48" spans="1:14" ht="18.75">
      <c r="A48" s="60">
        <v>0</v>
      </c>
      <c r="B48" s="43" t="s">
        <v>48</v>
      </c>
      <c r="C48" s="114"/>
      <c r="D48" s="46">
        <f>IF(K48&gt;0,+I48/K48+G48,+I48/K48-G48)</f>
        <v>37.177033492822972</v>
      </c>
      <c r="E48" s="114"/>
      <c r="F48" s="114"/>
      <c r="G48" s="46">
        <v>10</v>
      </c>
      <c r="H48" s="46">
        <v>90</v>
      </c>
      <c r="I48" s="97">
        <v>710</v>
      </c>
      <c r="J48" s="97">
        <v>2800</v>
      </c>
      <c r="K48" s="98">
        <f t="shared" ref="K48:K55" si="5">(J48-I48)/(H48-G48)</f>
        <v>26.125</v>
      </c>
      <c r="L48" s="46">
        <f>ABS(D48*K48)</f>
        <v>971.25000000000011</v>
      </c>
      <c r="M48" s="46">
        <v>10</v>
      </c>
      <c r="N48" s="99">
        <v>0</v>
      </c>
    </row>
    <row r="49" spans="1:14" ht="18.75">
      <c r="A49" s="38">
        <v>1</v>
      </c>
      <c r="B49" s="48" t="s">
        <v>49</v>
      </c>
      <c r="C49" s="113"/>
      <c r="D49" s="42">
        <f>-G49+(+I49/K49)</f>
        <v>-98</v>
      </c>
      <c r="E49" s="113"/>
      <c r="F49" s="113"/>
      <c r="G49" s="42">
        <v>0</v>
      </c>
      <c r="H49" s="42">
        <v>90</v>
      </c>
      <c r="I49" s="95">
        <v>245</v>
      </c>
      <c r="J49" s="95">
        <v>20</v>
      </c>
      <c r="K49" s="96">
        <f t="shared" si="5"/>
        <v>-2.5</v>
      </c>
      <c r="L49" s="42">
        <f>I49</f>
        <v>245</v>
      </c>
      <c r="M49" s="42">
        <v>10</v>
      </c>
      <c r="N49" s="100">
        <v>6000</v>
      </c>
    </row>
    <row r="50" spans="1:14" ht="18.75">
      <c r="A50" s="38">
        <v>2</v>
      </c>
      <c r="B50" s="48" t="s">
        <v>50</v>
      </c>
      <c r="C50" s="113"/>
      <c r="D50" s="42">
        <f t="shared" ref="D50:D55" si="6">-G50+(+I50/K50)</f>
        <v>-183.91304347826087</v>
      </c>
      <c r="E50" s="113"/>
      <c r="F50" s="113"/>
      <c r="G50" s="42">
        <v>0</v>
      </c>
      <c r="H50" s="42">
        <v>180</v>
      </c>
      <c r="I50" s="95">
        <v>470</v>
      </c>
      <c r="J50" s="95">
        <v>10</v>
      </c>
      <c r="K50" s="96">
        <f t="shared" si="5"/>
        <v>-2.5555555555555554</v>
      </c>
      <c r="L50" s="42">
        <f>J50</f>
        <v>10</v>
      </c>
      <c r="M50" s="42">
        <v>10</v>
      </c>
      <c r="N50" s="100">
        <v>6500</v>
      </c>
    </row>
    <row r="51" spans="1:14" ht="18.75">
      <c r="A51" s="38">
        <v>3</v>
      </c>
      <c r="B51" s="48" t="s">
        <v>51</v>
      </c>
      <c r="C51" s="113"/>
      <c r="D51" s="42">
        <f t="shared" si="6"/>
        <v>-93.84615384615384</v>
      </c>
      <c r="E51" s="113"/>
      <c r="F51" s="113"/>
      <c r="G51" s="42">
        <v>0</v>
      </c>
      <c r="H51" s="42">
        <v>90</v>
      </c>
      <c r="I51" s="95">
        <v>244</v>
      </c>
      <c r="J51" s="95">
        <v>10</v>
      </c>
      <c r="K51" s="96">
        <f t="shared" si="5"/>
        <v>-2.6</v>
      </c>
      <c r="L51" s="42">
        <f>I51</f>
        <v>244</v>
      </c>
      <c r="M51" s="42">
        <v>10</v>
      </c>
      <c r="N51" s="100">
        <v>6000</v>
      </c>
    </row>
    <row r="52" spans="1:14" ht="18.75">
      <c r="A52" s="38">
        <v>4</v>
      </c>
      <c r="B52" s="48" t="s">
        <v>52</v>
      </c>
      <c r="C52" s="113"/>
      <c r="D52" s="42">
        <f t="shared" si="6"/>
        <v>-187.74193548387095</v>
      </c>
      <c r="E52" s="113"/>
      <c r="F52" s="113"/>
      <c r="G52" s="42">
        <v>0</v>
      </c>
      <c r="H52" s="42">
        <v>180</v>
      </c>
      <c r="I52" s="95">
        <v>485</v>
      </c>
      <c r="J52" s="95">
        <v>20</v>
      </c>
      <c r="K52" s="96">
        <f t="shared" si="5"/>
        <v>-2.5833333333333335</v>
      </c>
      <c r="L52" s="42">
        <f>J52</f>
        <v>20</v>
      </c>
      <c r="M52" s="42">
        <v>10</v>
      </c>
      <c r="N52" s="100">
        <v>6500</v>
      </c>
    </row>
    <row r="53" spans="1:14" ht="18.75">
      <c r="A53" s="38">
        <v>5</v>
      </c>
      <c r="B53" s="48" t="s">
        <v>53</v>
      </c>
      <c r="C53" s="113"/>
      <c r="D53" s="42">
        <f t="shared" si="6"/>
        <v>-93.75</v>
      </c>
      <c r="E53" s="113"/>
      <c r="F53" s="113"/>
      <c r="G53" s="42">
        <v>0</v>
      </c>
      <c r="H53" s="42">
        <v>90</v>
      </c>
      <c r="I53" s="95">
        <v>250</v>
      </c>
      <c r="J53" s="95">
        <v>10</v>
      </c>
      <c r="K53" s="96">
        <f t="shared" si="5"/>
        <v>-2.6666666666666665</v>
      </c>
      <c r="L53" s="42">
        <f>I53</f>
        <v>250</v>
      </c>
      <c r="M53" s="42">
        <v>10</v>
      </c>
      <c r="N53" s="100">
        <v>6000</v>
      </c>
    </row>
    <row r="54" spans="1:14" ht="18.75">
      <c r="A54" s="38">
        <v>6</v>
      </c>
      <c r="B54" s="48" t="s">
        <v>54</v>
      </c>
      <c r="C54" s="113"/>
      <c r="D54" s="42">
        <f t="shared" si="6"/>
        <v>-202.39234449760764</v>
      </c>
      <c r="E54" s="113"/>
      <c r="F54" s="113"/>
      <c r="G54" s="42">
        <v>0</v>
      </c>
      <c r="H54" s="42">
        <v>180</v>
      </c>
      <c r="I54" s="95">
        <v>470</v>
      </c>
      <c r="J54" s="95">
        <v>52</v>
      </c>
      <c r="K54" s="96">
        <f t="shared" si="5"/>
        <v>-2.3222222222222224</v>
      </c>
      <c r="L54" s="42">
        <f>J54</f>
        <v>52</v>
      </c>
      <c r="M54" s="42">
        <v>10</v>
      </c>
      <c r="N54" s="100">
        <v>-6500</v>
      </c>
    </row>
    <row r="55" spans="1:14" ht="19.5" thickBot="1">
      <c r="A55" s="38">
        <v>7</v>
      </c>
      <c r="B55" s="50" t="s">
        <v>55</v>
      </c>
      <c r="C55" s="115"/>
      <c r="D55" s="54">
        <f t="shared" si="6"/>
        <v>-286.74418604651163</v>
      </c>
      <c r="E55" s="115"/>
      <c r="F55" s="115"/>
      <c r="G55" s="54">
        <v>0</v>
      </c>
      <c r="H55" s="54">
        <v>270</v>
      </c>
      <c r="I55" s="101">
        <v>685</v>
      </c>
      <c r="J55" s="101">
        <v>40</v>
      </c>
      <c r="K55" s="144">
        <f t="shared" si="5"/>
        <v>-2.3888888888888888</v>
      </c>
      <c r="L55" s="54">
        <f>J55</f>
        <v>40</v>
      </c>
      <c r="M55" s="54">
        <v>10</v>
      </c>
      <c r="N55" s="102">
        <v>-26000</v>
      </c>
    </row>
    <row r="56" spans="1:14" ht="19.5" thickBot="1">
      <c r="B56" s="15"/>
      <c r="C56" s="14"/>
      <c r="D56" s="14"/>
      <c r="E56" s="23"/>
      <c r="F56" s="23"/>
      <c r="G56" s="15"/>
      <c r="H56" s="15"/>
      <c r="I56" s="15"/>
      <c r="J56" s="15"/>
      <c r="K56" s="15"/>
      <c r="L56" s="15"/>
      <c r="M56" s="15"/>
      <c r="N56" s="15"/>
    </row>
    <row r="57" spans="1:14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70"/>
      <c r="N57" s="71"/>
    </row>
    <row r="58" spans="1:14" ht="33" customHeight="1" thickBot="1">
      <c r="A58" s="61" t="s">
        <v>1</v>
      </c>
      <c r="B58" s="72" t="s">
        <v>2</v>
      </c>
      <c r="C58" s="62" t="s">
        <v>38</v>
      </c>
      <c r="D58" s="62" t="s">
        <v>4</v>
      </c>
      <c r="E58" s="63" t="s">
        <v>5</v>
      </c>
      <c r="F58" s="64" t="s">
        <v>179</v>
      </c>
      <c r="G58" s="90" t="s">
        <v>6</v>
      </c>
      <c r="H58" s="90" t="s">
        <v>7</v>
      </c>
      <c r="I58" s="62" t="s">
        <v>8</v>
      </c>
      <c r="J58" s="62" t="s">
        <v>9</v>
      </c>
      <c r="K58" s="62" t="s">
        <v>10</v>
      </c>
      <c r="L58" s="62" t="s">
        <v>11</v>
      </c>
      <c r="M58" s="65" t="s">
        <v>12</v>
      </c>
      <c r="N58" s="66" t="s">
        <v>13</v>
      </c>
    </row>
    <row r="59" spans="1:14" ht="18.75">
      <c r="A59" s="60">
        <v>0</v>
      </c>
      <c r="B59" s="73" t="s">
        <v>57</v>
      </c>
      <c r="C59" s="74">
        <v>228.8</v>
      </c>
      <c r="D59" s="75">
        <v>180</v>
      </c>
      <c r="E59" s="76">
        <f>(ABS(C59)-ABS(D59))</f>
        <v>48.800000000000011</v>
      </c>
      <c r="F59" s="137">
        <f>IF(E59&gt;=0,(E59*11.375),(360+E59)*11.375)</f>
        <v>555.10000000000014</v>
      </c>
      <c r="G59" s="145">
        <v>-95.5</v>
      </c>
      <c r="H59" s="145">
        <v>10</v>
      </c>
      <c r="I59" s="146"/>
      <c r="J59" s="111"/>
      <c r="K59" s="75">
        <v>11.375</v>
      </c>
      <c r="L59" s="75">
        <v>1706</v>
      </c>
      <c r="M59" s="147">
        <v>10</v>
      </c>
      <c r="N59" s="79">
        <f>+F59</f>
        <v>555.10000000000014</v>
      </c>
    </row>
    <row r="60" spans="1:14" ht="18.75">
      <c r="A60" s="38">
        <v>1</v>
      </c>
      <c r="B60" s="80" t="s">
        <v>58</v>
      </c>
      <c r="C60" s="8">
        <v>208.6</v>
      </c>
      <c r="D60" s="9">
        <v>45</v>
      </c>
      <c r="E60" s="10">
        <f>(ABS(C60)-ABS(D60))</f>
        <v>163.6</v>
      </c>
      <c r="F60" s="138">
        <f>IF(E60&gt;=0,(E60*11.375),(360+E60)*11.375)</f>
        <v>1860.95</v>
      </c>
      <c r="G60" s="145">
        <v>0</v>
      </c>
      <c r="H60" s="145">
        <v>160.80000000000001</v>
      </c>
      <c r="I60" s="148"/>
      <c r="J60" s="117"/>
      <c r="K60" s="9">
        <v>11.375</v>
      </c>
      <c r="L60" s="9">
        <v>853</v>
      </c>
      <c r="M60" s="21">
        <v>10</v>
      </c>
      <c r="N60" s="81">
        <f>+F60</f>
        <v>1860.95</v>
      </c>
    </row>
    <row r="61" spans="1:14" ht="18.75">
      <c r="A61" s="38">
        <v>2</v>
      </c>
      <c r="B61" s="80" t="s">
        <v>59</v>
      </c>
      <c r="C61" s="8">
        <v>23.2</v>
      </c>
      <c r="D61" s="9">
        <f>+L61/19.462</f>
        <v>180.14882848628093</v>
      </c>
      <c r="E61" s="10">
        <f>ABS((C61*19.46/11.375))-180</f>
        <v>-140.31015384615384</v>
      </c>
      <c r="F61" s="138">
        <f>IF(E61&gt;=0,(E61*11.375),(360+E61)*11.375)</f>
        <v>2498.9720000000002</v>
      </c>
      <c r="G61" s="145">
        <v>-37</v>
      </c>
      <c r="H61" s="145">
        <v>80</v>
      </c>
      <c r="I61" s="148"/>
      <c r="J61" s="117"/>
      <c r="K61" s="9">
        <v>19.462</v>
      </c>
      <c r="L61" s="9">
        <f>2047+(L59-L60)*1.7105</f>
        <v>3506.0564999999997</v>
      </c>
      <c r="M61" s="21">
        <v>10</v>
      </c>
      <c r="N61" s="81">
        <f>F61</f>
        <v>2498.9720000000002</v>
      </c>
    </row>
    <row r="62" spans="1:14" ht="18.75">
      <c r="A62" s="38">
        <v>3</v>
      </c>
      <c r="B62" s="80" t="s">
        <v>60</v>
      </c>
      <c r="C62" s="8">
        <v>44.7</v>
      </c>
      <c r="D62" s="9">
        <v>180</v>
      </c>
      <c r="E62" s="10">
        <f>(ABS(C62)-ABS(D62))</f>
        <v>-135.30000000000001</v>
      </c>
      <c r="F62" s="138">
        <f>IF(E62&gt;=0,(E62*11.375),(360+E62)*11.375)</f>
        <v>2555.9625000000001</v>
      </c>
      <c r="G62" s="145">
        <v>5.5</v>
      </c>
      <c r="H62" s="145">
        <v>106</v>
      </c>
      <c r="I62" s="148"/>
      <c r="J62" s="117"/>
      <c r="K62" s="9">
        <v>11.375</v>
      </c>
      <c r="L62" s="9">
        <v>2558</v>
      </c>
      <c r="M62" s="21">
        <v>10</v>
      </c>
      <c r="N62" s="81">
        <f>+F62</f>
        <v>2555.9625000000001</v>
      </c>
    </row>
    <row r="63" spans="1:14" ht="18.75">
      <c r="A63" s="38">
        <v>4</v>
      </c>
      <c r="B63" s="80" t="s">
        <v>61</v>
      </c>
      <c r="C63" s="116"/>
      <c r="D63" s="11">
        <v>90</v>
      </c>
      <c r="E63" s="117"/>
      <c r="F63" s="140"/>
      <c r="G63" s="145">
        <v>-90</v>
      </c>
      <c r="H63" s="145">
        <v>90</v>
      </c>
      <c r="I63" s="148"/>
      <c r="J63" s="117"/>
      <c r="K63" s="9">
        <f>706.67</f>
        <v>706.67</v>
      </c>
      <c r="L63" s="9">
        <v>750</v>
      </c>
      <c r="M63" s="21">
        <v>-20</v>
      </c>
      <c r="N63" s="81">
        <v>0</v>
      </c>
    </row>
    <row r="64" spans="1:14" ht="18.75">
      <c r="A64" s="38">
        <v>5</v>
      </c>
      <c r="B64" s="80" t="s">
        <v>62</v>
      </c>
      <c r="C64" s="117"/>
      <c r="D64" s="11">
        <v>-20</v>
      </c>
      <c r="E64" s="117"/>
      <c r="F64" s="140"/>
      <c r="G64" s="145">
        <v>-90</v>
      </c>
      <c r="H64" s="145">
        <v>0</v>
      </c>
      <c r="I64" s="148"/>
      <c r="J64" s="117"/>
      <c r="K64" s="9">
        <v>978.46</v>
      </c>
      <c r="L64" s="9">
        <v>750</v>
      </c>
      <c r="M64" s="21">
        <v>10</v>
      </c>
      <c r="N64" s="81">
        <v>0</v>
      </c>
    </row>
    <row r="65" spans="1:14" ht="18.75">
      <c r="A65" s="38">
        <v>6</v>
      </c>
      <c r="B65" s="80" t="s">
        <v>63</v>
      </c>
      <c r="C65" s="117"/>
      <c r="D65" s="11">
        <v>-52</v>
      </c>
      <c r="E65" s="117"/>
      <c r="F65" s="140"/>
      <c r="G65" s="145">
        <v>-20</v>
      </c>
      <c r="H65" s="145">
        <v>40</v>
      </c>
      <c r="I65" s="148"/>
      <c r="J65" s="117"/>
      <c r="K65" s="9">
        <v>978.46</v>
      </c>
      <c r="L65" s="9">
        <v>750</v>
      </c>
      <c r="M65" s="21">
        <v>10</v>
      </c>
      <c r="N65" s="81">
        <v>0</v>
      </c>
    </row>
    <row r="66" spans="1:14" ht="19.5" thickBot="1">
      <c r="A66" s="38">
        <v>7</v>
      </c>
      <c r="B66" s="83" t="s">
        <v>64</v>
      </c>
      <c r="C66" s="112"/>
      <c r="D66" s="84">
        <f>IF(K66&gt;0,+I66/K66+G66,+I66/K66-G66)</f>
        <v>297.27272727272731</v>
      </c>
      <c r="E66" s="112"/>
      <c r="F66" s="112"/>
      <c r="G66" s="149">
        <v>0</v>
      </c>
      <c r="H66" s="149">
        <v>60</v>
      </c>
      <c r="I66" s="150">
        <v>2180</v>
      </c>
      <c r="J66" s="150">
        <v>2620</v>
      </c>
      <c r="K66" s="151">
        <f>(J66-I66)/(H66-G66)</f>
        <v>7.333333333333333</v>
      </c>
      <c r="L66" s="151">
        <f>ABS(+D66*K66)</f>
        <v>2180</v>
      </c>
      <c r="M66" s="152">
        <v>100</v>
      </c>
      <c r="N66" s="153">
        <v>0</v>
      </c>
    </row>
    <row r="67" spans="1:14" ht="19.5" thickBot="1">
      <c r="B67" s="15"/>
      <c r="C67" s="22"/>
      <c r="D67" s="22"/>
      <c r="E67" s="15"/>
      <c r="F67" s="15"/>
      <c r="G67" s="15"/>
      <c r="H67" s="15"/>
      <c r="I67" s="15"/>
      <c r="J67" s="15"/>
      <c r="K67" s="15"/>
      <c r="L67" s="15"/>
      <c r="M67" s="15"/>
      <c r="N67" s="15"/>
    </row>
    <row r="68" spans="1:14" ht="21.75" thickBot="1">
      <c r="B68" s="56" t="s">
        <v>65</v>
      </c>
      <c r="C68" s="57"/>
      <c r="D68" s="57"/>
      <c r="E68" s="58"/>
      <c r="F68" s="58"/>
      <c r="G68" s="57"/>
      <c r="H68" s="57"/>
      <c r="I68" s="57"/>
      <c r="J68" s="57"/>
      <c r="K68" s="57"/>
      <c r="L68" s="57"/>
      <c r="M68" s="57"/>
      <c r="N68" s="59"/>
    </row>
    <row r="69" spans="1:14" ht="36.75" customHeight="1" thickBot="1">
      <c r="A69" s="61" t="s">
        <v>1</v>
      </c>
      <c r="B69" s="89" t="s">
        <v>2</v>
      </c>
      <c r="C69" s="90" t="s">
        <v>38</v>
      </c>
      <c r="D69" s="90" t="s">
        <v>4</v>
      </c>
      <c r="E69" s="91" t="s">
        <v>5</v>
      </c>
      <c r="F69" s="92" t="s">
        <v>179</v>
      </c>
      <c r="G69" s="90" t="s">
        <v>6</v>
      </c>
      <c r="H69" s="90" t="s">
        <v>7</v>
      </c>
      <c r="I69" s="90" t="s">
        <v>8</v>
      </c>
      <c r="J69" s="90" t="s">
        <v>9</v>
      </c>
      <c r="K69" s="90" t="s">
        <v>10</v>
      </c>
      <c r="L69" s="90" t="s">
        <v>11</v>
      </c>
      <c r="M69" s="93" t="s">
        <v>12</v>
      </c>
      <c r="N69" s="94" t="s">
        <v>13</v>
      </c>
    </row>
    <row r="70" spans="1:14" ht="18.75">
      <c r="A70" s="60">
        <v>0</v>
      </c>
      <c r="B70" s="43" t="s">
        <v>66</v>
      </c>
      <c r="C70" s="114"/>
      <c r="D70" s="46">
        <f>IF(K70&gt;0,+I70/K70+G70,+I70/K70-G70)</f>
        <v>93.2</v>
      </c>
      <c r="E70" s="114"/>
      <c r="F70" s="114"/>
      <c r="G70" s="46">
        <v>10</v>
      </c>
      <c r="H70" s="46">
        <v>90</v>
      </c>
      <c r="I70" s="97">
        <v>1300</v>
      </c>
      <c r="J70" s="97">
        <v>2550</v>
      </c>
      <c r="K70" s="98">
        <f t="shared" ref="K70:K77" si="7">(J70-I70)/(H70-G70)</f>
        <v>15.625</v>
      </c>
      <c r="L70" s="45">
        <f>ABS(D70*K70)</f>
        <v>1456.25</v>
      </c>
      <c r="M70" s="46">
        <v>10</v>
      </c>
      <c r="N70" s="99">
        <v>0</v>
      </c>
    </row>
    <row r="71" spans="1:14" ht="18.75">
      <c r="A71" s="38">
        <v>1</v>
      </c>
      <c r="B71" s="48" t="s">
        <v>67</v>
      </c>
      <c r="C71" s="113"/>
      <c r="D71" s="42">
        <f t="shared" ref="D71:D77" si="8">-G71+(+I71/K71)</f>
        <v>-93.75</v>
      </c>
      <c r="E71" s="113"/>
      <c r="F71" s="113"/>
      <c r="G71" s="42">
        <v>0</v>
      </c>
      <c r="H71" s="42">
        <v>90</v>
      </c>
      <c r="I71" s="95">
        <v>250</v>
      </c>
      <c r="J71" s="95">
        <v>10</v>
      </c>
      <c r="K71" s="96">
        <f t="shared" si="7"/>
        <v>-2.6666666666666665</v>
      </c>
      <c r="L71" s="42">
        <f>I71</f>
        <v>250</v>
      </c>
      <c r="M71" s="42">
        <v>10</v>
      </c>
      <c r="N71" s="100">
        <v>6000</v>
      </c>
    </row>
    <row r="72" spans="1:14" ht="18.75">
      <c r="A72" s="38">
        <v>2</v>
      </c>
      <c r="B72" s="48" t="s">
        <v>68</v>
      </c>
      <c r="C72" s="113"/>
      <c r="D72" s="42">
        <f t="shared" si="8"/>
        <v>-202.5</v>
      </c>
      <c r="E72" s="113"/>
      <c r="F72" s="113"/>
      <c r="G72" s="42">
        <v>0</v>
      </c>
      <c r="H72" s="42">
        <v>180</v>
      </c>
      <c r="I72" s="95">
        <v>450</v>
      </c>
      <c r="J72" s="95">
        <v>50</v>
      </c>
      <c r="K72" s="96">
        <f t="shared" si="7"/>
        <v>-2.2222222222222223</v>
      </c>
      <c r="L72" s="42">
        <f>+J72</f>
        <v>50</v>
      </c>
      <c r="M72" s="42">
        <v>10</v>
      </c>
      <c r="N72" s="100">
        <v>6500</v>
      </c>
    </row>
    <row r="73" spans="1:14" ht="18.75">
      <c r="A73" s="38">
        <v>3</v>
      </c>
      <c r="B73" s="48" t="s">
        <v>69</v>
      </c>
      <c r="C73" s="113"/>
      <c r="D73" s="42">
        <f t="shared" si="8"/>
        <v>-93.75</v>
      </c>
      <c r="E73" s="113"/>
      <c r="F73" s="113"/>
      <c r="G73" s="42">
        <v>0</v>
      </c>
      <c r="H73" s="42">
        <v>90</v>
      </c>
      <c r="I73" s="95">
        <v>250</v>
      </c>
      <c r="J73" s="95">
        <v>10</v>
      </c>
      <c r="K73" s="96">
        <f t="shared" si="7"/>
        <v>-2.6666666666666665</v>
      </c>
      <c r="L73" s="42">
        <f>I73</f>
        <v>250</v>
      </c>
      <c r="M73" s="42">
        <v>10</v>
      </c>
      <c r="N73" s="100">
        <v>6000</v>
      </c>
    </row>
    <row r="74" spans="1:14" ht="18.75">
      <c r="A74" s="38">
        <v>4</v>
      </c>
      <c r="B74" s="48" t="s">
        <v>70</v>
      </c>
      <c r="C74" s="113"/>
      <c r="D74" s="42">
        <f t="shared" si="8"/>
        <v>-183.75</v>
      </c>
      <c r="E74" s="113"/>
      <c r="F74" s="113"/>
      <c r="G74" s="42">
        <v>0</v>
      </c>
      <c r="H74" s="42">
        <v>180</v>
      </c>
      <c r="I74" s="95">
        <v>490</v>
      </c>
      <c r="J74" s="95">
        <v>10</v>
      </c>
      <c r="K74" s="96">
        <f t="shared" si="7"/>
        <v>-2.6666666666666665</v>
      </c>
      <c r="L74" s="42">
        <f>+J74</f>
        <v>10</v>
      </c>
      <c r="M74" s="42">
        <v>10</v>
      </c>
      <c r="N74" s="100">
        <v>-6500</v>
      </c>
    </row>
    <row r="75" spans="1:14" ht="18.75">
      <c r="A75" s="38">
        <v>5</v>
      </c>
      <c r="B75" s="48" t="s">
        <v>71</v>
      </c>
      <c r="C75" s="113"/>
      <c r="D75" s="42">
        <f t="shared" si="8"/>
        <v>-100</v>
      </c>
      <c r="E75" s="113"/>
      <c r="F75" s="113"/>
      <c r="G75" s="42">
        <v>0</v>
      </c>
      <c r="H75" s="42">
        <v>90</v>
      </c>
      <c r="I75" s="95">
        <v>250</v>
      </c>
      <c r="J75" s="95">
        <v>25</v>
      </c>
      <c r="K75" s="96">
        <f t="shared" si="7"/>
        <v>-2.5</v>
      </c>
      <c r="L75" s="42">
        <f>I75</f>
        <v>250</v>
      </c>
      <c r="M75" s="42">
        <v>10</v>
      </c>
      <c r="N75" s="100">
        <v>6000</v>
      </c>
    </row>
    <row r="76" spans="1:14" ht="18.75">
      <c r="A76" s="38">
        <v>6</v>
      </c>
      <c r="B76" s="48" t="s">
        <v>72</v>
      </c>
      <c r="C76" s="113"/>
      <c r="D76" s="42">
        <f t="shared" si="8"/>
        <v>-187.74193548387095</v>
      </c>
      <c r="E76" s="113"/>
      <c r="F76" s="113"/>
      <c r="G76" s="42">
        <v>0</v>
      </c>
      <c r="H76" s="42">
        <v>180</v>
      </c>
      <c r="I76" s="95">
        <v>485</v>
      </c>
      <c r="J76" s="95">
        <v>20</v>
      </c>
      <c r="K76" s="96">
        <f t="shared" si="7"/>
        <v>-2.5833333333333335</v>
      </c>
      <c r="L76" s="42">
        <f>J76</f>
        <v>20</v>
      </c>
      <c r="M76" s="42">
        <v>10</v>
      </c>
      <c r="N76" s="100">
        <v>6500</v>
      </c>
    </row>
    <row r="77" spans="1:14" ht="19.5" thickBot="1">
      <c r="A77" s="38">
        <v>7</v>
      </c>
      <c r="B77" s="50" t="s">
        <v>73</v>
      </c>
      <c r="C77" s="115"/>
      <c r="D77" s="54">
        <f t="shared" si="8"/>
        <v>-313.54838709677421</v>
      </c>
      <c r="E77" s="115"/>
      <c r="F77" s="115"/>
      <c r="G77" s="54">
        <v>0</v>
      </c>
      <c r="H77" s="54">
        <v>270</v>
      </c>
      <c r="I77" s="101">
        <v>720</v>
      </c>
      <c r="J77" s="101">
        <v>100</v>
      </c>
      <c r="K77" s="144">
        <f t="shared" si="7"/>
        <v>-2.2962962962962963</v>
      </c>
      <c r="L77" s="54">
        <f>J77</f>
        <v>100</v>
      </c>
      <c r="M77" s="54">
        <v>10</v>
      </c>
      <c r="N77" s="102">
        <v>-26000</v>
      </c>
    </row>
    <row r="78" spans="1:14">
      <c r="C78" s="3"/>
      <c r="D78" s="3"/>
      <c r="E78" s="24"/>
      <c r="F78" s="24"/>
    </row>
    <row r="79" spans="1:14">
      <c r="C79" s="3"/>
      <c r="D79" s="3"/>
    </row>
    <row r="80" spans="1:14" ht="18.75">
      <c r="C80" s="3"/>
      <c r="D80" s="14"/>
      <c r="E80" s="14"/>
      <c r="F80" s="14"/>
    </row>
    <row r="81" spans="1:4">
      <c r="B81" s="25" t="s">
        <v>74</v>
      </c>
      <c r="C81" s="3"/>
      <c r="D81" s="3"/>
    </row>
    <row r="82" spans="1:4">
      <c r="C82" s="3"/>
      <c r="D82" s="3"/>
    </row>
    <row r="83" spans="1:4">
      <c r="B83" s="26"/>
      <c r="C83" s="3"/>
      <c r="D83" s="3" t="s">
        <v>75</v>
      </c>
    </row>
    <row r="84" spans="1:4">
      <c r="C84" s="3"/>
      <c r="D84" s="3"/>
    </row>
    <row r="85" spans="1:4">
      <c r="B85" s="27"/>
      <c r="C85" s="3"/>
      <c r="D85" s="3" t="s">
        <v>76</v>
      </c>
    </row>
    <row r="86" spans="1:4">
      <c r="C86" s="3"/>
      <c r="D86" s="3"/>
    </row>
    <row r="87" spans="1:4">
      <c r="B87" s="28"/>
      <c r="C87" s="3"/>
      <c r="D87" s="3" t="s">
        <v>183</v>
      </c>
    </row>
    <row r="88" spans="1:4">
      <c r="C88" s="3"/>
      <c r="D88" s="3"/>
    </row>
    <row r="89" spans="1:4">
      <c r="B89" s="29"/>
      <c r="C89" s="3"/>
      <c r="D89" s="3" t="s">
        <v>77</v>
      </c>
    </row>
    <row r="90" spans="1:4">
      <c r="C90" s="3"/>
      <c r="D90" s="3"/>
    </row>
    <row r="91" spans="1:4">
      <c r="C91" s="3"/>
      <c r="D91" s="3"/>
    </row>
    <row r="92" spans="1:4">
      <c r="A92" t="s">
        <v>180</v>
      </c>
      <c r="C92" s="3"/>
      <c r="D92" s="3"/>
    </row>
    <row r="93" spans="1:4">
      <c r="A93" t="s">
        <v>181</v>
      </c>
      <c r="C93" s="3"/>
      <c r="D93" s="3"/>
    </row>
    <row r="94" spans="1:4">
      <c r="A94" t="s">
        <v>182</v>
      </c>
      <c r="C94" s="3"/>
      <c r="D94" s="3"/>
    </row>
    <row r="95" spans="1:4">
      <c r="C95" s="3"/>
      <c r="D95" s="3"/>
    </row>
    <row r="96" spans="1:4">
      <c r="C96" s="3"/>
      <c r="D96" s="3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24"/>
      <c r="F99" s="24"/>
    </row>
    <row r="100" spans="2:6">
      <c r="B100" s="3"/>
      <c r="C100" s="3"/>
      <c r="D100" s="3"/>
      <c r="E100" s="24"/>
      <c r="F100" s="24"/>
    </row>
    <row r="101" spans="2:6">
      <c r="B101" s="3"/>
      <c r="C101" s="3"/>
      <c r="D101" s="3"/>
      <c r="E101" s="24"/>
      <c r="F101" s="24"/>
    </row>
    <row r="102" spans="2:6">
      <c r="B102" s="3"/>
      <c r="C102" s="3"/>
      <c r="D102" s="3"/>
      <c r="E102" s="24"/>
      <c r="F102" s="24"/>
    </row>
    <row r="103" spans="2:6">
      <c r="B103" s="3"/>
      <c r="C103" s="3"/>
      <c r="D103" s="3"/>
      <c r="E103" s="24"/>
      <c r="F103" s="24"/>
    </row>
    <row r="104" spans="2:6">
      <c r="B104" s="3"/>
      <c r="C104" s="3"/>
      <c r="D104" s="3"/>
      <c r="E104" s="24"/>
      <c r="F104" s="24"/>
    </row>
    <row r="105" spans="2:6">
      <c r="B105" s="3"/>
      <c r="C105" s="3"/>
      <c r="D105" s="3"/>
      <c r="E105" s="24"/>
      <c r="F105" s="24"/>
    </row>
    <row r="106" spans="2:6">
      <c r="B106" s="3"/>
      <c r="C106" s="3"/>
      <c r="D106" s="3"/>
      <c r="E106" s="24"/>
      <c r="F106" s="24"/>
    </row>
    <row r="107" spans="2:6">
      <c r="B107" s="3"/>
      <c r="C107" s="3"/>
      <c r="D107" s="3"/>
      <c r="E107" s="24"/>
      <c r="F107" s="24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31" zoomScale="75" zoomScaleNormal="75" workbookViewId="0">
      <selection activeCell="B39" sqref="B39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36">
        <f>+INDEX(Sheet1!$K$7:$K18,COLUMN()-COLUMN($B$69)+1)</f>
        <v>11.375</v>
      </c>
      <c r="C38" s="36">
        <f>+INDEX(Sheet1!$K$7:$K18,COLUMN()-COLUMN($B$69)+1)</f>
        <v>11.375</v>
      </c>
      <c r="D38" s="36">
        <f>+INDEX(Sheet1!$K$7:$K18,COLUMN()-COLUMN($B$69)+1)</f>
        <v>11.375</v>
      </c>
      <c r="E38" s="36">
        <f>+INDEX(Sheet1!$K$7:$K18,COLUMN()-COLUMN($B$69)+1)</f>
        <v>11.375</v>
      </c>
      <c r="F38" s="36">
        <f>+INDEX(Sheet1!$K$7:$K18,COLUMN()-COLUMN($B$69)+1)</f>
        <v>11.375</v>
      </c>
      <c r="G38" s="36">
        <f>+INDEX(Sheet1!$K$7:$K18,COLUMN()-COLUMN($B$69)+1)</f>
        <v>11.375</v>
      </c>
      <c r="H38" s="36">
        <f>+INDEX(Sheet1!$K$7:$K18,COLUMN()-COLUMN($B$69)+1)</f>
        <v>-11.375</v>
      </c>
      <c r="I38" s="36">
        <f>+INDEX(Sheet1!$K$7:$K18,COLUMN()-COLUMN($B$69)+1)</f>
        <v>-11.375</v>
      </c>
      <c r="J38" s="36">
        <f>+INDEX(Sheet1!$K$7:$K18,COLUMN()-COLUMN($B$69)+1)</f>
        <v>-11.375</v>
      </c>
      <c r="K38" s="36">
        <f>+INDEX(Sheet1!$K$7:$K18,COLUMN()-COLUMN($B$69)+1)</f>
        <v>-11.375</v>
      </c>
      <c r="L38" s="36">
        <f>+INDEX(Sheet1!$K$7:$K18,COLUMN()-COLUMN($B$69)+1)</f>
        <v>-11.375</v>
      </c>
      <c r="M38" s="36">
        <f>+INDEX(Sheet1!$K$7:$K18,COLUMN()-COLUMN($B$69)+1)</f>
        <v>-11.375</v>
      </c>
    </row>
    <row r="39" spans="1:14">
      <c r="A39" t="s">
        <v>110</v>
      </c>
      <c r="B39" s="36">
        <f>+INDEX(Sheet1!$D$7:$D19,COLUMN()-COLUMN($B$69)+1)</f>
        <v>180</v>
      </c>
      <c r="C39" s="36">
        <f>+INDEX(Sheet1!$D$7:$D19,COLUMN()-COLUMN($B$69)+1)</f>
        <v>180</v>
      </c>
      <c r="D39" s="36">
        <f>+INDEX(Sheet1!$D$7:$D19,COLUMN()-COLUMN($B$69)+1)</f>
        <v>180</v>
      </c>
      <c r="E39" s="36">
        <f>+INDEX(Sheet1!$D$7:$D19,COLUMN()-COLUMN($B$69)+1)</f>
        <v>180</v>
      </c>
      <c r="F39" s="36">
        <f>+INDEX(Sheet1!$D$7:$D19,COLUMN()-COLUMN($B$69)+1)</f>
        <v>180</v>
      </c>
      <c r="G39" s="36">
        <f>+INDEX(Sheet1!$D$7:$D19,COLUMN()-COLUMN($B$69)+1)</f>
        <v>180</v>
      </c>
      <c r="H39" s="36">
        <f>+INDEX(Sheet1!$D$7:$D19,COLUMN()-COLUMN($B$69)+1)</f>
        <v>-180</v>
      </c>
      <c r="I39" s="36">
        <f>+INDEX(Sheet1!$D$7:$D19,COLUMN()-COLUMN($B$69)+1)</f>
        <v>-180</v>
      </c>
      <c r="J39" s="36">
        <f>+INDEX(Sheet1!$D$7:$D19,COLUMN()-COLUMN($B$69)+1)</f>
        <v>-180</v>
      </c>
      <c r="K39" s="36">
        <f>+INDEX(Sheet1!$D$7:$D19,COLUMN()-COLUMN($B$69)+1)</f>
        <v>-180</v>
      </c>
      <c r="L39" s="36">
        <f>+INDEX(Sheet1!$D$7:$D19,COLUMN()-COLUMN($B$69)+1)</f>
        <v>-180</v>
      </c>
      <c r="M39" s="36">
        <f>+INDEX(Sheet1!$D$7:$D19,COLUMN()-COLUMN($B$69)+1)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36">
        <f>+INDEX(Sheet1!$H$7:$H26,COLUMN()-COLUMN($B$69)+1)</f>
        <v>90</v>
      </c>
      <c r="C46" s="36">
        <f>+INDEX(Sheet1!$H$7:$H26,COLUMN()-COLUMN($B$69)+1)</f>
        <v>90</v>
      </c>
      <c r="D46" s="36">
        <f>+INDEX(Sheet1!$H$7:$H26,COLUMN()-COLUMN($B$69)+1)</f>
        <v>78</v>
      </c>
      <c r="E46" s="36">
        <f>+INDEX(Sheet1!$H$7:$H26,COLUMN()-COLUMN($B$69)+1)</f>
        <v>15</v>
      </c>
      <c r="F46" s="36">
        <f>+INDEX(Sheet1!$H$7:$H26,COLUMN()-COLUMN($B$69)+1)</f>
        <v>39</v>
      </c>
      <c r="G46" s="36">
        <f>+INDEX(Sheet1!$H$7:$H26,COLUMN()-COLUMN($B$69)+1)</f>
        <v>22</v>
      </c>
      <c r="H46" s="36">
        <f>+INDEX(Sheet1!$H$7:$H26,COLUMN()-COLUMN($B$69)+1)</f>
        <v>90</v>
      </c>
      <c r="I46" s="36">
        <f>+INDEX(Sheet1!$H$7:$H26,COLUMN()-COLUMN($B$69)+1)</f>
        <v>90</v>
      </c>
      <c r="J46" s="36">
        <f>+INDEX(Sheet1!$H$7:$H26,COLUMN()-COLUMN($B$69)+1)</f>
        <v>78</v>
      </c>
      <c r="K46" s="36">
        <f>+INDEX(Sheet1!$H$7:$H26,COLUMN()-COLUMN($B$69)+1)</f>
        <v>15</v>
      </c>
      <c r="L46" s="36">
        <f>+INDEX(Sheet1!$H$7:$H26,COLUMN()-COLUMN($B$69)+1)</f>
        <v>39</v>
      </c>
      <c r="M46" s="36">
        <f>+INDEX(Sheet1!$H$7:$H26,COLUMN()-COLUMN($B$69)+1)</f>
        <v>22</v>
      </c>
    </row>
    <row r="47" spans="1:14">
      <c r="A47" t="s">
        <v>114</v>
      </c>
      <c r="B47" s="36">
        <f>+INDEX(Sheet1!$G$7:$G27,COLUMN()-COLUMN($B$69)+1)</f>
        <v>-30</v>
      </c>
      <c r="C47" s="36">
        <f>+INDEX(Sheet1!$G$7:$G27,COLUMN()-COLUMN($B$69)+1)</f>
        <v>0</v>
      </c>
      <c r="D47" s="36">
        <f>+INDEX(Sheet1!$G$7:$G27,COLUMN()-COLUMN($B$69)+1)</f>
        <v>-80</v>
      </c>
      <c r="E47" s="36">
        <f>+INDEX(Sheet1!$G$7:$G27,COLUMN()-COLUMN($B$69)+1)</f>
        <v>-125</v>
      </c>
      <c r="F47" s="36">
        <f>+INDEX(Sheet1!$G$7:$G27,COLUMN()-COLUMN($B$69)+1)</f>
        <v>-20</v>
      </c>
      <c r="G47" s="36">
        <f>+INDEX(Sheet1!$G$7:$G27,COLUMN()-COLUMN($B$69)+1)</f>
        <v>-22</v>
      </c>
      <c r="H47" s="36">
        <f>+INDEX(Sheet1!$G$7:$G27,COLUMN()-COLUMN($B$69)+1)</f>
        <v>-30</v>
      </c>
      <c r="I47" s="36">
        <f>+INDEX(Sheet1!$G$7:$G27,COLUMN()-COLUMN($B$69)+1)</f>
        <v>0</v>
      </c>
      <c r="J47" s="36">
        <f>+INDEX(Sheet1!$G$7:$G27,COLUMN()-COLUMN($B$69)+1)</f>
        <v>-80</v>
      </c>
      <c r="K47" s="36">
        <f>+INDEX(Sheet1!$G$7:$G27,COLUMN()-COLUMN($B$69)+1)</f>
        <v>-125</v>
      </c>
      <c r="L47" s="36">
        <f>+INDEX(Sheet1!$G$7:$G27,COLUMN()-COLUMN($B$69)+1)</f>
        <v>-20</v>
      </c>
      <c r="M47" s="36">
        <f>+INDEX(Sheet1!$G$7:$G27,COLUMN()-COLUMN($B$69)+1)</f>
        <v>-22</v>
      </c>
    </row>
    <row r="50" spans="1:13">
      <c r="A50" t="s">
        <v>115</v>
      </c>
    </row>
    <row r="51" spans="1:13">
      <c r="A51" t="s">
        <v>116</v>
      </c>
      <c r="B51" s="36">
        <f>+$B$5</f>
        <v>7000</v>
      </c>
      <c r="C51" s="36">
        <f t="shared" ref="C51:M51" si="0">+$B$5</f>
        <v>7000</v>
      </c>
      <c r="D51" s="36">
        <f t="shared" si="0"/>
        <v>7000</v>
      </c>
      <c r="E51" s="36">
        <f t="shared" si="0"/>
        <v>7000</v>
      </c>
      <c r="F51" s="36">
        <f t="shared" si="0"/>
        <v>7000</v>
      </c>
      <c r="G51" s="36">
        <f t="shared" si="0"/>
        <v>7000</v>
      </c>
      <c r="H51" s="36">
        <f t="shared" si="0"/>
        <v>7000</v>
      </c>
      <c r="I51" s="36">
        <f t="shared" si="0"/>
        <v>7000</v>
      </c>
      <c r="J51" s="36">
        <f t="shared" si="0"/>
        <v>7000</v>
      </c>
      <c r="K51" s="36">
        <f t="shared" si="0"/>
        <v>7000</v>
      </c>
      <c r="L51" s="36">
        <f t="shared" si="0"/>
        <v>7000</v>
      </c>
      <c r="M51" s="36">
        <f t="shared" si="0"/>
        <v>7000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36">
        <f>+$B$3</f>
        <v>1333</v>
      </c>
      <c r="F55" s="36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36">
        <f t="shared" ref="E56:E66" si="2">+$B$3</f>
        <v>1333</v>
      </c>
      <c r="F56" s="36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36">
        <f t="shared" si="2"/>
        <v>1333</v>
      </c>
      <c r="F57" s="36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36">
        <f t="shared" si="2"/>
        <v>1333</v>
      </c>
      <c r="F58" s="36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36">
        <f t="shared" si="2"/>
        <v>1333</v>
      </c>
      <c r="F59" s="36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36">
        <f t="shared" si="2"/>
        <v>1333</v>
      </c>
      <c r="F60" s="36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36">
        <f t="shared" si="2"/>
        <v>1333</v>
      </c>
      <c r="F61" s="36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36">
        <f t="shared" si="2"/>
        <v>1333</v>
      </c>
      <c r="F62" s="36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36">
        <f t="shared" si="2"/>
        <v>1333</v>
      </c>
      <c r="F63" s="36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36">
        <f t="shared" si="2"/>
        <v>1333</v>
      </c>
      <c r="F64" s="36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36">
        <f t="shared" si="2"/>
        <v>1333</v>
      </c>
      <c r="F65" s="36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36">
        <f t="shared" si="2"/>
        <v>1333</v>
      </c>
      <c r="F66" s="36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36">
        <f>+INDEX(Sheet1!$L$7:$L18,COLUMN()-COLUMN($B$69)+1)</f>
        <v>2047.5</v>
      </c>
      <c r="C71" s="36">
        <f>+INDEX(Sheet1!$L$7:$L18,COLUMN()-COLUMN($B$69)+1)</f>
        <v>2047.5</v>
      </c>
      <c r="D71" s="36">
        <f>+INDEX(Sheet1!$L$7:$L18,COLUMN()-COLUMN($B$69)+1)</f>
        <v>2047.5</v>
      </c>
      <c r="E71" s="36">
        <f>+INDEX(Sheet1!$L$7:$L18,COLUMN()-COLUMN($B$69)+1)</f>
        <v>2047.5</v>
      </c>
      <c r="F71" s="36">
        <f>+INDEX(Sheet1!$L$7:$L18,COLUMN()-COLUMN($B$69)+1)</f>
        <v>2047.5</v>
      </c>
      <c r="G71" s="36">
        <f>+INDEX(Sheet1!$L$7:$L18,COLUMN()-COLUMN($B$69)+1)</f>
        <v>2047.5</v>
      </c>
      <c r="H71" s="36">
        <f>+INDEX(Sheet1!$L$7:$L18,COLUMN()-COLUMN($B$69)+1)</f>
        <v>2047.5</v>
      </c>
      <c r="I71" s="36">
        <f>+INDEX(Sheet1!$L$7:$L18,COLUMN()-COLUMN($B$69)+1)</f>
        <v>2047.5</v>
      </c>
      <c r="J71" s="36">
        <f>+INDEX(Sheet1!$L$7:$L18,COLUMN()-COLUMN($B$69)+1)</f>
        <v>2047.5</v>
      </c>
      <c r="K71" s="36">
        <f>+INDEX(Sheet1!$L$7:$L18,COLUMN()-COLUMN($B$69)+1)</f>
        <v>2047.5</v>
      </c>
      <c r="L71" s="36">
        <f>+INDEX(Sheet1!$L$7:$L18,COLUMN()-COLUMN($B$69)+1)</f>
        <v>2047.5</v>
      </c>
      <c r="M71" s="36">
        <f>+INDEX(Sheet1!$L$7:$L18,COLUMN()-COLUMN($B$69)+1)</f>
        <v>2047.5</v>
      </c>
    </row>
    <row r="72" spans="1:13">
      <c r="A72" t="s">
        <v>141</v>
      </c>
      <c r="B72" s="36">
        <f>+INDEX(Sheet1!$M$7:$M19,COLUMN()-COLUMN($B$69)+1)</f>
        <v>10</v>
      </c>
      <c r="C72" s="36">
        <f>+INDEX(Sheet1!$M$7:$M19,COLUMN()-COLUMN($B$69)+1)</f>
        <v>10</v>
      </c>
      <c r="D72" s="36">
        <f>+INDEX(Sheet1!$M$7:$M19,COLUMN()-COLUMN($B$69)+1)</f>
        <v>10</v>
      </c>
      <c r="E72" s="36">
        <f>+INDEX(Sheet1!$M$7:$M19,COLUMN()-COLUMN($B$69)+1)</f>
        <v>10</v>
      </c>
      <c r="F72" s="36">
        <f>+INDEX(Sheet1!$M$7:$M19,COLUMN()-COLUMN($B$69)+1)</f>
        <v>10</v>
      </c>
      <c r="G72" s="36">
        <f>+INDEX(Sheet1!$M$7:$M19,COLUMN()-COLUMN($B$69)+1)</f>
        <v>10</v>
      </c>
      <c r="H72" s="36">
        <f>+INDEX(Sheet1!$M$7:$M19,COLUMN()-COLUMN($B$69)+1)</f>
        <v>10</v>
      </c>
      <c r="I72" s="36">
        <f>+INDEX(Sheet1!$M$7:$M19,COLUMN()-COLUMN($B$69)+1)</f>
        <v>10</v>
      </c>
      <c r="J72" s="36">
        <f>+INDEX(Sheet1!$M$7:$M19,COLUMN()-COLUMN($B$69)+1)</f>
        <v>10</v>
      </c>
      <c r="K72" s="36">
        <f>+INDEX(Sheet1!$M$7:$M19,COLUMN()-COLUMN($B$69)+1)</f>
        <v>10</v>
      </c>
      <c r="L72" s="36">
        <f>+INDEX(Sheet1!$M$7:$M19,COLUMN()-COLUMN($B$69)+1)</f>
        <v>10</v>
      </c>
      <c r="M72" s="36">
        <f>+INDEX(Sheet1!$M$7:$M19,COLUMN()-COLUMN($B$69)+1)</f>
        <v>10</v>
      </c>
    </row>
    <row r="73" spans="1:13">
      <c r="A73" t="s">
        <v>142</v>
      </c>
      <c r="B73" s="36">
        <f>+INDEX(Sheet1!$N$7:$N20,COLUMN()-COLUMN($B$69)+1)</f>
        <v>605.14999999999986</v>
      </c>
      <c r="C73" s="36">
        <f>+INDEX(Sheet1!$N$7:$N20,COLUMN()-COLUMN($B$69)+1)</f>
        <v>348.07499999999993</v>
      </c>
      <c r="D73" s="36">
        <f>+INDEX(Sheet1!$N$7:$N20,COLUMN()-COLUMN($B$69)+1)</f>
        <v>3468.2374999999997</v>
      </c>
      <c r="E73" s="36">
        <f>+INDEX(Sheet1!$N$7:$N20,COLUMN()-COLUMN($B$69)+1)</f>
        <v>3458</v>
      </c>
      <c r="F73" s="36">
        <f>+INDEX(Sheet1!$N$7:$N20,COLUMN()-COLUMN($B$69)+1)</f>
        <v>2029.2999999999997</v>
      </c>
      <c r="G73" s="36">
        <f>+INDEX(Sheet1!$N$7:$N20,COLUMN()-COLUMN($B$69)+1)</f>
        <v>3462.5499999999997</v>
      </c>
      <c r="H73" s="36">
        <f>+INDEX(Sheet1!$N$7:$N20,COLUMN()-COLUMN($B$69)+1)</f>
        <v>3829.9625000000001</v>
      </c>
      <c r="I73" s="36">
        <f>+INDEX(Sheet1!$N$7:$N20,COLUMN()-COLUMN($B$69)+1)</f>
        <v>3458</v>
      </c>
      <c r="J73" s="36">
        <f>+INDEX(Sheet1!$N$7:$N20,COLUMN()-COLUMN($B$69)+1)</f>
        <v>122.85000000000014</v>
      </c>
      <c r="K73" s="36">
        <f>+INDEX(Sheet1!$N$7:$N20,COLUMN()-COLUMN($B$69)+1)</f>
        <v>2590.0875000000001</v>
      </c>
      <c r="L73" s="36">
        <f>+INDEX(Sheet1!$N$7:$N20,COLUMN()-COLUMN($B$69)+1)</f>
        <v>2789.15</v>
      </c>
      <c r="M73" s="36">
        <f>+INDEX(Sheet1!$N$7:$N20,COLUMN()-COLUMN($B$69)+1)</f>
        <v>1605.0125000000003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22" zoomScale="75" zoomScaleNormal="75" workbookViewId="0">
      <selection activeCell="L46" sqref="L4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36">
        <f>+INDEX(Sheet1!$K$37:$K$44,COLUMN()-COLUMN($B$69)+1)</f>
        <v>-11.375</v>
      </c>
      <c r="C38" s="36">
        <f>+INDEX(Sheet1!$K$37:$K$44,COLUMN()-COLUMN($B$69)+1)</f>
        <v>-11.375</v>
      </c>
      <c r="D38" s="36">
        <f>+INDEX(Sheet1!$K$37:$K$44,COLUMN()-COLUMN($B$69)+1)</f>
        <v>-19.462</v>
      </c>
      <c r="E38" s="36">
        <f>+INDEX(Sheet1!$K$37:$K$44,COLUMN()-COLUMN($B$69)+1)</f>
        <v>-11.375</v>
      </c>
      <c r="F38" s="36">
        <f>+INDEX(Sheet1!$K$37:$K$44,COLUMN()-COLUMN($B$69)+1)</f>
        <v>-706.67</v>
      </c>
      <c r="G38" s="36">
        <f>+INDEX(Sheet1!$K$37:$K$44,COLUMN()-COLUMN($B$69)+1)</f>
        <v>-978.46</v>
      </c>
      <c r="H38" s="36">
        <f>+INDEX(Sheet1!$K$37:$K$44,COLUMN()-COLUMN($B$69)+1)</f>
        <v>-978.46</v>
      </c>
      <c r="I38" s="36">
        <f>+INDEX(Sheet1!$K$37:$K$44,COLUMN()-COLUMN($B$69)+1)</f>
        <v>-3.3333333333333335</v>
      </c>
    </row>
    <row r="39" spans="1:9">
      <c r="A39" t="s">
        <v>110</v>
      </c>
      <c r="B39" s="36">
        <f>+INDEX(Sheet1!$D$37:$D$44,COLUMN()-COLUMN($B$69)+1)</f>
        <v>-180</v>
      </c>
      <c r="C39" s="36">
        <f>+INDEX(Sheet1!$D$37:$D$44,COLUMN()-COLUMN($B$69)+1)</f>
        <v>-315</v>
      </c>
      <c r="D39" s="36">
        <f>+INDEX(Sheet1!$D$37:$D$44,COLUMN()-COLUMN($B$69)+1)</f>
        <v>-30.209819134724082</v>
      </c>
      <c r="E39" s="36">
        <f>+INDEX(Sheet1!$D$37:$D$44,COLUMN()-COLUMN($B$69)+1)</f>
        <v>-180</v>
      </c>
      <c r="F39" s="36">
        <f>+INDEX(Sheet1!$D$37:$D$44,COLUMN()-COLUMN($B$69)+1)</f>
        <v>90</v>
      </c>
      <c r="G39" s="36">
        <f>+INDEX(Sheet1!$D$37:$D$44,COLUMN()-COLUMN($B$69)+1)</f>
        <v>-20</v>
      </c>
      <c r="H39" s="36">
        <f>+INDEX(Sheet1!$D$37:$D$44,COLUMN()-COLUMN($B$69)+1)</f>
        <v>-52</v>
      </c>
      <c r="I39" s="36">
        <f>+INDEX(Sheet1!$D$37:$D$44,COLUMN()-COLUMN($B$69)+1)</f>
        <v>-480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36">
        <f>+INDEX(Sheet1!$H$37:$H$44,COLUMN()-COLUMN($B$69)+1)</f>
        <v>10</v>
      </c>
      <c r="C46" s="36">
        <f>+INDEX(Sheet1!$H$37:$H$44,COLUMN()-COLUMN($B$69)+1)</f>
        <v>160.80000000000001</v>
      </c>
      <c r="D46" s="36">
        <f>+INDEX(Sheet1!$H$37:$H$44,COLUMN()-COLUMN($B$69)+1)</f>
        <v>80</v>
      </c>
      <c r="E46" s="36">
        <f>+INDEX(Sheet1!$H$37:$H$44,COLUMN()-COLUMN($B$69)+1)</f>
        <v>106</v>
      </c>
      <c r="F46" s="36">
        <f>+INDEX(Sheet1!$H$37:$H$44,COLUMN()-COLUMN($B$69)+1)</f>
        <v>90</v>
      </c>
      <c r="G46" s="36">
        <f>+INDEX(Sheet1!$H$37:$H$44,COLUMN()-COLUMN($B$69)+1)</f>
        <v>0</v>
      </c>
      <c r="H46" s="36">
        <f>+INDEX(Sheet1!$H$37:$H$44,COLUMN()-COLUMN($B$69)+1)</f>
        <v>40</v>
      </c>
      <c r="I46" s="36">
        <f>+INDEX(Sheet1!$H$37:$H$44,COLUMN()-COLUMN($B$69)+1)</f>
        <v>60</v>
      </c>
    </row>
    <row r="47" spans="1:9">
      <c r="A47" t="s">
        <v>114</v>
      </c>
      <c r="B47" s="36">
        <f>+INDEX(Sheet1!$G$37:$G$44,COLUMN()-COLUMN($B$69)+1)</f>
        <v>-95.5</v>
      </c>
      <c r="C47" s="36">
        <f>+INDEX(Sheet1!$G$37:$G$44,COLUMN()-COLUMN($B$69)+1)</f>
        <v>0</v>
      </c>
      <c r="D47" s="36">
        <f>+INDEX(Sheet1!$G$37:$G$44,COLUMN()-COLUMN($B$69)+1)</f>
        <v>-37</v>
      </c>
      <c r="E47" s="36">
        <f>+INDEX(Sheet1!$G$37:$G$44,COLUMN()-COLUMN($B$69)+1)</f>
        <v>5.5</v>
      </c>
      <c r="F47" s="36">
        <f>+INDEX(Sheet1!$G$37:$G$44,COLUMN()-COLUMN($B$69)+1)</f>
        <v>-90</v>
      </c>
      <c r="G47" s="36">
        <f>+INDEX(Sheet1!$G$37:$G$44,COLUMN()-COLUMN($B$69)+1)</f>
        <v>-90</v>
      </c>
      <c r="H47" s="36">
        <f>+INDEX(Sheet1!$G$37:$G$44,COLUMN()-COLUMN($B$69)+1)</f>
        <v>-20</v>
      </c>
      <c r="I47" s="36">
        <f>+INDEX(Sheet1!$G$37:$G$44,COLUMN()-COLUMN($B$69)+1)</f>
        <v>0</v>
      </c>
    </row>
    <row r="50" spans="1:9">
      <c r="A50" t="s">
        <v>115</v>
      </c>
    </row>
    <row r="51" spans="1:9">
      <c r="A51" t="s">
        <v>116</v>
      </c>
      <c r="B51" s="36">
        <f>$B$5</f>
        <v>7000</v>
      </c>
      <c r="C51" s="36">
        <f>$B$5</f>
        <v>7000</v>
      </c>
      <c r="D51" s="36">
        <f>$B$5</f>
        <v>7000</v>
      </c>
      <c r="E51" s="36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36">
        <f>+$B$3</f>
        <v>1333</v>
      </c>
      <c r="F55" s="36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36">
        <f>+$B$3</f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36">
        <f t="shared" ref="E57:E62" si="1">+$B$3</f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36">
        <f>+$B$3</f>
        <v>1333</v>
      </c>
      <c r="F58" s="36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36">
        <f t="shared" si="1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36">
        <f t="shared" si="1"/>
        <v>1333</v>
      </c>
      <c r="F61" s="36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200</v>
      </c>
      <c r="C62">
        <v>200</v>
      </c>
      <c r="D62">
        <v>1</v>
      </c>
      <c r="E62" s="36">
        <f t="shared" si="1"/>
        <v>1333</v>
      </c>
      <c r="F62" s="36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36">
        <f>+INDEX(Sheet1!$L$37:$L$44,COLUMN()-COLUMN($B$69)+1)</f>
        <v>2388</v>
      </c>
      <c r="C67" s="36">
        <f>+INDEX(Sheet1!$L$37:$L$44,COLUMN()-COLUMN($B$69)+1)</f>
        <v>3241</v>
      </c>
      <c r="D67" s="36">
        <f>+INDEX(Sheet1!$L$37:$L$44,COLUMN()-COLUMN($B$69)+1)</f>
        <v>587.94350000000009</v>
      </c>
      <c r="E67" s="36">
        <f>+INDEX(Sheet1!$L$37:$L$44,COLUMN()-COLUMN($B$69)+1)</f>
        <v>1532</v>
      </c>
      <c r="F67" s="36">
        <f>+INDEX(Sheet1!$L$37:$L$44,COLUMN()-COLUMN($B$69)+1)</f>
        <v>1000</v>
      </c>
      <c r="G67" s="36">
        <f>+INDEX(Sheet1!$L$37:$L$44,COLUMN()-COLUMN($B$69)+1)</f>
        <v>750</v>
      </c>
      <c r="H67" s="36">
        <f>+INDEX(Sheet1!$L$37:$L$44,COLUMN()-COLUMN($B$69)+1)</f>
        <v>750</v>
      </c>
      <c r="I67" s="36">
        <f>+INDEX(Sheet1!$L$37:$L$44,COLUMN()-COLUMN($B$69)+1)</f>
        <v>1600</v>
      </c>
    </row>
    <row r="68" spans="1:9">
      <c r="A68" t="s">
        <v>141</v>
      </c>
      <c r="B68" s="36">
        <f>+INDEX(Sheet1!$M$37:$M$44,COLUMN()-COLUMN($B$69)+1)</f>
        <v>10</v>
      </c>
      <c r="C68" s="36">
        <f>+INDEX(Sheet1!$M$37:$M$44,COLUMN()-COLUMN($B$69)+1)</f>
        <v>10</v>
      </c>
      <c r="D68" s="36">
        <f>+INDEX(Sheet1!$M$37:$M$44,COLUMN()-COLUMN($B$69)+1)</f>
        <v>10</v>
      </c>
      <c r="E68" s="36">
        <f>+INDEX(Sheet1!$M$37:$M$44,COLUMN()-COLUMN($B$69)+1)</f>
        <v>10</v>
      </c>
      <c r="F68" s="36">
        <f>+INDEX(Sheet1!$M$37:$M$44,COLUMN()-COLUMN($B$69)+1)</f>
        <v>20</v>
      </c>
      <c r="G68" s="36">
        <f>+INDEX(Sheet1!$M$37:$M$44,COLUMN()-COLUMN($B$69)+1)</f>
        <v>-10</v>
      </c>
      <c r="H68" s="36">
        <f>+INDEX(Sheet1!$M$37:$M$44,COLUMN()-COLUMN($B$69)+1)</f>
        <v>-10</v>
      </c>
      <c r="I68" s="36">
        <f>+INDEX(Sheet1!$M$37:$M$44,COLUMN()-COLUMN($B$69)+1)</f>
        <v>100</v>
      </c>
    </row>
    <row r="69" spans="1:9">
      <c r="A69" t="s">
        <v>142</v>
      </c>
      <c r="B69" s="36">
        <f>+INDEX(Sheet1!$N$37:$N$44,COLUMN()-COLUMN($B$69)+1)</f>
        <v>2867.6374999999998</v>
      </c>
      <c r="C69" s="36">
        <f>+INDEX(Sheet1!$N$37:$N$44,COLUMN()-COLUMN($B$69)+1)</f>
        <v>3128.125</v>
      </c>
      <c r="D69" s="36">
        <f>+INDEX(Sheet1!$N$37:$N$44,COLUMN()-COLUMN($B$69)+1)</f>
        <v>1902.88</v>
      </c>
      <c r="E69" s="36">
        <f>+INDEX(Sheet1!$N$37:$N$44,COLUMN()-COLUMN($B$69)+1)</f>
        <v>2411.5</v>
      </c>
      <c r="F69" s="36">
        <f>+INDEX(Sheet1!$N$37:$N$44,COLUMN()-COLUMN($B$69)+1)</f>
        <v>0</v>
      </c>
      <c r="G69" s="36">
        <f>+INDEX(Sheet1!$N$37:$N$44,COLUMN()-COLUMN($B$69)+1)</f>
        <v>0</v>
      </c>
      <c r="H69" s="36">
        <f>+INDEX(Sheet1!$N$37:$N$44,COLUMN()-COLUMN($B$69)+1)</f>
        <v>0</v>
      </c>
      <c r="I69" s="36">
        <f>+INDEX(Sheet1!$N$37:$N$44,COLUMN()-COLUMN($B$69)+1)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64" zoomScale="115" zoomScaleNormal="115" workbookViewId="0">
      <selection activeCell="B61" sqref="B61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154">
        <f>+INDEX(Sheet1!$K$48:$K$56,COLUMN()-COLUMN($B$71)+1)</f>
        <v>26.125</v>
      </c>
      <c r="C37" s="154">
        <f>+INDEX(Sheet1!$K$48:$K$56,COLUMN()-COLUMN($B$71)+1)</f>
        <v>-2.5</v>
      </c>
      <c r="D37" s="154">
        <f>+INDEX(Sheet1!$K$48:$K$56,COLUMN()-COLUMN($B$71)+1)</f>
        <v>-2.5555555555555554</v>
      </c>
      <c r="E37" s="154">
        <f>+INDEX(Sheet1!$K$48:$K$56,COLUMN()-COLUMN($B$71)+1)</f>
        <v>-2.6</v>
      </c>
      <c r="F37" s="154">
        <f>+INDEX(Sheet1!$K$48:$K$56,COLUMN()-COLUMN($B$71)+1)</f>
        <v>-2.5833333333333335</v>
      </c>
      <c r="G37" s="154">
        <f>+INDEX(Sheet1!$K$48:$K$56,COLUMN()-COLUMN($B$71)+1)</f>
        <v>-2.6666666666666665</v>
      </c>
      <c r="H37" s="154">
        <f>+INDEX(Sheet1!$K$48:$K$56,COLUMN()-COLUMN($B$71)+1)</f>
        <v>-2.3222222222222224</v>
      </c>
      <c r="I37" s="154">
        <f>+INDEX(Sheet1!$K$48:$K$56,COLUMN()-COLUMN($B$71)+1)</f>
        <v>-2.3888888888888888</v>
      </c>
    </row>
    <row r="38" spans="1:9">
      <c r="A38" t="s">
        <v>110</v>
      </c>
      <c r="B38" s="154">
        <f>+INDEX(Sheet1!$D$48:$D$56,COLUMN()-COLUMN($B$71)+1)</f>
        <v>37.177033492822972</v>
      </c>
      <c r="C38" s="154">
        <f>+INDEX(Sheet1!$D$48:$D$56,COLUMN()-COLUMN($B$71)+1)</f>
        <v>-98</v>
      </c>
      <c r="D38" s="154">
        <f>+INDEX(Sheet1!$D$48:$D$56,COLUMN()-COLUMN($B$71)+1)</f>
        <v>-183.91304347826087</v>
      </c>
      <c r="E38" s="154">
        <f>+INDEX(Sheet1!$D$48:$D$56,COLUMN()-COLUMN($B$71)+1)</f>
        <v>-93.84615384615384</v>
      </c>
      <c r="F38" s="154">
        <f>+INDEX(Sheet1!$D$48:$D$56,COLUMN()-COLUMN($B$71)+1)</f>
        <v>-187.74193548387095</v>
      </c>
      <c r="G38" s="154">
        <f>+INDEX(Sheet1!$D$48:$D$56,COLUMN()-COLUMN($B$71)+1)</f>
        <v>-93.75</v>
      </c>
      <c r="H38" s="154">
        <f>+INDEX(Sheet1!$D$48:$D$56,COLUMN()-COLUMN($B$71)+1)</f>
        <v>-202.39234449760764</v>
      </c>
      <c r="I38" s="154">
        <f>+INDEX(Sheet1!$D$48:$D$56,COLUMN()-COLUMN($B$71)+1)</f>
        <v>-286.74418604651163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36">
        <f>+INDEX(Sheet1!$H$48:$H$56,COLUMN()-COLUMN($B$71)+1)</f>
        <v>90</v>
      </c>
      <c r="C48" s="36">
        <f>+INDEX(Sheet1!$H$48:$H$56,COLUMN()-COLUMN($B$71)+1)</f>
        <v>90</v>
      </c>
      <c r="D48" s="36">
        <f>+INDEX(Sheet1!$H$48:$H$56,COLUMN()-COLUMN($B$71)+1)</f>
        <v>180</v>
      </c>
      <c r="E48" s="36">
        <f>+INDEX(Sheet1!$H$48:$H$56,COLUMN()-COLUMN($B$71)+1)</f>
        <v>90</v>
      </c>
      <c r="F48" s="36">
        <f>+INDEX(Sheet1!$H$48:$H$56,COLUMN()-COLUMN($B$71)+1)</f>
        <v>180</v>
      </c>
      <c r="G48" s="36">
        <f>+INDEX(Sheet1!$H$48:$H$56,COLUMN()-COLUMN($B$71)+1)</f>
        <v>90</v>
      </c>
      <c r="H48" s="36">
        <f>+INDEX(Sheet1!$H$48:$H$56,COLUMN()-COLUMN($B$71)+1)</f>
        <v>180</v>
      </c>
      <c r="I48" s="36">
        <f>+INDEX(Sheet1!$H$48:$H$56,COLUMN()-COLUMN($B$71)+1)</f>
        <v>270</v>
      </c>
    </row>
    <row r="49" spans="1:9">
      <c r="A49" t="s">
        <v>164</v>
      </c>
      <c r="B49" s="36">
        <f>+INDEX(Sheet1!$G$48:$G$56,COLUMN()-COLUMN($B$71)+1)</f>
        <v>10</v>
      </c>
      <c r="C49" s="36">
        <f>+INDEX(Sheet1!$G$48:$G$56,COLUMN()-COLUMN($B$71)+1)</f>
        <v>0</v>
      </c>
      <c r="D49" s="36">
        <f>+INDEX(Sheet1!$G$48:$G$56,COLUMN()-COLUMN($B$71)+1)</f>
        <v>0</v>
      </c>
      <c r="E49" s="36">
        <f>+INDEX(Sheet1!$G$48:$G$56,COLUMN()-COLUMN($B$71)+1)</f>
        <v>0</v>
      </c>
      <c r="F49" s="36">
        <f>+INDEX(Sheet1!$G$48:$G$56,COLUMN()-COLUMN($B$71)+1)</f>
        <v>0</v>
      </c>
      <c r="G49" s="36">
        <f>+INDEX(Sheet1!$G$48:$G$56,COLUMN()-COLUMN($B$71)+1)</f>
        <v>0</v>
      </c>
      <c r="H49" s="36">
        <f>+INDEX(Sheet1!$G$48:$G$56,COLUMN()-COLUMN($B$71)+1)</f>
        <v>0</v>
      </c>
      <c r="I49" s="36">
        <f>+INDEX(Sheet1!$G$48:$G$56,COLUMN()-COLUMN($B$71)+1)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36">
        <f t="shared" ref="E56:F63" si="0">+$B$3</f>
        <v>1333</v>
      </c>
      <c r="F56" s="36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36">
        <f t="shared" si="0"/>
        <v>1333</v>
      </c>
      <c r="F57" s="36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36">
        <f t="shared" si="0"/>
        <v>1333</v>
      </c>
      <c r="F58" s="36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36">
        <f t="shared" si="0"/>
        <v>1333</v>
      </c>
      <c r="F59" s="36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36">
        <f>+INDEX(Sheet1!$L$48:$L$56,COLUMN()-COLUMN($B$69)+1)</f>
        <v>971.25000000000011</v>
      </c>
      <c r="C68" s="36">
        <f>+INDEX(Sheet1!$L$48:$L$56,COLUMN()-COLUMN($B$69)+1)</f>
        <v>245</v>
      </c>
      <c r="D68" s="36">
        <f>+INDEX(Sheet1!$L$48:$L$56,COLUMN()-COLUMN($B$69)+1)</f>
        <v>10</v>
      </c>
      <c r="E68" s="36">
        <f>+INDEX(Sheet1!$L$48:$L$56,COLUMN()-COLUMN($B$69)+1)</f>
        <v>244</v>
      </c>
      <c r="F68" s="36">
        <f>+INDEX(Sheet1!$L$48:$L$56,COLUMN()-COLUMN($B$69)+1)</f>
        <v>20</v>
      </c>
      <c r="G68" s="36">
        <f>+INDEX(Sheet1!$L$48:$L$56,COLUMN()-COLUMN($B$69)+1)</f>
        <v>250</v>
      </c>
      <c r="H68" s="36">
        <f>+INDEX(Sheet1!$L$48:$L$56,COLUMN()-COLUMN($B$69)+1)</f>
        <v>52</v>
      </c>
      <c r="I68" s="36">
        <f>+INDEX(Sheet1!$L$48:$L$56,COLUMN()-COLUMN($B$69)+1)</f>
        <v>40</v>
      </c>
    </row>
    <row r="69" spans="1:9">
      <c r="A69" t="s">
        <v>141</v>
      </c>
      <c r="B69" s="36">
        <f>+INDEX(Sheet1!$M$48:$M$56,COLUMN()-COLUMN($B$69)+1)</f>
        <v>10</v>
      </c>
      <c r="C69" s="36">
        <f>+INDEX(Sheet1!$M$48:$M$56,COLUMN()-COLUMN($B$69)+1)</f>
        <v>10</v>
      </c>
      <c r="D69" s="36">
        <f>+INDEX(Sheet1!$M$48:$M$56,COLUMN()-COLUMN($B$69)+1)</f>
        <v>10</v>
      </c>
      <c r="E69" s="36">
        <f>+INDEX(Sheet1!$M$48:$M$56,COLUMN()-COLUMN($B$69)+1)</f>
        <v>10</v>
      </c>
      <c r="F69" s="36">
        <f>+INDEX(Sheet1!$M$48:$M$56,COLUMN()-COLUMN($B$69)+1)</f>
        <v>10</v>
      </c>
      <c r="G69" s="36">
        <f>+INDEX(Sheet1!$M$48:$M$56,COLUMN()-COLUMN($B$69)+1)</f>
        <v>10</v>
      </c>
      <c r="H69" s="36">
        <f>+INDEX(Sheet1!$M$48:$M$56,COLUMN()-COLUMN($B$69)+1)</f>
        <v>10</v>
      </c>
      <c r="I69" s="36">
        <f>+INDEX(Sheet1!$M$48:$M$56,COLUMN()-COLUMN($B$69)+1)</f>
        <v>10</v>
      </c>
    </row>
    <row r="70" spans="1:9">
      <c r="A70" t="s">
        <v>142</v>
      </c>
      <c r="B70" s="36">
        <f>+INDEX(Sheet1!$N$48:$N$56,COLUMN()-COLUMN($B$69)+1)</f>
        <v>0</v>
      </c>
      <c r="C70" s="36">
        <f>+INDEX(Sheet1!$N$48:$N$56,COLUMN()-COLUMN($B$69)+1)</f>
        <v>6000</v>
      </c>
      <c r="D70" s="36">
        <f>+INDEX(Sheet1!$N$48:$N$56,COLUMN()-COLUMN($B$69)+1)</f>
        <v>6500</v>
      </c>
      <c r="E70" s="36">
        <f>+INDEX(Sheet1!$N$48:$N$56,COLUMN()-COLUMN($B$69)+1)</f>
        <v>6000</v>
      </c>
      <c r="F70" s="36">
        <f>+INDEX(Sheet1!$N$48:$N$56,COLUMN()-COLUMN($B$69)+1)</f>
        <v>6500</v>
      </c>
      <c r="G70" s="36">
        <f>+INDEX(Sheet1!$N$48:$N$56,COLUMN()-COLUMN($B$69)+1)</f>
        <v>6000</v>
      </c>
      <c r="H70" s="36">
        <f>+INDEX(Sheet1!$N$48:$N$56,COLUMN()-COLUMN($B$69)+1)</f>
        <v>-6500</v>
      </c>
      <c r="I70" s="36">
        <f>+INDEX(Sheet1!$N$48:$N$56,COLUMN()-COLUMN($B$69)+1)</f>
        <v>-26000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34" zoomScale="75" zoomScaleNormal="75" workbookViewId="0">
      <selection activeCell="B45" sqref="B45:I46"/>
    </sheetView>
  </sheetViews>
  <sheetFormatPr defaultRowHeight="15"/>
  <cols>
    <col min="1" max="1" width="21" customWidth="1"/>
    <col min="2" max="2" width="12.28515625" customWidth="1"/>
  </cols>
  <sheetData>
    <row r="2" spans="1:6">
      <c r="A2" s="30" t="s">
        <v>78</v>
      </c>
      <c r="B2" s="31">
        <v>1333</v>
      </c>
      <c r="D2" t="s">
        <v>79</v>
      </c>
      <c r="F2" t="s">
        <v>80</v>
      </c>
    </row>
    <row r="3" spans="1:6">
      <c r="A3" s="32"/>
      <c r="B3" s="33"/>
    </row>
    <row r="5" spans="1:6">
      <c r="A5" s="34" t="s">
        <v>81</v>
      </c>
      <c r="B5" s="35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36">
        <f>+INDEX(Sheet1!$K$59:$K$67,COLUMN()-COLUMN($B$69)+1)</f>
        <v>11.375</v>
      </c>
      <c r="C37" s="36">
        <f>+INDEX(Sheet1!$K$59:$K$67,COLUMN()-COLUMN($B$69)+1)</f>
        <v>11.375</v>
      </c>
      <c r="D37" s="36">
        <f>+INDEX(Sheet1!$K$59:$K$67,COLUMN()-COLUMN($B$69)+1)</f>
        <v>19.462</v>
      </c>
      <c r="E37" s="36">
        <f>+INDEX(Sheet1!$K$59:$K$67,COLUMN()-COLUMN($B$69)+1)</f>
        <v>11.375</v>
      </c>
      <c r="F37" s="36">
        <f>+INDEX(Sheet1!$K$59:$K$67,COLUMN()-COLUMN($B$69)+1)</f>
        <v>706.67</v>
      </c>
      <c r="G37" s="36">
        <f>+INDEX(Sheet1!$K$59:$K$67,COLUMN()-COLUMN($B$69)+1)</f>
        <v>978.46</v>
      </c>
      <c r="H37" s="36">
        <f>+INDEX(Sheet1!$K$59:$K$67,COLUMN()-COLUMN($B$69)+1)</f>
        <v>978.46</v>
      </c>
      <c r="I37" s="36">
        <f>+INDEX(Sheet1!$K$59:$K$67,COLUMN()-COLUMN($B$69)+1)</f>
        <v>7.333333333333333</v>
      </c>
    </row>
    <row r="38" spans="1:9">
      <c r="A38" t="s">
        <v>110</v>
      </c>
      <c r="B38" s="36">
        <f>+INDEX(Sheet1!$D$59:$D$66,COLUMN()-COLUMN($B$69)+1)</f>
        <v>180</v>
      </c>
      <c r="C38" s="36">
        <f>+INDEX(Sheet1!$D$59:$D$66,COLUMN()-COLUMN($B$69)+1)</f>
        <v>45</v>
      </c>
      <c r="D38" s="36">
        <f>+INDEX(Sheet1!$D$59:$D$66,COLUMN()-COLUMN($B$69)+1)</f>
        <v>180.14882848628093</v>
      </c>
      <c r="E38" s="36">
        <f>+INDEX(Sheet1!$D$59:$D$66,COLUMN()-COLUMN($B$69)+1)</f>
        <v>180</v>
      </c>
      <c r="F38" s="36">
        <f>+INDEX(Sheet1!$D$59:$D$66,COLUMN()-COLUMN($B$69)+1)</f>
        <v>90</v>
      </c>
      <c r="G38" s="36">
        <f>+INDEX(Sheet1!$D$59:$D$66,COLUMN()-COLUMN($B$69)+1)</f>
        <v>-20</v>
      </c>
      <c r="H38" s="36">
        <f>+INDEX(Sheet1!$D$59:$D$66,COLUMN()-COLUMN($B$69)+1)</f>
        <v>-52</v>
      </c>
      <c r="I38" s="36">
        <f>+INDEX(Sheet1!$D$59:$D$66,COLUMN()-COLUMN($B$69)+1)</f>
        <v>297.27272727272731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36">
        <f>+INDEX(Sheet1!$H$59:$H$67,COLUMN()-COLUMN($B$69)+1)</f>
        <v>10</v>
      </c>
      <c r="C45" s="36">
        <f>+INDEX(Sheet1!$H$59:$H$67,COLUMN()-COLUMN($B$69)+1)</f>
        <v>160.80000000000001</v>
      </c>
      <c r="D45" s="36">
        <f>+INDEX(Sheet1!$H$59:$H$67,COLUMN()-COLUMN($B$69)+1)</f>
        <v>80</v>
      </c>
      <c r="E45" s="36">
        <f>+INDEX(Sheet1!$H$59:$H$67,COLUMN()-COLUMN($B$69)+1)</f>
        <v>106</v>
      </c>
      <c r="F45" s="36">
        <f>+INDEX(Sheet1!$H$59:$H$67,COLUMN()-COLUMN($B$69)+1)</f>
        <v>90</v>
      </c>
      <c r="G45" s="36">
        <f>+INDEX(Sheet1!$H$59:$H$67,COLUMN()-COLUMN($B$69)+1)</f>
        <v>0</v>
      </c>
      <c r="H45" s="36">
        <f>+INDEX(Sheet1!$H$59:$H$67,COLUMN()-COLUMN($B$69)+1)</f>
        <v>40</v>
      </c>
      <c r="I45" s="36">
        <f>+INDEX(Sheet1!$H$59:$H$67,COLUMN()-COLUMN($B$69)+1)</f>
        <v>60</v>
      </c>
    </row>
    <row r="46" spans="1:9">
      <c r="A46" t="s">
        <v>114</v>
      </c>
      <c r="B46" s="36">
        <f>+INDEX(Sheet1!$G$59:$G$66,COLUMN()-COLUMN($B$69)+1)</f>
        <v>-95.5</v>
      </c>
      <c r="C46" s="36">
        <f>+INDEX(Sheet1!$G$59:$G$66,COLUMN()-COLUMN($B$69)+1)</f>
        <v>0</v>
      </c>
      <c r="D46" s="36">
        <f>+INDEX(Sheet1!$G$59:$G$66,COLUMN()-COLUMN($B$69)+1)</f>
        <v>-37</v>
      </c>
      <c r="E46" s="36">
        <f>+INDEX(Sheet1!$G$59:$G$66,COLUMN()-COLUMN($B$69)+1)</f>
        <v>5.5</v>
      </c>
      <c r="F46" s="36">
        <f>+INDEX(Sheet1!$G$59:$G$66,COLUMN()-COLUMN($B$69)+1)</f>
        <v>-90</v>
      </c>
      <c r="G46" s="36">
        <f>+INDEX(Sheet1!$G$59:$G$66,COLUMN()-COLUMN($B$69)+1)</f>
        <v>-90</v>
      </c>
      <c r="H46" s="36">
        <f>+INDEX(Sheet1!$G$59:$G$66,COLUMN()-COLUMN($B$69)+1)</f>
        <v>-20</v>
      </c>
      <c r="I46" s="36">
        <f>+INDEX(Sheet1!$G$59:$G$66,COLUMN()-COLUMN($B$69)+1)</f>
        <v>0</v>
      </c>
    </row>
    <row r="49" spans="1:9">
      <c r="A49" t="s">
        <v>115</v>
      </c>
    </row>
    <row r="50" spans="1:9">
      <c r="A50" t="s">
        <v>116</v>
      </c>
      <c r="B50" s="36">
        <f>$B$5</f>
        <v>7000</v>
      </c>
      <c r="C50" s="36">
        <f>$B$5</f>
        <v>7000</v>
      </c>
      <c r="D50" s="36">
        <f>$B$5</f>
        <v>7000</v>
      </c>
      <c r="E50" s="36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36">
        <f t="shared" ref="E54:F61" si="0">+$B$2</f>
        <v>1333</v>
      </c>
      <c r="F54" s="36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36">
        <f t="shared" si="0"/>
        <v>1333</v>
      </c>
      <c r="F55" s="36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36">
        <f t="shared" si="0"/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36">
        <f t="shared" si="0"/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36">
        <f t="shared" si="0"/>
        <v>1333</v>
      </c>
      <c r="F58" s="36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36">
        <f t="shared" si="0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36">
        <f t="shared" si="0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36">
        <f t="shared" si="0"/>
        <v>1333</v>
      </c>
      <c r="F61" s="36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36">
        <f>+INDEX(Sheet1!$L$59:$L$66,COLUMN()-COLUMN($B$69)+1)</f>
        <v>1706</v>
      </c>
      <c r="C66" s="36">
        <f>+INDEX(Sheet1!$L$59:$L$66,COLUMN()-COLUMN($B$69)+1)</f>
        <v>853</v>
      </c>
      <c r="D66" s="36">
        <f>+INDEX(Sheet1!$L$59:$L$66,COLUMN()-COLUMN($B$69)+1)</f>
        <v>3506.0564999999997</v>
      </c>
      <c r="E66" s="36">
        <f>+INDEX(Sheet1!$L$59:$L$66,COLUMN()-COLUMN($B$69)+1)</f>
        <v>2558</v>
      </c>
      <c r="F66">
        <v>1000</v>
      </c>
      <c r="G66" s="36">
        <f>+INDEX(Sheet1!$L$59:$L$66,COLUMN()-COLUMN($B$69)+1)</f>
        <v>750</v>
      </c>
      <c r="H66" s="36">
        <f>+INDEX(Sheet1!$L$59:$L$66,COLUMN()-COLUMN($B$69)+1)</f>
        <v>750</v>
      </c>
      <c r="I66" s="36">
        <f>+INDEX(Sheet1!$L$59:$L$66,COLUMN()-COLUMN($B$69)+1)</f>
        <v>2180</v>
      </c>
    </row>
    <row r="67" spans="1:9">
      <c r="A67" t="s">
        <v>141</v>
      </c>
      <c r="B67" s="36">
        <f>+INDEX(Sheet1!$M$59:$M$66,COLUMN()-COLUMN($B$69)+1)</f>
        <v>10</v>
      </c>
      <c r="C67" s="36">
        <f>+INDEX(Sheet1!$M$59:$M$66,COLUMN()-COLUMN($B$69)+1)</f>
        <v>10</v>
      </c>
      <c r="D67" s="36">
        <f>+INDEX(Sheet1!$M$59:$M$66,COLUMN()-COLUMN($B$69)+1)</f>
        <v>10</v>
      </c>
      <c r="E67" s="36">
        <f>+INDEX(Sheet1!$M$59:$M$66,COLUMN()-COLUMN($B$69)+1)</f>
        <v>10</v>
      </c>
      <c r="F67" s="36">
        <f>+INDEX(Sheet1!$M$59:$M$66,COLUMN()-COLUMN($B$69)+1)</f>
        <v>-20</v>
      </c>
      <c r="G67" s="36">
        <f>+INDEX(Sheet1!$M$59:$M$66,COLUMN()-COLUMN($B$69)+1)</f>
        <v>10</v>
      </c>
      <c r="H67" s="36">
        <f>+INDEX(Sheet1!$M$59:$M$66,COLUMN()-COLUMN($B$69)+1)</f>
        <v>10</v>
      </c>
      <c r="I67" s="36">
        <f>+INDEX(Sheet1!$M$59:$M$66,COLUMN()-COLUMN($B$69)+1)</f>
        <v>100</v>
      </c>
    </row>
    <row r="68" spans="1:9">
      <c r="A68" t="s">
        <v>142</v>
      </c>
      <c r="B68" s="36">
        <f>+INDEX(Sheet1!$N$59:$N$66,COLUMN()-COLUMN($B$69)+1)</f>
        <v>555.10000000000014</v>
      </c>
      <c r="C68" s="36">
        <f>+INDEX(Sheet1!$N$59:$N$66,COLUMN()-COLUMN($B$69)+1)</f>
        <v>1860.95</v>
      </c>
      <c r="D68" s="36">
        <f>+INDEX(Sheet1!$N$59:$N$66,COLUMN()-COLUMN($B$69)+1)</f>
        <v>2498.9720000000002</v>
      </c>
      <c r="E68" s="36">
        <f>+INDEX(Sheet1!$N$59:$N$66,COLUMN()-COLUMN($B$69)+1)</f>
        <v>2555.9625000000001</v>
      </c>
      <c r="F68" s="36">
        <f>+INDEX(Sheet1!$N$59:$N$66,COLUMN()-COLUMN($B$69)+1)</f>
        <v>0</v>
      </c>
      <c r="G68" s="36">
        <f>+INDEX(Sheet1!$N$59:$N$66,COLUMN()-COLUMN($B$69)+1)</f>
        <v>0</v>
      </c>
      <c r="H68" s="36">
        <f>+INDEX(Sheet1!$N$59:$N$66,COLUMN()-COLUMN($B$69)+1)</f>
        <v>0</v>
      </c>
      <c r="I68" s="36">
        <f>+INDEX(Sheet1!$N$59:$N$66,COLUMN()-COLUMN($B$69)+1)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52" zoomScale="75" zoomScaleNormal="75" workbookViewId="0">
      <selection activeCell="K64" sqref="K64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30" t="s">
        <v>78</v>
      </c>
      <c r="B6" s="31">
        <v>1333</v>
      </c>
      <c r="D6" t="s">
        <v>79</v>
      </c>
      <c r="F6" t="s">
        <v>80</v>
      </c>
    </row>
    <row r="7" spans="1:6">
      <c r="A7" s="32"/>
      <c r="B7" s="33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154">
        <f>+INDEX(Sheet1!$K$70:$K$77,COLUMN()-COLUMN($B$71)+1)</f>
        <v>15.625</v>
      </c>
      <c r="C40" s="154">
        <f>+INDEX(Sheet1!$K$70:$K$77,COLUMN()-COLUMN($B$71)+1)</f>
        <v>-2.6666666666666665</v>
      </c>
      <c r="D40" s="154">
        <f>+INDEX(Sheet1!$K$70:$K$77,COLUMN()-COLUMN($B$71)+1)</f>
        <v>-2.2222222222222223</v>
      </c>
      <c r="E40" s="154">
        <f>+INDEX(Sheet1!$K$70:$K$77,COLUMN()-COLUMN($B$71)+1)</f>
        <v>-2.6666666666666665</v>
      </c>
      <c r="F40" s="154">
        <f>+INDEX(Sheet1!$K$70:$K$77,COLUMN()-COLUMN($B$71)+1)</f>
        <v>-2.6666666666666665</v>
      </c>
      <c r="G40" s="154">
        <f>+INDEX(Sheet1!$K$70:$K$77,COLUMN()-COLUMN($B$71)+1)</f>
        <v>-2.5</v>
      </c>
      <c r="H40" s="154">
        <f>+INDEX(Sheet1!$K$70:$K$77,COLUMN()-COLUMN($B$71)+1)</f>
        <v>-2.5833333333333335</v>
      </c>
      <c r="I40" s="154">
        <f>+INDEX(Sheet1!$K$70:$K$77,COLUMN()-COLUMN($B$71)+1)</f>
        <v>-2.2962962962962963</v>
      </c>
    </row>
    <row r="41" spans="1:9">
      <c r="A41" t="s">
        <v>110</v>
      </c>
      <c r="B41" s="154">
        <f>+INDEX(Sheet1!$D$70:$D$77,COLUMN()-COLUMN($B$71)+1)</f>
        <v>93.2</v>
      </c>
      <c r="C41" s="154">
        <f>+INDEX(Sheet1!$D$70:$D$77,COLUMN()-COLUMN($B$71)+1)</f>
        <v>-93.75</v>
      </c>
      <c r="D41" s="154">
        <f>+INDEX(Sheet1!$D$70:$D$77,COLUMN()-COLUMN($B$71)+1)</f>
        <v>-202.5</v>
      </c>
      <c r="E41" s="154">
        <f>+INDEX(Sheet1!$D$70:$D$77,COLUMN()-COLUMN($B$71)+1)</f>
        <v>-93.75</v>
      </c>
      <c r="F41" s="154">
        <f>+INDEX(Sheet1!$D$70:$D$77,COLUMN()-COLUMN($B$71)+1)</f>
        <v>-183.75</v>
      </c>
      <c r="G41" s="154">
        <f>+INDEX(Sheet1!$D$70:$D$77,COLUMN()-COLUMN($B$71)+1)</f>
        <v>-100</v>
      </c>
      <c r="H41" s="154">
        <f>+INDEX(Sheet1!$D$70:$D$77,COLUMN()-COLUMN($B$71)+1)</f>
        <v>-187.74193548387095</v>
      </c>
      <c r="I41" s="154">
        <f>+INDEX(Sheet1!$D$70:$D$77,COLUMN()-COLUMN($B$71)+1)</f>
        <v>-313.54838709677421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>
        <v>90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164</v>
      </c>
      <c r="B52">
        <v>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36">
        <f t="shared" ref="E59:F66" si="0">+$B$6</f>
        <v>1333</v>
      </c>
      <c r="F59" s="36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36">
        <f t="shared" si="0"/>
        <v>1333</v>
      </c>
      <c r="F64" s="36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36">
        <f t="shared" si="0"/>
        <v>1333</v>
      </c>
      <c r="F65" s="36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36">
        <f t="shared" si="0"/>
        <v>1333</v>
      </c>
      <c r="F66" s="36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36">
        <f>+INDEX(Sheet1!$L$70:$L$77,COLUMN()-COLUMN($B$69)+1)</f>
        <v>1456.25</v>
      </c>
      <c r="C71" s="36">
        <f>+INDEX(Sheet1!$L$70:$L$77,COLUMN()-COLUMN($B$69)+1)</f>
        <v>250</v>
      </c>
      <c r="D71" s="36">
        <f>+INDEX(Sheet1!$L$70:$L$77,COLUMN()-COLUMN($B$69)+1)</f>
        <v>50</v>
      </c>
      <c r="E71" s="36">
        <f>+INDEX(Sheet1!$L$70:$L$77,COLUMN()-COLUMN($B$69)+1)</f>
        <v>250</v>
      </c>
      <c r="F71" s="36">
        <f>+INDEX(Sheet1!$L$70:$L$77,COLUMN()-COLUMN($B$69)+1)</f>
        <v>10</v>
      </c>
      <c r="G71" s="36">
        <f>+INDEX(Sheet1!$L$70:$L$77,COLUMN()-COLUMN($B$69)+1)</f>
        <v>250</v>
      </c>
      <c r="H71" s="36">
        <f>+INDEX(Sheet1!$L$70:$L$77,COLUMN()-COLUMN($B$69)+1)</f>
        <v>20</v>
      </c>
      <c r="I71" s="36">
        <f>+INDEX(Sheet1!$L$70:$L$77,COLUMN()-COLUMN($B$69)+1)</f>
        <v>100</v>
      </c>
    </row>
    <row r="72" spans="1:9">
      <c r="A72" t="s">
        <v>141</v>
      </c>
      <c r="B72" s="36">
        <f>+INDEX(Sheet1!$M$70:$M$77,COLUMN()-COLUMN($B$69)+1)</f>
        <v>10</v>
      </c>
      <c r="C72" s="36">
        <f>+INDEX(Sheet1!$M$70:$M$77,COLUMN()-COLUMN($B$69)+1)</f>
        <v>10</v>
      </c>
      <c r="D72" s="36">
        <f>+INDEX(Sheet1!$M$70:$M$77,COLUMN()-COLUMN($B$69)+1)</f>
        <v>10</v>
      </c>
      <c r="E72" s="36">
        <f>+INDEX(Sheet1!$M$70:$M$77,COLUMN()-COLUMN($B$69)+1)</f>
        <v>10</v>
      </c>
      <c r="F72" s="36">
        <f>+INDEX(Sheet1!$M$70:$M$77,COLUMN()-COLUMN($B$69)+1)</f>
        <v>10</v>
      </c>
      <c r="G72" s="36">
        <f>+INDEX(Sheet1!$M$70:$M$77,COLUMN()-COLUMN($B$69)+1)</f>
        <v>10</v>
      </c>
      <c r="H72" s="36">
        <f>+INDEX(Sheet1!$M$70:$M$77,COLUMN()-COLUMN($B$69)+1)</f>
        <v>10</v>
      </c>
      <c r="I72" s="36">
        <f>+INDEX(Sheet1!$M$70:$M$77,COLUMN()-COLUMN($B$69)+1)</f>
        <v>10</v>
      </c>
    </row>
    <row r="73" spans="1:9">
      <c r="A73" t="s">
        <v>142</v>
      </c>
      <c r="B73" s="36">
        <f>+INDEX(Sheet1!$N$70:$N$77,COLUMN()-COLUMN($B$69)+1)</f>
        <v>0</v>
      </c>
      <c r="C73" s="36">
        <f>+INDEX(Sheet1!$N$70:$N$77,COLUMN()-COLUMN($B$69)+1)</f>
        <v>6000</v>
      </c>
      <c r="D73" s="36">
        <f>+INDEX(Sheet1!$N$70:$N$77,COLUMN()-COLUMN($B$69)+1)</f>
        <v>6500</v>
      </c>
      <c r="E73" s="36">
        <f>+INDEX(Sheet1!$N$70:$N$77,COLUMN()-COLUMN($B$69)+1)</f>
        <v>6000</v>
      </c>
      <c r="F73" s="36">
        <f>+INDEX(Sheet1!$N$70:$N$77,COLUMN()-COLUMN($B$69)+1)</f>
        <v>-6500</v>
      </c>
      <c r="G73" s="36">
        <f>+INDEX(Sheet1!$N$70:$N$77,COLUMN()-COLUMN($B$69)+1)</f>
        <v>6000</v>
      </c>
      <c r="H73" s="36">
        <f>+INDEX(Sheet1!$N$70:$N$77,COLUMN()-COLUMN($B$69)+1)</f>
        <v>6500</v>
      </c>
      <c r="I73" s="36">
        <f>+INDEX(Sheet1!$N$70:$N$77,COLUMN()-COLUMN($B$69)+1)</f>
        <v>-26000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8" zoomScaleNormal="100" workbookViewId="0">
      <selection activeCell="B73" sqref="B7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36">
        <f>+INDEX(Sheet1!$K$24:$K$34,COLUMN()-COLUMN($B$59)+1)</f>
        <v>-1951.29</v>
      </c>
      <c r="C37" s="36">
        <f>+INDEX(Sheet1!$K$24:$K$34,COLUMN()-COLUMN($B$59)+1)</f>
        <v>-1951.29</v>
      </c>
      <c r="D37" s="36">
        <f>+INDEX(Sheet1!$K$24:$K$34,COLUMN()-COLUMN($B$59)+1)</f>
        <v>-1399.46</v>
      </c>
      <c r="E37" s="36">
        <f>+INDEX(Sheet1!$K$24:$K$34,COLUMN()-COLUMN($B$59)+1)</f>
        <v>-1093.33</v>
      </c>
      <c r="F37" s="36">
        <f>+INDEX(Sheet1!$K$24:$K$34,COLUMN()-COLUMN($B$59)+1)</f>
        <v>-586.66</v>
      </c>
      <c r="G37" s="36">
        <f>+INDEX(Sheet1!$K$24:$K$34,COLUMN()-COLUMN($B$59)+1)</f>
        <v>293.33</v>
      </c>
      <c r="H37" s="36">
        <f>+INDEX(Sheet1!$K$24:$K$34,COLUMN()-COLUMN($B$59)+1)</f>
        <v>11.375</v>
      </c>
      <c r="I37" s="36">
        <f>+INDEX(Sheet1!$K$24:$K$34,COLUMN()-COLUMN($B$59)+1)</f>
        <v>11.375</v>
      </c>
      <c r="J37" s="36">
        <f>+INDEX(Sheet1!$K$24:$K$34,COLUMN()-COLUMN($B$59)+1)</f>
        <v>11.375</v>
      </c>
      <c r="K37" s="36">
        <f>+INDEX(Sheet1!$K$24:$K$34,COLUMN()-COLUMN($B$59)+1)</f>
        <v>0</v>
      </c>
    </row>
    <row r="38" spans="1:11">
      <c r="A38" t="s">
        <v>110</v>
      </c>
      <c r="B38" s="36">
        <f>+INDEX(Sheet1!$D$24:$D$34,COLUMN()-COLUMN($B$59)+1)</f>
        <v>40</v>
      </c>
      <c r="C38" s="36">
        <v>48</v>
      </c>
      <c r="D38" s="36">
        <f>+INDEX(Sheet1!$D$24:$D$34,COLUMN()-COLUMN($B$59)+1)</f>
        <v>55.45</v>
      </c>
      <c r="E38" s="36">
        <f>+INDEX(Sheet1!$D$24:$D$34,COLUMN()-COLUMN($B$59)+1)</f>
        <v>-38.4</v>
      </c>
      <c r="F38" s="36">
        <f>+INDEX(Sheet1!$D$24:$D$34,COLUMN()-COLUMN($B$59)+1)</f>
        <v>47.35</v>
      </c>
      <c r="G38" s="36">
        <f>+INDEX(Sheet1!$D$24:$D$34,COLUMN()-COLUMN($B$59)+1)</f>
        <v>8.9600000000000009</v>
      </c>
      <c r="H38" s="36">
        <f>+INDEX(Sheet1!$D$24:$D$34,COLUMN()-COLUMN($B$59)+1)</f>
        <v>180</v>
      </c>
      <c r="I38" s="36">
        <f>+INDEX(Sheet1!$D$24:$D$34,COLUMN()-COLUMN($B$59)+1)</f>
        <v>180</v>
      </c>
      <c r="J38" s="36">
        <f>+INDEX(Sheet1!$D$24:$D$34,COLUMN()-COLUMN($B$59)+1)</f>
        <v>180</v>
      </c>
      <c r="K38" s="36">
        <f>+INDEX(Sheet1!$D$24:$D$34,COLUMN()-COLUMN($B$59)+1)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36">
        <f>+INDEX(Sheet1!$H$24:$H$34,COLUMN()-COLUMN($B$59)+1)</f>
        <v>24</v>
      </c>
      <c r="C47" s="36">
        <f>+INDEX(Sheet1!$H$24:$H$34,COLUMN()-COLUMN($B$59)+1)</f>
        <v>47</v>
      </c>
      <c r="D47" s="36">
        <f>+INDEX(Sheet1!$H$24:$H$34,COLUMN()-COLUMN($B$59)+1)</f>
        <v>52</v>
      </c>
      <c r="E47" s="36">
        <f>+INDEX(Sheet1!$H$24:$H$34,COLUMN()-COLUMN($B$59)+1)</f>
        <v>19</v>
      </c>
      <c r="F47" s="36">
        <f>+INDEX(Sheet1!$H$24:$H$34,COLUMN()-COLUMN($B$59)+1)</f>
        <v>66</v>
      </c>
      <c r="G47" s="36">
        <f>+INDEX(Sheet1!$H$24:$H$34,COLUMN()-COLUMN($B$59)+1)</f>
        <v>50</v>
      </c>
      <c r="H47" s="36">
        <f>+INDEX(Sheet1!$H$24:$H$34,COLUMN()-COLUMN($B$59)+1)</f>
        <v>50</v>
      </c>
      <c r="I47" s="36">
        <f>+INDEX(Sheet1!$H$24:$H$34,COLUMN()-COLUMN($B$59)+1)</f>
        <v>30</v>
      </c>
      <c r="J47" s="36">
        <f>+INDEX(Sheet1!$H$24:$H$34,COLUMN()-COLUMN($B$59)+1)</f>
        <v>70</v>
      </c>
      <c r="K47">
        <v>0</v>
      </c>
    </row>
    <row r="48" spans="1:11">
      <c r="A48" t="s">
        <v>174</v>
      </c>
      <c r="B48" s="36">
        <f>+INDEX(Sheet1!$G$24:$G$34,COLUMN()-COLUMN($B$59)+1)</f>
        <v>-39</v>
      </c>
      <c r="C48" s="36">
        <f>+INDEX(Sheet1!$G$24:$G$34,COLUMN()-COLUMN($B$59)+1)</f>
        <v>-47</v>
      </c>
      <c r="D48" s="36">
        <f>+INDEX(Sheet1!$G$24:$G$34,COLUMN()-COLUMN($B$59)+1)</f>
        <v>-52</v>
      </c>
      <c r="E48" s="36">
        <f>+INDEX(Sheet1!$G$24:$G$34,COLUMN()-COLUMN($B$59)+1)</f>
        <v>-44</v>
      </c>
      <c r="F48" s="36">
        <f>+INDEX(Sheet1!$G$24:$G$34,COLUMN()-COLUMN($B$59)+1)</f>
        <v>-63</v>
      </c>
      <c r="G48" s="36">
        <f>+INDEX(Sheet1!$G$24:$G$34,COLUMN()-COLUMN($B$59)+1)</f>
        <v>0</v>
      </c>
      <c r="H48" s="36">
        <f>+INDEX(Sheet1!$G$24:$G$34,COLUMN()-COLUMN($B$59)+1)</f>
        <v>-50</v>
      </c>
      <c r="I48" s="36">
        <f>+INDEX(Sheet1!$G$24:$G$34,COLUMN()-COLUMN($B$59)+1)</f>
        <v>-30</v>
      </c>
      <c r="J48" s="36">
        <f>+INDEX(Sheet1!$G$24:$G$34,COLUMN()-COLUMN($B$59)+1)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36">
        <f>$B$5</f>
        <v>7000</v>
      </c>
      <c r="I50" s="36">
        <f>$B$5</f>
        <v>7000</v>
      </c>
      <c r="J50" s="36">
        <f>$B$5</f>
        <v>7000</v>
      </c>
      <c r="K50" s="36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36">
        <f>+$B$3</f>
        <v>1333</v>
      </c>
      <c r="F54" s="36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36">
        <f>+$B$3</f>
        <v>1333</v>
      </c>
      <c r="F55" s="36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36">
        <f t="shared" ref="E56:E63" si="1">+$B$3</f>
        <v>1333</v>
      </c>
      <c r="F56" s="36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36">
        <f>+$B$3</f>
        <v>1333</v>
      </c>
      <c r="F57" s="36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36">
        <f t="shared" si="1"/>
        <v>1333</v>
      </c>
      <c r="F58" s="36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36">
        <f t="shared" si="1"/>
        <v>1333</v>
      </c>
      <c r="F60" s="36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36">
        <f t="shared" si="1"/>
        <v>1333</v>
      </c>
      <c r="F61" s="36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36">
        <f t="shared" si="1"/>
        <v>1333</v>
      </c>
      <c r="F62" s="36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36">
        <f t="shared" si="1"/>
        <v>1333</v>
      </c>
      <c r="F63" s="36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36">
        <f>+INDEX(Sheet1!$L$24:$L34,COLUMN()-COLUMN($B$69)+1)</f>
        <v>500</v>
      </c>
      <c r="C68" s="36">
        <f>+INDEX(Sheet1!$L$24:$L34,COLUMN()-COLUMN($B$69)+1)</f>
        <v>1000</v>
      </c>
      <c r="D68" s="36">
        <f>+INDEX(Sheet1!$L$24:$L34,COLUMN()-COLUMN($B$69)+1)</f>
        <v>900</v>
      </c>
      <c r="E68" s="36">
        <f>+INDEX(Sheet1!$L$24:$L34,COLUMN()-COLUMN($B$69)+1)</f>
        <v>600</v>
      </c>
      <c r="F68" s="36">
        <f>+INDEX(Sheet1!$L$24:$L34,COLUMN()-COLUMN($B$69)+1)</f>
        <v>1333</v>
      </c>
      <c r="G68" s="36">
        <f>+INDEX(Sheet1!$L$24:$L34,COLUMN()-COLUMN($B$69)+1)</f>
        <v>1333</v>
      </c>
      <c r="H68" s="36">
        <f>+INDEX(Sheet1!$L$24:$L34,COLUMN()-COLUMN($B$69)+1)</f>
        <v>2047.5</v>
      </c>
      <c r="I68" s="36">
        <f>+INDEX(Sheet1!$L$24:$L34,COLUMN()-COLUMN($B$69)+1)</f>
        <v>2047.5</v>
      </c>
      <c r="J68" s="36">
        <f>+INDEX(Sheet1!$L$24:$L34,COLUMN()-COLUMN($B$69)+1)</f>
        <v>2047.5</v>
      </c>
      <c r="K68" s="36">
        <f>+INDEX(Sheet1!$L$24:$L34,COLUMN()-COLUMN($B$69)+1)</f>
        <v>0</v>
      </c>
    </row>
    <row r="69" spans="1:11">
      <c r="A69" t="s">
        <v>141</v>
      </c>
      <c r="B69" s="36">
        <f>+INDEX(Sheet1!$M$24:$M34,COLUMN()-COLUMN($B$69)+1)</f>
        <v>20</v>
      </c>
      <c r="C69" s="36">
        <f>+INDEX(Sheet1!$M$24:$M34,COLUMN()-COLUMN($B$69)+1)</f>
        <v>20</v>
      </c>
      <c r="D69" s="36">
        <f>+INDEX(Sheet1!$M$24:$M34,COLUMN()-COLUMN($B$69)+1)</f>
        <v>20</v>
      </c>
      <c r="E69" s="36">
        <f>+INDEX(Sheet1!$M$24:$M34,COLUMN()-COLUMN($B$69)+1)</f>
        <v>-20</v>
      </c>
      <c r="F69" s="36">
        <f>+INDEX(Sheet1!$M$24:$M34,COLUMN()-COLUMN($B$69)+1)</f>
        <v>20</v>
      </c>
      <c r="G69" s="36">
        <f>+INDEX(Sheet1!$M$24:$M34,COLUMN()-COLUMN($B$69)+1)</f>
        <v>20</v>
      </c>
      <c r="H69" s="36">
        <f>+INDEX(Sheet1!$M$24:$M34,COLUMN()-COLUMN($B$69)+1)</f>
        <v>10</v>
      </c>
      <c r="I69" s="36">
        <f>+INDEX(Sheet1!$M$24:$M34,COLUMN()-COLUMN($B$69)+1)</f>
        <v>10</v>
      </c>
      <c r="J69" s="36">
        <f>+INDEX(Sheet1!$M$24:$M34,COLUMN()-COLUMN($B$69)+1)</f>
        <v>10</v>
      </c>
      <c r="K69" s="36">
        <f>+INDEX(Sheet1!$M$24:$M34,COLUMN()-COLUMN($B$69)+1)</f>
        <v>0</v>
      </c>
    </row>
    <row r="70" spans="1:11">
      <c r="A70" t="s">
        <v>142</v>
      </c>
      <c r="B70" s="36">
        <f>+INDEX(Sheet1!$N$24:$N34,COLUMN()-COLUMN($B$69)+1)</f>
        <v>0</v>
      </c>
      <c r="C70" s="36">
        <f>+INDEX(Sheet1!$N$24:$N34,COLUMN()-COLUMN($B$69)+1)</f>
        <v>0</v>
      </c>
      <c r="D70" s="36">
        <f>+INDEX(Sheet1!$N$24:$N34,COLUMN()-COLUMN($B$69)+1)</f>
        <v>0</v>
      </c>
      <c r="E70" s="36">
        <f>+INDEX(Sheet1!$N$24:$N34,COLUMN()-COLUMN($B$69)+1)</f>
        <v>0</v>
      </c>
      <c r="F70" s="36">
        <f>+INDEX(Sheet1!$N$24:$N34,COLUMN()-COLUMN($B$69)+1)</f>
        <v>0</v>
      </c>
      <c r="G70" s="36">
        <f>+INDEX(Sheet1!$N$24:$N34,COLUMN()-COLUMN($B$69)+1)</f>
        <v>0</v>
      </c>
      <c r="H70" s="36">
        <f>+INDEX(Sheet1!$N$24:$N34,COLUMN()-COLUMN($B$69)+1)</f>
        <v>602.875</v>
      </c>
      <c r="I70" s="36">
        <f>+INDEX(Sheet1!$N$24:$N34,COLUMN()-COLUMN($B$69)+1)</f>
        <v>2634.45</v>
      </c>
      <c r="J70" s="36">
        <f>+INDEX(Sheet1!$N$24:$N34,COLUMN()-COLUMN($B$69)+1)</f>
        <v>2932.4749999999999</v>
      </c>
      <c r="K70" s="36">
        <f>+INDEX(Sheet1!$N$24:$N34,COLUMN()-COLUMN($B$69)+1)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E9" sqref="E9:E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2009-12-03T16:03:04Z</dcterms:modified>
</cp:coreProperties>
</file>