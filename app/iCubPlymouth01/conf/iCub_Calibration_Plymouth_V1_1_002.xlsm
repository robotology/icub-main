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 activeTab="6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C38" i="7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90" i="4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3"/>
  <c r="D89"/>
  <c r="E89"/>
  <c r="F89"/>
  <c r="G89"/>
  <c r="H89"/>
  <c r="I89"/>
  <c r="C90"/>
  <c r="D90"/>
  <c r="E90"/>
  <c r="F90"/>
  <c r="G90"/>
  <c r="H90"/>
  <c r="I90"/>
  <c r="B90"/>
  <c r="B89"/>
  <c r="C85"/>
  <c r="D85"/>
  <c r="E85"/>
  <c r="F85"/>
  <c r="G85"/>
  <c r="G43" i="8" s="1"/>
  <c r="H85" i="3"/>
  <c r="I85"/>
  <c r="B85"/>
  <c r="C84"/>
  <c r="D84"/>
  <c r="E84"/>
  <c r="F84"/>
  <c r="G84"/>
  <c r="H84"/>
  <c r="I84"/>
  <c r="B84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3" i="4"/>
  <c r="H63"/>
  <c r="G63"/>
  <c r="F63"/>
  <c r="E63"/>
  <c r="D63"/>
  <c r="C63"/>
  <c r="B63"/>
  <c r="I62"/>
  <c r="H62"/>
  <c r="G62"/>
  <c r="F62"/>
  <c r="E62"/>
  <c r="D62"/>
  <c r="C62"/>
  <c r="B62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60" i="3"/>
  <c r="D60"/>
  <c r="E60"/>
  <c r="F60"/>
  <c r="G60"/>
  <c r="H60"/>
  <c r="I60"/>
  <c r="C61"/>
  <c r="D61"/>
  <c r="E61"/>
  <c r="F61"/>
  <c r="G61"/>
  <c r="H61"/>
  <c r="I61"/>
  <c r="B61"/>
  <c r="B60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50" i="3"/>
  <c r="C50"/>
  <c r="D50"/>
  <c r="E50"/>
  <c r="G50"/>
  <c r="H50"/>
  <c r="B51"/>
  <c r="C51"/>
  <c r="E51"/>
  <c r="F51"/>
  <c r="G51"/>
  <c r="H51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36" i="8" s="1"/>
  <c r="C81" i="3"/>
  <c r="C36" i="8" s="1"/>
  <c r="E81" i="3"/>
  <c r="E36" i="8" s="1"/>
  <c r="F81" i="3"/>
  <c r="F36" i="8" s="1"/>
  <c r="G81" i="3"/>
  <c r="G36" i="8" s="1"/>
  <c r="H81" i="3"/>
  <c r="H36" i="8" s="1"/>
  <c r="B82" i="3"/>
  <c r="B37" i="8" s="1"/>
  <c r="C82" i="3"/>
  <c r="C37" i="8" s="1"/>
  <c r="D82" i="3"/>
  <c r="D37" i="8" s="1"/>
  <c r="E82" i="3"/>
  <c r="E37" i="8" s="1"/>
  <c r="F82" i="3"/>
  <c r="F37" i="8" s="1"/>
  <c r="G82" i="3"/>
  <c r="G37" i="8" s="1"/>
  <c r="H82" i="3"/>
  <c r="H37" i="8" s="1"/>
  <c r="I82" i="3"/>
  <c r="I37" i="8" s="1"/>
  <c r="F83" i="3"/>
  <c r="F38" i="8" s="1"/>
  <c r="G83" i="3"/>
  <c r="G38" i="8" s="1"/>
  <c r="H83" i="3"/>
  <c r="H38" i="8" s="1"/>
  <c r="I83" i="3"/>
  <c r="I38" i="8" s="1"/>
  <c r="E70" i="4"/>
  <c r="F70"/>
  <c r="E71"/>
  <c r="F71"/>
  <c r="E72"/>
  <c r="F72"/>
  <c r="E73"/>
  <c r="F73"/>
  <c r="E74"/>
  <c r="F74"/>
  <c r="E75"/>
  <c r="F75"/>
  <c r="E76"/>
  <c r="F76"/>
  <c r="E77"/>
  <c r="F77"/>
  <c r="B83"/>
  <c r="J37" i="8" s="1"/>
  <c r="C83" i="4"/>
  <c r="K37" i="8" s="1"/>
  <c r="D83" i="4"/>
  <c r="L37" i="8" s="1"/>
  <c r="E83" i="4"/>
  <c r="M37" i="8" s="1"/>
  <c r="F83" i="4"/>
  <c r="N37" i="8" s="1"/>
  <c r="G83" i="4"/>
  <c r="O37" i="8" s="1"/>
  <c r="H83" i="4"/>
  <c r="P37" i="8" s="1"/>
  <c r="I83" i="4"/>
  <c r="Q37" i="8" s="1"/>
  <c r="B84" i="4"/>
  <c r="J38" i="8" s="1"/>
  <c r="C84" i="4"/>
  <c r="K38" i="8" s="1"/>
  <c r="D84" i="4"/>
  <c r="L38" i="8" s="1"/>
  <c r="E84" i="4"/>
  <c r="M38" i="8" s="1"/>
  <c r="F84" i="4"/>
  <c r="N38" i="8" s="1"/>
  <c r="G84" i="4"/>
  <c r="O38" i="8" s="1"/>
  <c r="H84" i="4"/>
  <c r="P38" i="8" s="1"/>
  <c r="I84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3" i="3" s="1"/>
  <c r="B38" i="8" s="1"/>
  <c r="E38" i="1"/>
  <c r="F38" s="1"/>
  <c r="N38" s="1"/>
  <c r="C83" i="3" s="1"/>
  <c r="C38" i="8" s="1"/>
  <c r="F39" i="1"/>
  <c r="N39" s="1"/>
  <c r="D83" i="3" s="1"/>
  <c r="D38" i="8" s="1"/>
  <c r="D81" i="3"/>
  <c r="D36" i="8" s="1"/>
  <c r="E40" i="1"/>
  <c r="F40" s="1"/>
  <c r="N40" s="1"/>
  <c r="E83" i="3" s="1"/>
  <c r="E38" i="8" s="1"/>
  <c r="K41" i="1"/>
  <c r="F50" i="3" s="1"/>
  <c r="K44" i="1"/>
  <c r="D44" s="1"/>
  <c r="K48"/>
  <c r="B51" i="4" s="1"/>
  <c r="K49" i="1"/>
  <c r="D49" s="1"/>
  <c r="C52" i="4" s="1"/>
  <c r="C51"/>
  <c r="L49" i="1"/>
  <c r="C82" i="4"/>
  <c r="K36" i="8" s="1"/>
  <c r="K50" i="1"/>
  <c r="D51" i="4" s="1"/>
  <c r="L50" i="1"/>
  <c r="D82" i="4" s="1"/>
  <c r="L36" i="8" s="1"/>
  <c r="K51" i="1"/>
  <c r="D51" s="1"/>
  <c r="E52" i="4" s="1"/>
  <c r="L51" i="1"/>
  <c r="E82" i="4" s="1"/>
  <c r="M36" i="8" s="1"/>
  <c r="K52" i="1"/>
  <c r="F51" i="4" s="1"/>
  <c r="L52" i="1"/>
  <c r="F82" i="4" s="1"/>
  <c r="N36" i="8" s="1"/>
  <c r="K53" i="1"/>
  <c r="D53" s="1"/>
  <c r="G52" i="4" s="1"/>
  <c r="L53" i="1"/>
  <c r="G82" i="4" s="1"/>
  <c r="O36" i="8" s="1"/>
  <c r="K54" i="1"/>
  <c r="H51" i="4" s="1"/>
  <c r="L54" i="1"/>
  <c r="H82" i="4" s="1"/>
  <c r="P36" i="8" s="1"/>
  <c r="K55" i="1"/>
  <c r="D55" s="1"/>
  <c r="I52" i="4" s="1"/>
  <c r="I82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2" i="4" s="1"/>
  <c r="D50" i="1"/>
  <c r="D52" i="4" s="1"/>
  <c r="D50" i="6" l="1"/>
  <c r="H50"/>
  <c r="I50"/>
  <c r="I51" i="4"/>
  <c r="I50" i="3"/>
  <c r="B95" i="2"/>
  <c r="B76" i="8" s="1"/>
  <c r="G50" i="6"/>
  <c r="D48" i="1"/>
  <c r="B52" i="4" s="1"/>
  <c r="D61" i="1"/>
  <c r="D50" i="5" s="1"/>
  <c r="D51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51" i="4"/>
  <c r="L48" i="1"/>
  <c r="B82" i="4" s="1"/>
  <c r="J36" i="8" s="1"/>
  <c r="D54" i="1"/>
  <c r="H52" i="4" s="1"/>
  <c r="G51"/>
  <c r="E50" i="6"/>
  <c r="L70" i="1"/>
  <c r="B81" i="6" s="1"/>
  <c r="J49" i="8" s="1"/>
  <c r="B51" i="6"/>
  <c r="I49" i="5"/>
  <c r="L66" i="1"/>
  <c r="I80" i="5" s="1"/>
  <c r="I49" i="8" s="1"/>
  <c r="I50" i="5"/>
  <c r="I51" i="3"/>
  <c r="L44" i="1"/>
  <c r="I81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<sst xmlns="http://schemas.openxmlformats.org/spreadsheetml/2006/main" count="750" uniqueCount="286">
  <si>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</si>
  <si>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</si>
  <si>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</si>
  <si>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</si>
  <si>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</si>
  <si>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</si>
  <si>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</si>
  <si>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</si>
  <si>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</si>
  <si>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</si>
  <si>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</si>
  <si>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</si>
  <si>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</si>
  <si>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</si>
  <si>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</si>
  <si>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</si>
  <si>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</si>
  <si>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</si>
  <si>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</si>
  <si>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</si>
  <si>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</si>
  <si>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</si>
  <si>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</si>
  <si>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</si>
  <si>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</si>
  <si>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</si>
  <si>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</si>
  <si>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</si>
  <si>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</si>
  <si>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</si>
  <si>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</si>
  <si>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</si>
  <si>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</si>
  <si>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</si>
  <si>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</si>
  <si>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</si>
  <si>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</si>
  <si>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</si>
  <si>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</si>
  <si>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</si>
  <si>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</si>
  <si>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</si>
  <si>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</si>
  <si>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</si>
  <si>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</si>
  <si>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</si>
  <si>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</si>
  <si>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</si>
  <si>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</si>
  <si>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</si>
  <si>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</si>
  <si>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</si>
  <si>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</si>
  <si>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</si>
  <si>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</si>
  <si>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</si>
  <si>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</si>
  <si>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</si>
  <si>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</si>
  <si>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</si>
  <si>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</si>
  <si>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</si>
  <si>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</si>
  <si>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</si>
  <si>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</si>
  <si>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</si>
  <si>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</si>
  <si>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</si>
  <si>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</si>
  <si>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</si>
  <si>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</si>
  <si>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</si>
  <si>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</si>
  <si>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</si>
  <si>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</si>
  <si>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</si>
  <si>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</si>
  <si>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</si>
  <si>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</si>
  <si>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</si>
  <si>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</si>
  <si>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</si>
  <si>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</si>
  <si>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</si>
  <si>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</si>
  <si>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</si>
  <si>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</si>
  <si>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</si>
  <si>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</si>
  <si>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</si>
  <si>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</si>
  <si>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</si>
  <si>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</si>
  <si>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</si>
  <si>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</si>
  <si>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</si>
  <si>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</si>
  <si>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</si>
  <si>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</si>
  <si>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</si>
  <si>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</si>
  <si>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</si>
  <si>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</si>
  <si>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</si>
  <si>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</si>
  <si>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</si>
  <si>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</si>
  <si>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</si>
  <si>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</si>
  <si>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</si>
  <si>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</si>
  <si>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</si>
  <si>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</si>
  <si>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</si>
  <si>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</si>
  <si>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</si>
  <si>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</si>
  <si>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</si>
  <si>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</si>
  <si>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</si>
  <si>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</si>
  <si>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</si>
  <si>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</si>
  <si>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</si>
  <si>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</si>
  <si>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</si>
  <si>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</si>
  <si>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</si>
  <si>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</si>
  <si>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</si>
  <si>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</si>
  <si>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</si>
  <si>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</si>
  <si>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</si>
  <si>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</si>
  <si>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</si>
  <si>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</si>
  <si>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</si>
  <si>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</si>
  <si>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</si>
  <si>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</si>
  <si>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</si>
  <si>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</si>
  <si>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</si>
  <si>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</si>
  <si>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</si>
  <si>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</si>
  <si>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</si>
  <si>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</si>
  <si>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</si>
  <si>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</si>
  <si>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</si>
  <si>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</si>
  <si>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</si>
  <si>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</si>
  <si>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</si>
  <si>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</si>
  <si>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</si>
  <si>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</si>
  <si>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</si>
  <si>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</si>
  <si>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</si>
  <si>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</si>
  <si>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</si>
  <si>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</si>
  <si>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</si>
  <si>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</si>
  <si>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</si>
  <si>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</si>
  <si>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</si>
  <si>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</si>
  <si>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</si>
  <si>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</si>
  <si>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</si>
  <si>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</si>
  <si>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</si>
  <si>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</si>
  <si>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</si>
  <si>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</si>
  <si>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</si>
  <si>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</si>
  <si>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</si>
  <si>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</si>
  <si>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</si>
  <si>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</si>
  <si>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</si>
  <si>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</si>
  <si>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</si>
  <si>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</si>
  <si>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</si>
  <si>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</si>
  <si>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</si>
  <si>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</si>
  <si>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</si>
  <si>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</si>
  <si>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</si>
  <si>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</si>
  <si>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</si>
  <si>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</si>
  <si>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</si>
  <si>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</si>
  <si>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</si>
  <si>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</si>
  <si>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</si>
  <si>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</si>
  <si>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</si>
  <si>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</si>
  <si>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</si>
  <si>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</si>
  <si>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</si>
  <si>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</si>
  <si>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</si>
  <si>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</si>
  <si>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</si>
  <si>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</si>
  <si>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</si>
  <si>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</si>
  <si>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</si>
  <si>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</si>
  <si>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</si>
  <si>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</si>
  <si>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</si>
  <si>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</si>
  <si>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</si>
  <si>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</si>
  <si>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</si>
  <si>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</si>
  <si>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</si>
  <si>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</si>
  <si>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</si>
  <si>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</si>
  <si>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</si>
  <si>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</si>
  <si>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</si>
  <si>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</si>
  <si>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</si>
  <si>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</si>
  <si>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</si>
  <si>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</si>
  <si>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</si>
  <si>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</si>
  <si>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</si>
  <si>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</si>
  <si>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</si>
  <si>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</si>
  <si>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</si>
  <si>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</si>
  <si>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</si>
  <si>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</si>
  <si>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</si>
  <si>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</si>
  <si>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</si>
  <si>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</si>
  <si>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</si>
  <si>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</si>
  <si>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</si>
  <si>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</si>
  <si>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</si>
  <si>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</si>
  <si>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</si>
  <si>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</si>
  <si>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</si>
  <si>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</si>
  <si>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</si>
  <si>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</si>
  <si>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</si>
  <si>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</si>
  <si>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</si>
  <si>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</si>
  <si>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</si>
  <si>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</si>
  <si>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</si>
  <si>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</si>
  <si>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</si>
  <si>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</si>
  <si>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</si>
  <si>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</si>
  <si>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</si>
  <si>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</si>
  <si>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</si>
  <si>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</si>
  <si>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</si>
  <si>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</si>
  <si>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</si>
  <si>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</si>
  <si>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D:\icub\app\iCubPlymouth01\conf\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</si>
</sst>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opLeftCell="A64" zoomScale="70" zoomScaleNormal="70" workbookViewId="0">
      <selection activeCell="J92" sqref="J92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52</v>
      </c>
      <c r="D7" s="25">
        <v>180</v>
      </c>
      <c r="E7" s="26">
        <f>(ABS(C7)-ABS(D7))</f>
        <v>-128</v>
      </c>
      <c r="F7" s="26">
        <f>IF(E7&gt;=0,(E7*11.375),(360+E7)*11.375)</f>
        <v>2639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2639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81.7</v>
      </c>
      <c r="D8" s="25">
        <v>180</v>
      </c>
      <c r="E8" s="26">
        <f t="shared" ref="E8:E18" si="0">(ABS(C8)-ABS(D8))</f>
        <v>-98.3</v>
      </c>
      <c r="F8" s="26">
        <f t="shared" ref="F8:F18" si="1">IF(E8&gt;=0,(E8*11.375),(360+E8)*11.375)</f>
        <v>2976.8375000000001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2976.8375000000001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359.9</v>
      </c>
      <c r="D9" s="25">
        <v>180</v>
      </c>
      <c r="E9" s="26">
        <f t="shared" si="0"/>
        <v>179.89999999999998</v>
      </c>
      <c r="F9" s="26">
        <f t="shared" si="1"/>
        <v>2046.3624999999997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2046.3624999999997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323.39999999999998</v>
      </c>
      <c r="D10" s="25">
        <v>180</v>
      </c>
      <c r="E10" s="26">
        <f t="shared" si="0"/>
        <v>143.39999999999998</v>
      </c>
      <c r="F10" s="26">
        <f t="shared" si="1"/>
        <v>1631.1749999999997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1631.1749999999997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33.1</v>
      </c>
      <c r="D11" s="25">
        <v>180</v>
      </c>
      <c r="E11" s="26">
        <f t="shared" si="0"/>
        <v>-146.9</v>
      </c>
      <c r="F11" s="26">
        <f t="shared" si="1"/>
        <v>2424.0124999999998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2424.0124999999998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321.2</v>
      </c>
      <c r="D12" s="25">
        <v>180</v>
      </c>
      <c r="E12" s="26">
        <f t="shared" si="0"/>
        <v>141.19999999999999</v>
      </c>
      <c r="F12" s="26">
        <f t="shared" si="1"/>
        <v>1606.1499999999999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1606.1499999999999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168.2</v>
      </c>
      <c r="D13" s="25">
        <v>-180</v>
      </c>
      <c r="E13" s="26">
        <f t="shared" si="0"/>
        <v>-11.800000000000011</v>
      </c>
      <c r="F13" s="26">
        <f t="shared" si="1"/>
        <v>3960.7750000000001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3960.7750000000001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93.3</v>
      </c>
      <c r="D14" s="25">
        <v>-180</v>
      </c>
      <c r="E14" s="26">
        <f t="shared" si="0"/>
        <v>-86.7</v>
      </c>
      <c r="F14" s="26">
        <f t="shared" si="1"/>
        <v>3108.7874999999999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3108.7874999999999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34.9</v>
      </c>
      <c r="D15" s="25">
        <v>-180</v>
      </c>
      <c r="E15" s="26">
        <f t="shared" si="0"/>
        <v>-145.1</v>
      </c>
      <c r="F15" s="26">
        <f t="shared" si="1"/>
        <v>2444.4875000000002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2444.4875000000002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167.4</v>
      </c>
      <c r="D16" s="25">
        <v>-180</v>
      </c>
      <c r="E16" s="26">
        <f t="shared" si="0"/>
        <v>-12.599999999999994</v>
      </c>
      <c r="F16" s="26">
        <f t="shared" si="1"/>
        <v>3951.6749999999997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3951.6749999999997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40.1</v>
      </c>
      <c r="D17" s="25">
        <v>-180</v>
      </c>
      <c r="E17" s="26">
        <f t="shared" si="0"/>
        <v>-139.9</v>
      </c>
      <c r="F17" s="26">
        <f t="shared" si="1"/>
        <v>2503.6374999999998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2503.6374999999998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220.2</v>
      </c>
      <c r="D18" s="25">
        <v>-180</v>
      </c>
      <c r="E18" s="26">
        <f t="shared" si="0"/>
        <v>40.199999999999989</v>
      </c>
      <c r="F18" s="26">
        <f t="shared" si="1"/>
        <v>457.27499999999986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457.27499999999986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142.9</v>
      </c>
      <c r="D30" s="25">
        <v>180</v>
      </c>
      <c r="E30" s="26">
        <f>(C30-D30)</f>
        <v>-37.099999999999994</v>
      </c>
      <c r="F30" s="26">
        <f>IF(E30&gt;=0,(E30*11.375),(360+E30)*11.375)</f>
        <v>3672.9874999999997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3672.9874999999997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50.4</v>
      </c>
      <c r="D31" s="25">
        <v>180</v>
      </c>
      <c r="E31" s="26">
        <f>(C31-D31)</f>
        <v>-129.6</v>
      </c>
      <c r="F31" s="26">
        <f>IF(E31&gt;=0,(E31*11.375),(360+E31)*11.375)</f>
        <v>2620.8000000000002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2620.8000000000002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138.5</v>
      </c>
      <c r="D32" s="25">
        <v>180</v>
      </c>
      <c r="E32" s="26">
        <f>(C32-D32)</f>
        <v>-41.5</v>
      </c>
      <c r="F32" s="26">
        <f>IF(E32&gt;=0,(E32*11.375),(360+E32)*11.375)</f>
        <v>3622.9375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3622.9375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-43</v>
      </c>
      <c r="D37" s="25">
        <v>-180</v>
      </c>
      <c r="E37" s="26">
        <f>(ABS(C37)-ABS(D37))</f>
        <v>-137</v>
      </c>
      <c r="F37" s="26">
        <f>IF(E37&gt;=0,(E37*11.375),(360+E37)*11.375)</f>
        <v>2536.625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2536.625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-168.2</v>
      </c>
      <c r="D38" s="25">
        <v>-315</v>
      </c>
      <c r="E38" s="26">
        <f>(ABS(C38)-ABS(D38))</f>
        <v>-146.80000000000001</v>
      </c>
      <c r="F38" s="26">
        <f>IF(E38&gt;=0,(E38*11.375),(360+E38)*11.375)</f>
        <v>2425.15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2425.15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49</v>
      </c>
      <c r="D39" s="25">
        <f>-L39/-K39</f>
        <v>24.257819103972956</v>
      </c>
      <c r="E39" s="45">
        <f>ABS((+C39/(40/65)-(C37-C38)/(40/65)))-ABS(180)</f>
        <v>-56.17500000000004</v>
      </c>
      <c r="F39" s="45">
        <f>IF(E39&gt;=0,(E39*11.375),(360+E39)*11.375)</f>
        <v>3456.0093749999992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3456.0093749999992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-8.4</v>
      </c>
      <c r="D40" s="25">
        <v>-180</v>
      </c>
      <c r="E40" s="26">
        <f>(ABS(C40)-ABS(D40))</f>
        <v>-171.6</v>
      </c>
      <c r="F40" s="26">
        <f>IF(E40&gt;=0,(E40*11.375),(360+E40)*11.375)</f>
        <v>2143.0500000000002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2143.0500000000002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281.11764705882354</v>
      </c>
      <c r="E44" s="34"/>
      <c r="F44" s="34"/>
      <c r="G44" s="27">
        <v>0</v>
      </c>
      <c r="H44" s="27">
        <v>60</v>
      </c>
      <c r="I44" s="29">
        <v>1593</v>
      </c>
      <c r="J44" s="29">
        <v>1933</v>
      </c>
      <c r="K44" s="30">
        <f>(J44-I44)/(H44-G44)</f>
        <v>5.666666666666667</v>
      </c>
      <c r="L44" s="27">
        <f>ABS(+D44*K44)</f>
        <v>1593.0000000000002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IF(K48&gt;0,+I48/K48-G48,+I48/K48+G48)</f>
        <v>-176.66666666666669</v>
      </c>
      <c r="E48" s="34"/>
      <c r="F48" s="34"/>
      <c r="G48" s="27">
        <v>-10</v>
      </c>
      <c r="H48" s="27">
        <v>90</v>
      </c>
      <c r="I48" s="47">
        <v>3700</v>
      </c>
      <c r="J48" s="47">
        <v>1480</v>
      </c>
      <c r="K48" s="30">
        <f t="shared" ref="K48:K55" si="5">(J48-I48)/(H48-G48)</f>
        <v>-22.2</v>
      </c>
      <c r="L48" s="27">
        <f>ABS(D48*K48)</f>
        <v>3922.0000000000005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-114.32432432432434</v>
      </c>
      <c r="E49" s="34"/>
      <c r="F49" s="34"/>
      <c r="G49" s="27">
        <v>0</v>
      </c>
      <c r="H49" s="27">
        <v>90</v>
      </c>
      <c r="I49" s="75">
        <v>235</v>
      </c>
      <c r="J49" s="75">
        <v>50</v>
      </c>
      <c r="K49" s="30">
        <f t="shared" si="5"/>
        <v>-2.0555555555555554</v>
      </c>
      <c r="L49" s="27">
        <f>I49</f>
        <v>235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-192.32876712328769</v>
      </c>
      <c r="E50" s="34"/>
      <c r="F50" s="34"/>
      <c r="G50" s="27">
        <v>0</v>
      </c>
      <c r="H50" s="27">
        <v>180</v>
      </c>
      <c r="I50" s="75">
        <v>468</v>
      </c>
      <c r="J50" s="75">
        <v>30</v>
      </c>
      <c r="K50" s="30">
        <f t="shared" si="5"/>
        <v>-2.4333333333333331</v>
      </c>
      <c r="L50" s="27">
        <f>J50</f>
        <v>30</v>
      </c>
      <c r="M50" s="27">
        <v>10</v>
      </c>
      <c r="N50" s="27">
        <v>6500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-114.32432432432434</v>
      </c>
      <c r="E51" s="34"/>
      <c r="F51" s="34"/>
      <c r="G51" s="27">
        <v>0</v>
      </c>
      <c r="H51" s="27">
        <v>90</v>
      </c>
      <c r="I51" s="75">
        <v>235</v>
      </c>
      <c r="J51" s="75">
        <v>50</v>
      </c>
      <c r="K51" s="30">
        <f t="shared" si="5"/>
        <v>-2.0555555555555554</v>
      </c>
      <c r="L51" s="27">
        <f>I51</f>
        <v>235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-183.91304347826087</v>
      </c>
      <c r="E52" s="34"/>
      <c r="F52" s="34"/>
      <c r="G52" s="27">
        <v>0</v>
      </c>
      <c r="H52" s="27">
        <v>180</v>
      </c>
      <c r="I52" s="75">
        <v>470</v>
      </c>
      <c r="J52" s="75">
        <v>10</v>
      </c>
      <c r="K52" s="30">
        <f t="shared" si="5"/>
        <v>-2.5555555555555554</v>
      </c>
      <c r="L52" s="27">
        <f>J52</f>
        <v>10</v>
      </c>
      <c r="M52" s="27">
        <v>10</v>
      </c>
      <c r="N52" s="27">
        <v>6500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-115.28089887640449</v>
      </c>
      <c r="E53" s="34"/>
      <c r="F53" s="34"/>
      <c r="G53" s="27">
        <v>0</v>
      </c>
      <c r="H53" s="27">
        <v>90</v>
      </c>
      <c r="I53" s="75">
        <v>228</v>
      </c>
      <c r="J53" s="75">
        <v>50</v>
      </c>
      <c r="K53" s="30">
        <f t="shared" si="5"/>
        <v>-1.9777777777777779</v>
      </c>
      <c r="L53" s="27">
        <f>I53</f>
        <v>228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-6500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-350.14842300556586</v>
      </c>
      <c r="E55" s="34"/>
      <c r="F55" s="34"/>
      <c r="G55" s="27">
        <v>0</v>
      </c>
      <c r="H55" s="27">
        <v>270</v>
      </c>
      <c r="I55" s="75">
        <v>699</v>
      </c>
      <c r="J55" s="75">
        <v>160</v>
      </c>
      <c r="K55" s="30">
        <f t="shared" si="5"/>
        <v>-1.9962962962962962</v>
      </c>
      <c r="L55" s="27">
        <f>I55</f>
        <v>699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150.19999999999999</v>
      </c>
      <c r="D59" s="25">
        <v>180</v>
      </c>
      <c r="E59" s="26">
        <f>(ABS(C59)-ABS(D59))</f>
        <v>-29.800000000000011</v>
      </c>
      <c r="F59" s="26">
        <f>IF(E59&gt;=0,(E59*11.375),(360+E59)*11.375)</f>
        <v>3756.0250000000001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3756.0250000000001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142.5</v>
      </c>
      <c r="D60" s="25">
        <f>45</f>
        <v>45</v>
      </c>
      <c r="E60" s="26">
        <f>(ABS(C60)-ABS(D60))</f>
        <v>97.5</v>
      </c>
      <c r="F60" s="26">
        <f>IF(E60&gt;=0,(E60*11.375),(360+E60)*11.375)</f>
        <v>1109.0625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1109.0625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211.3</v>
      </c>
      <c r="D61" s="25">
        <f>L61/K61</f>
        <v>245.74218089602704</v>
      </c>
      <c r="E61" s="45">
        <f>ABS((+C61/(40/65)-(C59-C60)/(40/65)))-ABS(180)</f>
        <v>150.85000000000002</v>
      </c>
      <c r="F61" s="45">
        <f>IF(E61&gt;=0,(E61*11.375),(360+E61)*11.375)</f>
        <v>1715.9187500000003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1715.9187500000003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39.6</v>
      </c>
      <c r="D62" s="25">
        <v>180</v>
      </c>
      <c r="E62" s="26">
        <f>(ABS(C62)-ABS(D62))</f>
        <v>-140.4</v>
      </c>
      <c r="F62" s="26">
        <f>IF(E62&gt;=0,(E62*11.375),(360+E62)*11.375)</f>
        <v>2497.9499999999998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2497.9499999999998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360</v>
      </c>
      <c r="E66" s="34"/>
      <c r="F66" s="34"/>
      <c r="G66" s="25">
        <v>0</v>
      </c>
      <c r="H66" s="25">
        <v>60</v>
      </c>
      <c r="I66" s="29">
        <v>1800</v>
      </c>
      <c r="J66" s="29">
        <v>2100</v>
      </c>
      <c r="K66" s="65">
        <f>(J66-I66)/(H66-G66)</f>
        <v>5</v>
      </c>
      <c r="L66" s="25">
        <f>ABS(+D66*K66)</f>
        <v>1800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35.730994152046783</v>
      </c>
      <c r="E70" s="34"/>
      <c r="F70" s="34"/>
      <c r="G70" s="27">
        <v>-10</v>
      </c>
      <c r="H70" s="27">
        <v>90</v>
      </c>
      <c r="I70" s="47">
        <v>440</v>
      </c>
      <c r="J70" s="47">
        <v>2150</v>
      </c>
      <c r="K70" s="30">
        <f t="shared" ref="K70:K77" si="7">(J70-I70)/(H70-G70)</f>
        <v>17.100000000000001</v>
      </c>
      <c r="L70" s="25">
        <f>ABS(D70*K70)</f>
        <v>611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-94.090909090909079</v>
      </c>
      <c r="E71" s="34"/>
      <c r="F71" s="34"/>
      <c r="G71" s="27">
        <v>0</v>
      </c>
      <c r="H71" s="27">
        <v>90</v>
      </c>
      <c r="I71" s="75">
        <v>230</v>
      </c>
      <c r="J71" s="75">
        <v>10</v>
      </c>
      <c r="K71" s="30">
        <f t="shared" si="7"/>
        <v>-2.4444444444444446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-185.27027027027026</v>
      </c>
      <c r="E72" s="34"/>
      <c r="F72" s="34"/>
      <c r="G72" s="27">
        <v>0</v>
      </c>
      <c r="H72" s="27">
        <v>180</v>
      </c>
      <c r="I72" s="75">
        <v>457</v>
      </c>
      <c r="J72" s="75">
        <v>13</v>
      </c>
      <c r="K72" s="30">
        <f t="shared" si="7"/>
        <v>-2.4666666666666668</v>
      </c>
      <c r="L72" s="27">
        <f>+J72</f>
        <v>13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-114.32432432432434</v>
      </c>
      <c r="E73" s="34"/>
      <c r="F73" s="34"/>
      <c r="G73" s="27">
        <v>0</v>
      </c>
      <c r="H73" s="27">
        <v>90</v>
      </c>
      <c r="I73" s="75">
        <v>235</v>
      </c>
      <c r="J73" s="75">
        <v>50</v>
      </c>
      <c r="K73" s="30">
        <f t="shared" si="7"/>
        <v>-2.0555555555555554</v>
      </c>
      <c r="L73" s="27">
        <f>I73</f>
        <v>235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-180</v>
      </c>
      <c r="E74" s="34"/>
      <c r="F74" s="34"/>
      <c r="G74" s="27">
        <v>0</v>
      </c>
      <c r="H74" s="27">
        <v>180</v>
      </c>
      <c r="I74" s="75">
        <v>474</v>
      </c>
      <c r="J74" s="75">
        <v>0</v>
      </c>
      <c r="K74" s="30">
        <f t="shared" si="7"/>
        <v>-2.6333333333333333</v>
      </c>
      <c r="L74" s="27">
        <f>+J74</f>
        <v>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-114.32432432432434</v>
      </c>
      <c r="E75" s="34"/>
      <c r="F75" s="34"/>
      <c r="G75" s="27">
        <v>0</v>
      </c>
      <c r="H75" s="27">
        <v>90</v>
      </c>
      <c r="I75" s="75">
        <v>235</v>
      </c>
      <c r="J75" s="75">
        <v>50</v>
      </c>
      <c r="K75" s="30">
        <f t="shared" si="7"/>
        <v>-2.0555555555555554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-180</v>
      </c>
      <c r="E76" s="34"/>
      <c r="F76" s="34"/>
      <c r="G76" s="27">
        <v>0</v>
      </c>
      <c r="H76" s="27">
        <v>180</v>
      </c>
      <c r="I76" s="75">
        <v>465</v>
      </c>
      <c r="J76" s="75">
        <v>0</v>
      </c>
      <c r="K76" s="30">
        <f t="shared" si="7"/>
        <v>-2.5833333333333335</v>
      </c>
      <c r="L76" s="27">
        <f>J76</f>
        <v>0</v>
      </c>
      <c r="M76" s="27">
        <v>10</v>
      </c>
      <c r="N76" s="27">
        <v>6600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-351.50943396226415</v>
      </c>
      <c r="E77" s="34"/>
      <c r="F77" s="34"/>
      <c r="G77" s="27">
        <v>0</v>
      </c>
      <c r="H77" s="27">
        <v>270</v>
      </c>
      <c r="I77" s="75">
        <v>690</v>
      </c>
      <c r="J77" s="75">
        <v>160</v>
      </c>
      <c r="K77" s="30">
        <f t="shared" si="7"/>
        <v>-1.962962962962963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285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0" zoomScaleNormal="100" workbookViewId="0">
      <selection activeCell="A67" sqref="A67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2639</v>
      </c>
      <c r="C95" s="76">
        <f>+INDEX(Sheet1!$N$7:$N20,COLUMN()-COLUMN($B$91)+1)</f>
        <v>2976.8375000000001</v>
      </c>
      <c r="D95" s="76">
        <f>+INDEX(Sheet1!$N$7:$N20,COLUMN()-COLUMN($B$91)+1)</f>
        <v>2046.3624999999997</v>
      </c>
      <c r="E95" s="76">
        <f>+INDEX(Sheet1!$N$7:$N20,COLUMN()-COLUMN($B$91)+1)</f>
        <v>1631.1749999999997</v>
      </c>
      <c r="F95" s="76">
        <f>+INDEX(Sheet1!$N$7:$N20,COLUMN()-COLUMN($B$91)+1)</f>
        <v>2424.0124999999998</v>
      </c>
      <c r="G95" s="76">
        <f>+INDEX(Sheet1!$N$7:$N20,COLUMN()-COLUMN($B$91)+1)</f>
        <v>1606.1499999999999</v>
      </c>
      <c r="H95" s="76">
        <f>+INDEX(Sheet1!$N$7:$N20,COLUMN()-COLUMN($B$91)+1)</f>
        <v>3960.7750000000001</v>
      </c>
      <c r="I95" s="76">
        <f>+INDEX(Sheet1!$N$7:$N20,COLUMN()-COLUMN($B$91)+1)</f>
        <v>3108.7874999999999</v>
      </c>
      <c r="J95" s="76">
        <f>+INDEX(Sheet1!$N$7:$N20,COLUMN()-COLUMN($B$91)+1)</f>
        <v>2444.4875000000002</v>
      </c>
      <c r="K95" s="76">
        <f>+INDEX(Sheet1!$N$7:$N20,COLUMN()-COLUMN($B$91)+1)</f>
        <v>3951.6749999999997</v>
      </c>
      <c r="L95" s="76">
        <f>+INDEX(Sheet1!$N$7:$N20,COLUMN()-COLUMN($B$91)+1)</f>
        <v>2503.6374999999998</v>
      </c>
      <c r="M95" s="76">
        <f>+INDEX(Sheet1!$N$7:$N20,COLUMN()-COLUMN($B$91)+1)</f>
        <v>457.27499999999986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4"/>
  <sheetViews>
    <sheetView topLeftCell="A42" zoomScaleNormal="100" workbookViewId="0">
      <selection activeCell="A43" sqref="A43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232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225</v>
      </c>
      <c r="B50" s="22">
        <f>+INDEX(Sheet1!$K$37:$K$44,COLUMN()-COLUMN($B$83)+1)</f>
        <v>-11.375</v>
      </c>
      <c r="C50" s="22">
        <f>+INDEX(Sheet1!$K$37:$K$44,COLUMN()-COLUMN($B$83)+1)</f>
        <v>-11.375</v>
      </c>
      <c r="D50" s="22">
        <f>+INDEX(Sheet1!$K$37:$K$44,COLUMN()-COLUMN($B$83)+1)</f>
        <v>-11.375</v>
      </c>
      <c r="E50" s="22">
        <f>+INDEX(Sheet1!$K$37:$K$44,COLUMN()-COLUMN($B$83)+1)</f>
        <v>-11.375</v>
      </c>
      <c r="F50" s="22">
        <f>+INDEX(Sheet1!$K$37:$K$44,COLUMN()-COLUMN($B$83)+1)</f>
        <v>-706.67</v>
      </c>
      <c r="G50" s="22">
        <f>+INDEX(Sheet1!$K$37:$K$44,COLUMN()-COLUMN($B$83)+1)</f>
        <v>-978.46</v>
      </c>
      <c r="H50" s="22">
        <f>+INDEX(Sheet1!$K$37:$K$44,COLUMN()-COLUMN($B$83)+1)</f>
        <v>-978.46</v>
      </c>
      <c r="I50" s="22">
        <f>+INDEX(Sheet1!$K$37:$K$44,COLUMN()-COLUMN($B$83)+1)</f>
        <v>5.666666666666667</v>
      </c>
    </row>
    <row r="51" spans="1:9">
      <c r="A51" t="s">
        <v>224</v>
      </c>
      <c r="B51" s="22">
        <f>+INDEX(Sheet1!$D$37:$D$44,COLUMN()-COLUMN($B$83)+1)</f>
        <v>-180</v>
      </c>
      <c r="C51" s="22">
        <f>+INDEX(Sheet1!$D$37:$D$44,COLUMN()-COLUMN($B$83)+1)</f>
        <v>-315</v>
      </c>
      <c r="D51" s="22">
        <f>+INDEX(Sheet1!$D$37:$D$44,COLUMN()-COLUMN($B$83)+1)</f>
        <v>24.257819103972956</v>
      </c>
      <c r="E51" s="22">
        <f>+INDEX(Sheet1!$D$37:$D$44,COLUMN()-COLUMN($B$83)+1)</f>
        <v>-180</v>
      </c>
      <c r="F51" s="22">
        <f>+INDEX(Sheet1!$D$37:$D$44,COLUMN()-COLUMN($B$83)+1)</f>
        <v>90</v>
      </c>
      <c r="G51" s="22">
        <f>+INDEX(Sheet1!$D$37:$D$44,COLUMN()-COLUMN($B$83)+1)</f>
        <v>-20</v>
      </c>
      <c r="H51" s="22">
        <f>+INDEX(Sheet1!$D$37:$D$44,COLUMN()-COLUMN($B$83)+1)</f>
        <v>-52</v>
      </c>
      <c r="I51" s="22">
        <f>+INDEX(Sheet1!$D$37:$D$44,COLUMN()-COLUMN($B$83)+1)</f>
        <v>281.11764705882354</v>
      </c>
    </row>
    <row r="53" spans="1:9">
      <c r="A53" t="s">
        <v>106</v>
      </c>
      <c r="B53">
        <v>0</v>
      </c>
    </row>
    <row r="54" spans="1:9" ht="15.75" customHeight="1"/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227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107</v>
      </c>
    </row>
    <row r="60" spans="1:9">
      <c r="A60" t="s">
        <v>230</v>
      </c>
      <c r="B60" s="22">
        <f>+INDEX(Sheet1!$H$37:$H$44,COLUMN()-COLUMN($B$83)+1)</f>
        <v>10</v>
      </c>
      <c r="C60" s="22">
        <f>+INDEX(Sheet1!$H$37:$H$44,COLUMN()-COLUMN($B$83)+1)</f>
        <v>160.80000000000001</v>
      </c>
      <c r="D60" s="22">
        <f>+INDEX(Sheet1!$H$37:$H$44,COLUMN()-COLUMN($B$83)+1)</f>
        <v>80</v>
      </c>
      <c r="E60" s="22">
        <f>+INDEX(Sheet1!$H$37:$H$44,COLUMN()-COLUMN($B$83)+1)</f>
        <v>106</v>
      </c>
      <c r="F60" s="22">
        <f>+INDEX(Sheet1!$H$37:$H$44,COLUMN()-COLUMN($B$83)+1)</f>
        <v>90</v>
      </c>
      <c r="G60" s="22">
        <f>+INDEX(Sheet1!$H$37:$H$44,COLUMN()-COLUMN($B$83)+1)</f>
        <v>0</v>
      </c>
      <c r="H60" s="22">
        <f>+INDEX(Sheet1!$H$37:$H$44,COLUMN()-COLUMN($B$83)+1)</f>
        <v>40</v>
      </c>
      <c r="I60" s="22">
        <f>+INDEX(Sheet1!$H$37:$H$44,COLUMN()-COLUMN($B$83)+1)</f>
        <v>60</v>
      </c>
    </row>
    <row r="61" spans="1:9">
      <c r="A61" t="s">
        <v>231</v>
      </c>
      <c r="B61" s="22">
        <f>+INDEX(Sheet1!$G$37:$G$44,COLUMN()-COLUMN($B$83)+1)</f>
        <v>-95.5</v>
      </c>
      <c r="C61" s="22">
        <f>+INDEX(Sheet1!$G$37:$G$44,COLUMN()-COLUMN($B$83)+1)</f>
        <v>0</v>
      </c>
      <c r="D61" s="22">
        <f>+INDEX(Sheet1!$G$37:$G$44,COLUMN()-COLUMN($B$83)+1)</f>
        <v>-37</v>
      </c>
      <c r="E61" s="22">
        <f>+INDEX(Sheet1!$G$37:$G$44,COLUMN()-COLUMN($B$83)+1)</f>
        <v>5.5</v>
      </c>
      <c r="F61" s="22">
        <f>+INDEX(Sheet1!$G$37:$G$44,COLUMN()-COLUMN($B$83)+1)</f>
        <v>-90</v>
      </c>
      <c r="G61" s="22">
        <f>+INDEX(Sheet1!$G$37:$G$44,COLUMN()-COLUMN($B$83)+1)</f>
        <v>-90</v>
      </c>
      <c r="H61" s="22">
        <f>+INDEX(Sheet1!$G$37:$G$44,COLUMN()-COLUMN($B$83)+1)</f>
        <v>-20</v>
      </c>
      <c r="I61" s="22">
        <f>+INDEX(Sheet1!$G$37:$G$44,COLUMN()-COLUMN($B$83)+1)</f>
        <v>0</v>
      </c>
    </row>
    <row r="64" spans="1:9">
      <c r="A64" t="s">
        <v>226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220</v>
      </c>
      <c r="B65" s="22">
        <f>$B$5</f>
        <v>7000</v>
      </c>
      <c r="C65" s="22">
        <f>$B$5</f>
        <v>7000</v>
      </c>
      <c r="D65" s="22">
        <f>$B$5</f>
        <v>7000</v>
      </c>
      <c r="E65" s="22">
        <f>$B$5</f>
        <v>7000</v>
      </c>
      <c r="F65">
        <v>350</v>
      </c>
      <c r="G65">
        <v>400</v>
      </c>
      <c r="H65">
        <v>400</v>
      </c>
      <c r="I65">
        <v>400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ref="F69:F76" si="0">+$B$3</f>
        <v>1333</v>
      </c>
      <c r="G69">
        <v>13</v>
      </c>
      <c r="H69">
        <v>0</v>
      </c>
    </row>
    <row r="70" spans="1:9">
      <c r="A70" t="s">
        <v>118</v>
      </c>
      <c r="B70">
        <v>32000</v>
      </c>
      <c r="C70">
        <v>50</v>
      </c>
      <c r="D70">
        <v>60</v>
      </c>
      <c r="E70" s="22">
        <f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10000</v>
      </c>
      <c r="C71">
        <v>0</v>
      </c>
      <c r="D71">
        <v>10</v>
      </c>
      <c r="E71" s="22">
        <f t="shared" ref="E71:E76" si="1"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32000</v>
      </c>
      <c r="C72">
        <v>20</v>
      </c>
      <c r="D72">
        <v>60</v>
      </c>
      <c r="E72" s="22">
        <f>+$B$3</f>
        <v>1333</v>
      </c>
      <c r="F72" s="22">
        <f t="shared" si="0"/>
        <v>1333</v>
      </c>
      <c r="G72">
        <v>13</v>
      </c>
      <c r="H72">
        <v>0</v>
      </c>
    </row>
    <row r="73" spans="1:9">
      <c r="A73" t="s">
        <v>121</v>
      </c>
      <c r="B73">
        <v>200</v>
      </c>
      <c r="C73">
        <v>1000</v>
      </c>
      <c r="D73">
        <v>1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100</v>
      </c>
      <c r="C75">
        <v>100</v>
      </c>
      <c r="D75">
        <v>2</v>
      </c>
      <c r="E75" s="22">
        <f t="shared" si="1"/>
        <v>1333</v>
      </c>
      <c r="F75" s="22">
        <f t="shared" si="0"/>
        <v>1333</v>
      </c>
      <c r="G75">
        <v>6</v>
      </c>
      <c r="H75">
        <v>0</v>
      </c>
    </row>
    <row r="76" spans="1:9">
      <c r="A76" t="s">
        <v>124</v>
      </c>
      <c r="B76">
        <v>-200</v>
      </c>
      <c r="C76">
        <v>-200</v>
      </c>
      <c r="D76">
        <v>-1</v>
      </c>
      <c r="E76" s="22">
        <f t="shared" si="1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131</v>
      </c>
      <c r="B81" s="22">
        <f>+INDEX(Sheet1!$L$37:$L$44,COLUMN()-COLUMN($B$83)+1)</f>
        <v>2388.75</v>
      </c>
      <c r="C81" s="22">
        <f>+INDEX(Sheet1!$L$37:$L$44,COLUMN()-COLUMN($B$83)+1)</f>
        <v>3241.875</v>
      </c>
      <c r="D81" s="22">
        <f>+INDEX(Sheet1!$L$37:$L$44,COLUMN()-COLUMN($B$83)+1)</f>
        <v>-275.93269230769238</v>
      </c>
      <c r="E81" s="22">
        <f>+INDEX(Sheet1!$L$37:$L$44,COLUMN()-COLUMN($B$83)+1)</f>
        <v>1532</v>
      </c>
      <c r="F81" s="22">
        <f>+INDEX(Sheet1!$L$37:$L$44,COLUMN()-COLUMN($B$83)+1)</f>
        <v>1000</v>
      </c>
      <c r="G81" s="22">
        <f>+INDEX(Sheet1!$L$37:$L$44,COLUMN()-COLUMN($B$83)+1)</f>
        <v>750</v>
      </c>
      <c r="H81" s="22">
        <f>+INDEX(Sheet1!$L$37:$L$44,COLUMN()-COLUMN($B$83)+1)</f>
        <v>750</v>
      </c>
      <c r="I81" s="22">
        <f>+INDEX(Sheet1!$L$37:$L$44,COLUMN()-COLUMN($B$83)+1)</f>
        <v>1593.0000000000002</v>
      </c>
    </row>
    <row r="82" spans="1:9">
      <c r="A82" t="s">
        <v>132</v>
      </c>
      <c r="B82" s="22">
        <f>+INDEX(Sheet1!$M$37:$M$44,COLUMN()-COLUMN($B$83)+1)</f>
        <v>10</v>
      </c>
      <c r="C82" s="22">
        <f>+INDEX(Sheet1!$M$37:$M$44,COLUMN()-COLUMN($B$83)+1)</f>
        <v>10</v>
      </c>
      <c r="D82" s="22">
        <f>+INDEX(Sheet1!$M$37:$M$44,COLUMN()-COLUMN($B$83)+1)</f>
        <v>10</v>
      </c>
      <c r="E82" s="22">
        <f>+INDEX(Sheet1!$M$37:$M$44,COLUMN()-COLUMN($B$83)+1)</f>
        <v>10</v>
      </c>
      <c r="F82" s="22">
        <f>+INDEX(Sheet1!$M$37:$M$44,COLUMN()-COLUMN($B$83)+1)</f>
        <v>20</v>
      </c>
      <c r="G82" s="22">
        <f>+INDEX(Sheet1!$M$37:$M$44,COLUMN()-COLUMN($B$83)+1)</f>
        <v>-10</v>
      </c>
      <c r="H82" s="22">
        <f>+INDEX(Sheet1!$M$37:$M$44,COLUMN()-COLUMN($B$83)+1)</f>
        <v>-10</v>
      </c>
      <c r="I82" s="22">
        <f>+INDEX(Sheet1!$M$37:$M$44,COLUMN()-COLUMN($B$83)+1)</f>
        <v>100</v>
      </c>
    </row>
    <row r="83" spans="1:9">
      <c r="A83" t="s">
        <v>133</v>
      </c>
      <c r="B83" s="22">
        <f>+INDEX(Sheet1!$N$37:$N$44,COLUMN()-COLUMN($B$83)+1)</f>
        <v>2536.625</v>
      </c>
      <c r="C83" s="22">
        <f>+INDEX(Sheet1!$N$37:$N$44,COLUMN()-COLUMN($B$83)+1)</f>
        <v>2425.15</v>
      </c>
      <c r="D83" s="22">
        <f>+INDEX(Sheet1!$N$37:$N$44,COLUMN()-COLUMN($B$83)+1)</f>
        <v>3456.0093749999992</v>
      </c>
      <c r="E83" s="22">
        <f>+INDEX(Sheet1!$N$37:$N$44,COLUMN()-COLUMN($B$83)+1)</f>
        <v>2143.0500000000002</v>
      </c>
      <c r="F83" s="22">
        <f>+INDEX(Sheet1!$N$37:$N$44,COLUMN()-COLUMN($B$83)+1)</f>
        <v>0</v>
      </c>
      <c r="G83" s="22">
        <f>+INDEX(Sheet1!$N$37:$N$44,COLUMN()-COLUMN($B$83)+1)</f>
        <v>0</v>
      </c>
      <c r="H83" s="22">
        <f>+INDEX(Sheet1!$N$37:$N$44,COLUMN()-COLUMN($B$83)+1)</f>
        <v>0</v>
      </c>
      <c r="I83" s="22">
        <f>+INDEX(Sheet1!$N$37:$N$44,COLUMN()-COLUMN($B$83)+1)</f>
        <v>0</v>
      </c>
    </row>
    <row r="84" spans="1:9">
      <c r="A84" t="s">
        <v>134</v>
      </c>
      <c r="B84" s="22">
        <f>+INDEX(Sheet1!$O$37:$O$44,COLUMN()-COLUMN($B$83)+1)</f>
        <v>-30</v>
      </c>
      <c r="C84" s="22">
        <f>+INDEX(Sheet1!$O$37:$O$44,COLUMN()-COLUMN($B$83)+1)</f>
        <v>30</v>
      </c>
      <c r="D84" s="22">
        <f>+INDEX(Sheet1!$O$37:$O$44,COLUMN()-COLUMN($B$83)+1)</f>
        <v>0</v>
      </c>
      <c r="E84" s="22">
        <f>+INDEX(Sheet1!$O$37:$O$44,COLUMN()-COLUMN($B$83)+1)</f>
        <v>45</v>
      </c>
      <c r="F84" s="22">
        <f>+INDEX(Sheet1!$O$37:$O$44,COLUMN()-COLUMN($B$83)+1)</f>
        <v>0</v>
      </c>
      <c r="G84" s="22">
        <f>+INDEX(Sheet1!$O$37:$O$44,COLUMN()-COLUMN($B$83)+1)</f>
        <v>0</v>
      </c>
      <c r="H84" s="22">
        <f>+INDEX(Sheet1!$O$37:$O$44,COLUMN()-COLUMN($B$83)+1)</f>
        <v>0</v>
      </c>
      <c r="I84" s="22">
        <f>+INDEX(Sheet1!$O$37:$O$44,COLUMN()-COLUMN($B$83)+1)</f>
        <v>0</v>
      </c>
    </row>
    <row r="85" spans="1:9">
      <c r="A85" t="s">
        <v>135</v>
      </c>
      <c r="B85" s="22">
        <f>+INDEX(Sheet1!$P$37:$P$44,COLUMN()-COLUMN($B$83)+1)</f>
        <v>10</v>
      </c>
      <c r="C85" s="22">
        <f>+INDEX(Sheet1!$P$37:$P$44,COLUMN()-COLUMN($B$83)+1)</f>
        <v>10</v>
      </c>
      <c r="D85" s="22">
        <f>+INDEX(Sheet1!$P$37:$P$44,COLUMN()-COLUMN($B$83)+1)</f>
        <v>10</v>
      </c>
      <c r="E85" s="22">
        <f>+INDEX(Sheet1!$P$37:$P$44,COLUMN()-COLUMN($B$83)+1)</f>
        <v>10</v>
      </c>
      <c r="F85" s="22">
        <f>+INDEX(Sheet1!$P$37:$P$44,COLUMN()-COLUMN($B$83)+1)</f>
        <v>30</v>
      </c>
      <c r="G85" s="22">
        <f>+INDEX(Sheet1!$P$37:$P$44,COLUMN()-COLUMN($B$83)+1)</f>
        <v>30</v>
      </c>
      <c r="H85" s="22">
        <f>+INDEX(Sheet1!$P$37:$P$44,COLUMN()-COLUMN($B$83)+1)</f>
        <v>30</v>
      </c>
      <c r="I85" s="22">
        <f>+INDEX(Sheet1!$P$37:$P$44,COLUMN()-COLUMN($B$83)+1)</f>
        <v>100</v>
      </c>
    </row>
    <row r="87" spans="1:9">
      <c r="A87" t="s">
        <v>136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+INDEX(Sheet1!$Q$37:$Q$44,COLUMN()-COLUMN($B$83)+1)</f>
        <v>-30</v>
      </c>
      <c r="C89" s="22">
        <f>+INDEX(Sheet1!$Q$37:$Q$44,COLUMN()-COLUMN($B$83)+1)</f>
        <v>30</v>
      </c>
      <c r="D89" s="22">
        <f>+INDEX(Sheet1!$Q$37:$Q$44,COLUMN()-COLUMN($B$83)+1)</f>
        <v>0</v>
      </c>
      <c r="E89" s="22">
        <f>+INDEX(Sheet1!$Q$37:$Q$44,COLUMN()-COLUMN($B$83)+1)</f>
        <v>45</v>
      </c>
      <c r="F89" s="22">
        <f>+INDEX(Sheet1!$Q$37:$Q$44,COLUMN()-COLUMN($B$83)+1)</f>
        <v>0</v>
      </c>
      <c r="G89" s="22">
        <f>+INDEX(Sheet1!$Q$37:$Q$44,COLUMN()-COLUMN($B$83)+1)</f>
        <v>0</v>
      </c>
      <c r="H89" s="22">
        <f>+INDEX(Sheet1!$Q$37:$Q$44,COLUMN()-COLUMN($B$83)+1)</f>
        <v>0</v>
      </c>
      <c r="I89" s="22">
        <f>+INDEX(Sheet1!$Q$37:$Q$44,COLUMN()-COLUMN($B$83)+1)</f>
        <v>0</v>
      </c>
    </row>
    <row r="90" spans="1:9">
      <c r="A90" t="s">
        <v>138</v>
      </c>
      <c r="B90" s="22">
        <f>+INDEX(Sheet1!$R$37:$R$44,COLUMN()-COLUMN($B$83)+1)</f>
        <v>10</v>
      </c>
      <c r="C90" s="22">
        <f>+INDEX(Sheet1!$R$37:$R$44,COLUMN()-COLUMN($B$83)+1)</f>
        <v>10</v>
      </c>
      <c r="D90" s="22">
        <f>+INDEX(Sheet1!$R$37:$R$44,COLUMN()-COLUMN($B$83)+1)</f>
        <v>10</v>
      </c>
      <c r="E90" s="22">
        <f>+INDEX(Sheet1!$R$37:$R$44,COLUMN()-COLUMN($B$83)+1)</f>
        <v>10</v>
      </c>
      <c r="F90" s="22">
        <f>+INDEX(Sheet1!$R$37:$R$44,COLUMN()-COLUMN($B$83)+1)</f>
        <v>30</v>
      </c>
      <c r="G90" s="22">
        <f>+INDEX(Sheet1!$R$37:$R$44,COLUMN()-COLUMN($B$83)+1)</f>
        <v>30</v>
      </c>
      <c r="H90" s="22">
        <f>+INDEX(Sheet1!$R$37:$R$44,COLUMN()-COLUMN($B$83)+1)</f>
        <v>30</v>
      </c>
      <c r="I90" s="22">
        <f>+INDEX(Sheet1!$R$37:$R$44,COLUMN()-COLUMN($B$83)+1)</f>
        <v>100</v>
      </c>
    </row>
    <row r="93" spans="1:9">
      <c r="A93" t="s">
        <v>105</v>
      </c>
    </row>
    <row r="94" spans="1:9">
      <c r="A94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3"/>
  <sheetViews>
    <sheetView topLeftCell="A58" zoomScale="85" zoomScaleNormal="85" workbookViewId="0">
      <selection activeCell="A43" sqref="A43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3" spans="1:9">
      <c r="A43" t="s">
        <v>102</v>
      </c>
    </row>
    <row r="44" spans="1:9">
      <c r="A44" t="s">
        <v>103</v>
      </c>
      <c r="B44">
        <v>8</v>
      </c>
      <c r="C44" t="s">
        <v>104</v>
      </c>
    </row>
    <row r="45" spans="1:9">
      <c r="A45" t="s">
        <v>250</v>
      </c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</row>
    <row r="46" spans="1:9">
      <c r="A46" t="s">
        <v>238</v>
      </c>
      <c r="B46">
        <v>100</v>
      </c>
      <c r="C46">
        <v>100</v>
      </c>
      <c r="D46">
        <v>100</v>
      </c>
      <c r="E46">
        <v>100</v>
      </c>
      <c r="F46">
        <v>100</v>
      </c>
      <c r="G46">
        <v>100</v>
      </c>
      <c r="H46">
        <v>100</v>
      </c>
      <c r="I46">
        <v>100</v>
      </c>
    </row>
    <row r="47" spans="1:9">
      <c r="A47" t="s">
        <v>105</v>
      </c>
    </row>
    <row r="48" spans="1:9">
      <c r="A48" t="s">
        <v>227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49" spans="1:9">
      <c r="A49" t="s">
        <v>216</v>
      </c>
      <c r="B49">
        <v>0</v>
      </c>
      <c r="C49">
        <v>1</v>
      </c>
      <c r="D49">
        <v>2</v>
      </c>
      <c r="E49">
        <v>3</v>
      </c>
      <c r="F49">
        <v>4</v>
      </c>
      <c r="G49">
        <v>5</v>
      </c>
      <c r="H49">
        <v>6</v>
      </c>
      <c r="I49">
        <v>7</v>
      </c>
    </row>
    <row r="51" spans="1:9">
      <c r="A51" t="s">
        <v>237</v>
      </c>
      <c r="B51" s="40">
        <f>+INDEX(Sheet1!$K$48:$K$56,COLUMN()-COLUMN($B$85)+1)</f>
        <v>-22.2</v>
      </c>
      <c r="C51" s="40">
        <f>+INDEX(Sheet1!$K$48:$K$56,COLUMN()-COLUMN($B$85)+1)</f>
        <v>-2.0555555555555554</v>
      </c>
      <c r="D51" s="40">
        <f>+INDEX(Sheet1!$K$48:$K$56,COLUMN()-COLUMN($B$85)+1)</f>
        <v>-2.4333333333333331</v>
      </c>
      <c r="E51" s="40">
        <f>+INDEX(Sheet1!$K$48:$K$56,COLUMN()-COLUMN($B$85)+1)</f>
        <v>-2.0555555555555554</v>
      </c>
      <c r="F51" s="40">
        <f>+INDEX(Sheet1!$K$48:$K$56,COLUMN()-COLUMN($B$85)+1)</f>
        <v>-2.5555555555555554</v>
      </c>
      <c r="G51" s="40">
        <f>+INDEX(Sheet1!$K$48:$K$56,COLUMN()-COLUMN($B$85)+1)</f>
        <v>-1.9777777777777779</v>
      </c>
      <c r="H51" s="40">
        <f>+INDEX(Sheet1!$K$48:$K$56,COLUMN()-COLUMN($B$85)+1)</f>
        <v>-2.5722222222222224</v>
      </c>
      <c r="I51" s="40">
        <f>+INDEX(Sheet1!$K$48:$K$56,COLUMN()-COLUMN($B$85)+1)</f>
        <v>-1.9962962962962962</v>
      </c>
    </row>
    <row r="52" spans="1:9">
      <c r="A52" t="s">
        <v>224</v>
      </c>
      <c r="B52" s="40">
        <f>+INDEX(Sheet1!$D$48:$D$56,COLUMN()-COLUMN($B$85)+1)</f>
        <v>-176.66666666666669</v>
      </c>
      <c r="C52" s="40">
        <f>+INDEX(Sheet1!$D$48:$D$56,COLUMN()-COLUMN($B$85)+1)</f>
        <v>-114.32432432432434</v>
      </c>
      <c r="D52" s="40">
        <f>+INDEX(Sheet1!$D$48:$D$56,COLUMN()-COLUMN($B$85)+1)</f>
        <v>-192.32876712328769</v>
      </c>
      <c r="E52" s="40">
        <f>+INDEX(Sheet1!$D$48:$D$56,COLUMN()-COLUMN($B$85)+1)</f>
        <v>-114.32432432432434</v>
      </c>
      <c r="F52" s="40">
        <f>+INDEX(Sheet1!$D$48:$D$56,COLUMN()-COLUMN($B$85)+1)</f>
        <v>-183.91304347826087</v>
      </c>
      <c r="G52" s="40">
        <f>+INDEX(Sheet1!$D$48:$D$56,COLUMN()-COLUMN($B$85)+1)</f>
        <v>-115.28089887640449</v>
      </c>
      <c r="H52" s="40">
        <f>+INDEX(Sheet1!$D$48:$D$56,COLUMN()-COLUMN($B$85)+1)</f>
        <v>-182.33261339092871</v>
      </c>
      <c r="I52" s="40">
        <f>+INDEX(Sheet1!$D$48:$D$56,COLUMN()-COLUMN($B$85)+1)</f>
        <v>-350.14842300556586</v>
      </c>
    </row>
    <row r="54" spans="1:9">
      <c r="A54" t="s">
        <v>106</v>
      </c>
      <c r="B54">
        <v>0</v>
      </c>
    </row>
    <row r="57" spans="1:9">
      <c r="A57" t="s">
        <v>151</v>
      </c>
    </row>
    <row r="58" spans="1:9">
      <c r="A58" t="s">
        <v>240</v>
      </c>
      <c r="B58">
        <v>8</v>
      </c>
      <c r="C58">
        <v>8</v>
      </c>
      <c r="D58">
        <v>8</v>
      </c>
      <c r="E58">
        <v>8</v>
      </c>
      <c r="F58">
        <v>8</v>
      </c>
      <c r="G58">
        <v>8</v>
      </c>
      <c r="H58">
        <v>8</v>
      </c>
      <c r="I58">
        <v>8</v>
      </c>
    </row>
    <row r="60" spans="1:9">
      <c r="A60" t="s">
        <v>152</v>
      </c>
    </row>
    <row r="61" spans="1:9">
      <c r="A61" t="s">
        <v>241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9">
      <c r="A62" t="s">
        <v>233</v>
      </c>
      <c r="B62" s="22">
        <f>+INDEX([1]Sheet1!$H$48:$H$77,COLUMN()-COLUMN($B$85)+1)</f>
        <v>90</v>
      </c>
      <c r="C62" s="22">
        <f>+INDEX([1]Sheet1!$H$48:$H$77,COLUMN()-COLUMN($B$85)+1)</f>
        <v>90</v>
      </c>
      <c r="D62" s="22">
        <f>+INDEX([1]Sheet1!$H$48:$H$77,COLUMN()-COLUMN($B$85)+1)</f>
        <v>180</v>
      </c>
      <c r="E62" s="22">
        <f>+INDEX([1]Sheet1!$H$48:$H$77,COLUMN()-COLUMN($B$85)+1)</f>
        <v>90</v>
      </c>
      <c r="F62" s="22">
        <f>+INDEX([1]Sheet1!$H$48:$H$77,COLUMN()-COLUMN($B$85)+1)</f>
        <v>180</v>
      </c>
      <c r="G62" s="22">
        <f>+INDEX([1]Sheet1!$H$48:$H$77,COLUMN()-COLUMN($B$85)+1)</f>
        <v>90</v>
      </c>
      <c r="H62" s="22">
        <f>+INDEX([1]Sheet1!$H$48:$H$77,COLUMN()-COLUMN($B$85)+1)</f>
        <v>180</v>
      </c>
      <c r="I62" s="22">
        <f>+INDEX([1]Sheet1!$H$48:$H$77,COLUMN()-COLUMN($B$85)+1)</f>
        <v>270</v>
      </c>
    </row>
    <row r="63" spans="1:9">
      <c r="A63" t="s">
        <v>234</v>
      </c>
      <c r="B63" s="22">
        <f>+INDEX([1]Sheet1!$G$48:$G$77,COLUMN()-COLUMN($B$85)+1)</f>
        <v>-10</v>
      </c>
      <c r="C63" s="22">
        <f>+INDEX([1]Sheet1!$G$48:$G$77,COLUMN()-COLUMN($B$85)+1)</f>
        <v>0</v>
      </c>
      <c r="D63" s="22">
        <f>+INDEX([1]Sheet1!$G$48:$G$77,COLUMN()-COLUMN($B$85)+1)</f>
        <v>0</v>
      </c>
      <c r="E63" s="22">
        <f>+INDEX([1]Sheet1!$G$48:$G$77,COLUMN()-COLUMN($B$85)+1)</f>
        <v>0</v>
      </c>
      <c r="F63" s="22">
        <f>+INDEX([1]Sheet1!$G$48:$G$77,COLUMN()-COLUMN($B$85)+1)</f>
        <v>0</v>
      </c>
      <c r="G63" s="22">
        <f>+INDEX([1]Sheet1!$G$48:$G$77,COLUMN()-COLUMN($B$85)+1)</f>
        <v>0</v>
      </c>
      <c r="H63" s="22">
        <f>+INDEX([1]Sheet1!$G$48:$G$77,COLUMN()-COLUMN($B$85)+1)</f>
        <v>0</v>
      </c>
      <c r="I63" s="22">
        <f>+INDEX([1]Sheet1!$G$48:$G$77,COLUMN()-COLUMN($B$85)+1)</f>
        <v>0</v>
      </c>
    </row>
    <row r="65" spans="1:9">
      <c r="A65" t="s">
        <v>235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7" spans="1:9">
      <c r="A67" t="s">
        <v>116</v>
      </c>
    </row>
    <row r="68" spans="1:9">
      <c r="A68" t="s">
        <v>108</v>
      </c>
      <c r="B68" t="s">
        <v>109</v>
      </c>
      <c r="C68" t="s">
        <v>110</v>
      </c>
      <c r="D68" t="s">
        <v>111</v>
      </c>
      <c r="E68" t="s">
        <v>112</v>
      </c>
      <c r="F68" t="s">
        <v>113</v>
      </c>
      <c r="G68" t="s">
        <v>114</v>
      </c>
      <c r="H68" t="s">
        <v>115</v>
      </c>
    </row>
    <row r="69" spans="1:9">
      <c r="A69" t="s">
        <v>116</v>
      </c>
    </row>
    <row r="70" spans="1:9">
      <c r="A70" t="s">
        <v>117</v>
      </c>
      <c r="B70">
        <v>250</v>
      </c>
      <c r="C70">
        <v>32000</v>
      </c>
      <c r="D70">
        <v>0</v>
      </c>
      <c r="E70" s="22">
        <f t="shared" ref="E70:F77" si="0">+$B$3</f>
        <v>1333</v>
      </c>
      <c r="F70" s="22">
        <f t="shared" si="0"/>
        <v>1333</v>
      </c>
      <c r="G70">
        <v>3</v>
      </c>
      <c r="H70">
        <v>0</v>
      </c>
    </row>
    <row r="71" spans="1:9">
      <c r="A71" t="s">
        <v>118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 t="shared" si="0"/>
        <v>1333</v>
      </c>
      <c r="G71">
        <v>3</v>
      </c>
      <c r="H71">
        <v>0</v>
      </c>
    </row>
    <row r="72" spans="1:9">
      <c r="A72" t="s">
        <v>119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120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>+$B$3</f>
        <v>1333</v>
      </c>
      <c r="G73">
        <v>3</v>
      </c>
      <c r="H73">
        <v>0</v>
      </c>
    </row>
    <row r="74" spans="1:9">
      <c r="A74" t="s">
        <v>121</v>
      </c>
      <c r="B74">
        <v>250</v>
      </c>
      <c r="C74">
        <v>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122</v>
      </c>
      <c r="B75">
        <v>-250</v>
      </c>
      <c r="C75">
        <v>-32000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6" spans="1:9">
      <c r="A76" t="s">
        <v>123</v>
      </c>
      <c r="B76">
        <v>-250</v>
      </c>
      <c r="C76">
        <v>-32000</v>
      </c>
      <c r="D76">
        <v>0</v>
      </c>
      <c r="E76" s="22">
        <f t="shared" si="0"/>
        <v>1333</v>
      </c>
      <c r="F76" s="22">
        <f t="shared" si="0"/>
        <v>1333</v>
      </c>
      <c r="G76">
        <v>3</v>
      </c>
      <c r="H76">
        <v>0</v>
      </c>
    </row>
    <row r="77" spans="1:9">
      <c r="A77" t="s">
        <v>124</v>
      </c>
      <c r="B77">
        <v>-120</v>
      </c>
      <c r="C77">
        <v>-1250</v>
      </c>
      <c r="D77">
        <v>0</v>
      </c>
      <c r="E77" s="22">
        <f t="shared" si="0"/>
        <v>1333</v>
      </c>
      <c r="F77" s="22">
        <f t="shared" si="0"/>
        <v>1333</v>
      </c>
      <c r="G77">
        <v>3</v>
      </c>
      <c r="H77">
        <v>0</v>
      </c>
    </row>
    <row r="79" spans="1:9">
      <c r="A79" t="s">
        <v>129</v>
      </c>
    </row>
    <row r="80" spans="1:9">
      <c r="A80" t="s">
        <v>236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130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131</v>
      </c>
      <c r="B82" s="22">
        <f>+INDEX(Sheet1!$L$48:$L$56,COLUMN()-COLUMN($B$83)+1)</f>
        <v>3922.0000000000005</v>
      </c>
      <c r="C82" s="22">
        <f>+INDEX(Sheet1!$L$48:$L$56,COLUMN()-COLUMN($B$83)+1)</f>
        <v>235</v>
      </c>
      <c r="D82" s="22">
        <f>+INDEX(Sheet1!$L$48:$L$56,COLUMN()-COLUMN($B$83)+1)</f>
        <v>30</v>
      </c>
      <c r="E82" s="22">
        <f>+INDEX(Sheet1!$L$48:$L$56,COLUMN()-COLUMN($B$83)+1)</f>
        <v>235</v>
      </c>
      <c r="F82" s="22">
        <f>+INDEX(Sheet1!$L$48:$L$56,COLUMN()-COLUMN($B$83)+1)</f>
        <v>10</v>
      </c>
      <c r="G82" s="22">
        <f>+INDEX(Sheet1!$L$48:$L$56,COLUMN()-COLUMN($B$83)+1)</f>
        <v>228</v>
      </c>
      <c r="H82" s="22">
        <f>+INDEX(Sheet1!$L$48:$L$56,COLUMN()-COLUMN($B$83)+1)</f>
        <v>6</v>
      </c>
      <c r="I82" s="22">
        <f>+INDEX(Sheet1!$L$48:$L$56,COLUMN()-COLUMN($B$83)+1)</f>
        <v>699</v>
      </c>
    </row>
    <row r="83" spans="1:9">
      <c r="A83" t="s">
        <v>132</v>
      </c>
      <c r="B83" s="22">
        <f>+INDEX(Sheet1!$M$48:$M$56,COLUMN()-COLUMN($B$83)+1)</f>
        <v>10</v>
      </c>
      <c r="C83" s="22">
        <f>+INDEX(Sheet1!$M$48:$M$56,COLUMN()-COLUMN($B$83)+1)</f>
        <v>10</v>
      </c>
      <c r="D83" s="22">
        <f>+INDEX(Sheet1!$M$48:$M$56,COLUMN()-COLUMN($B$83)+1)</f>
        <v>10</v>
      </c>
      <c r="E83" s="22">
        <f>+INDEX(Sheet1!$M$48:$M$56,COLUMN()-COLUMN($B$83)+1)</f>
        <v>10</v>
      </c>
      <c r="F83" s="22">
        <f>+INDEX(Sheet1!$M$48:$M$56,COLUMN()-COLUMN($B$83)+1)</f>
        <v>10</v>
      </c>
      <c r="G83" s="22">
        <f>+INDEX(Sheet1!$M$48:$M$56,COLUMN()-COLUMN($B$83)+1)</f>
        <v>10</v>
      </c>
      <c r="H83" s="22">
        <f>+INDEX(Sheet1!$M$48:$M$56,COLUMN()-COLUMN($B$83)+1)</f>
        <v>10</v>
      </c>
      <c r="I83" s="22">
        <f>+INDEX(Sheet1!$M$48:$M$56,COLUMN()-COLUMN($B$83)+1)</f>
        <v>10</v>
      </c>
    </row>
    <row r="84" spans="1:9">
      <c r="A84" t="s">
        <v>133</v>
      </c>
      <c r="B84" s="22">
        <f>+INDEX(Sheet1!$N$48:$N$56,COLUMN()-COLUMN($B$83)+1)</f>
        <v>0</v>
      </c>
      <c r="C84" s="22">
        <f>+INDEX(Sheet1!$N$48:$N$56,COLUMN()-COLUMN($B$83)+1)</f>
        <v>6000</v>
      </c>
      <c r="D84" s="22">
        <f>+INDEX(Sheet1!$N$48:$N$56,COLUMN()-COLUMN($B$83)+1)</f>
        <v>6500</v>
      </c>
      <c r="E84" s="22">
        <f>+INDEX(Sheet1!$N$48:$N$56,COLUMN()-COLUMN($B$83)+1)</f>
        <v>6000</v>
      </c>
      <c r="F84" s="22">
        <f>+INDEX(Sheet1!$N$48:$N$56,COLUMN()-COLUMN($B$83)+1)</f>
        <v>6500</v>
      </c>
      <c r="G84" s="22">
        <f>+INDEX(Sheet1!$N$48:$N$56,COLUMN()-COLUMN($B$83)+1)</f>
        <v>6000</v>
      </c>
      <c r="H84" s="22">
        <f>+INDEX(Sheet1!$N$48:$N$56,COLUMN()-COLUMN($B$83)+1)</f>
        <v>-6500</v>
      </c>
      <c r="I84" s="22">
        <f>+INDEX(Sheet1!$N$48:$N$56,COLUMN()-COLUMN($B$83)+1)</f>
        <v>26000</v>
      </c>
    </row>
    <row r="85" spans="1:9">
      <c r="A85" t="s">
        <v>134</v>
      </c>
      <c r="B85" s="22">
        <f>+INDEX(Sheet1!$O$48:$O$56,COLUMN()-COLUMN($B$83)+1)</f>
        <v>0</v>
      </c>
      <c r="C85" s="22">
        <f>+INDEX(Sheet1!$O$48:$O$56,COLUMN()-COLUMN($B$83)+1)</f>
        <v>0</v>
      </c>
      <c r="D85" s="22">
        <f>+INDEX(Sheet1!$O$48:$O$56,COLUMN()-COLUMN($B$83)+1)</f>
        <v>0</v>
      </c>
      <c r="E85" s="22">
        <f>+INDEX(Sheet1!$O$48:$O$56,COLUMN()-COLUMN($B$83)+1)</f>
        <v>0</v>
      </c>
      <c r="F85" s="22">
        <f>+INDEX(Sheet1!$O$48:$O$56,COLUMN()-COLUMN($B$83)+1)</f>
        <v>0</v>
      </c>
      <c r="G85" s="22">
        <f>+INDEX(Sheet1!$O$48:$O$56,COLUMN()-COLUMN($B$83)+1)</f>
        <v>0</v>
      </c>
      <c r="H85" s="22">
        <f>+INDEX(Sheet1!$O$48:$O$56,COLUMN()-COLUMN($B$83)+1)</f>
        <v>0</v>
      </c>
      <c r="I85" s="22">
        <f>+INDEX(Sheet1!$O$48:$O$56,COLUMN()-COLUMN($B$83)+1)</f>
        <v>0</v>
      </c>
    </row>
    <row r="86" spans="1:9">
      <c r="A86" t="s">
        <v>135</v>
      </c>
      <c r="B86" s="22">
        <f>+INDEX(Sheet1!$P$48:$P$56,COLUMN()-COLUMN($B$83)+1)</f>
        <v>100</v>
      </c>
      <c r="C86" s="22">
        <f>+INDEX(Sheet1!$P$48:$P$56,COLUMN()-COLUMN($B$83)+1)</f>
        <v>100</v>
      </c>
      <c r="D86" s="22">
        <f>+INDEX(Sheet1!$P$48:$P$56,COLUMN()-COLUMN($B$83)+1)</f>
        <v>100</v>
      </c>
      <c r="E86" s="22">
        <f>+INDEX(Sheet1!$P$48:$P$56,COLUMN()-COLUMN($B$83)+1)</f>
        <v>100</v>
      </c>
      <c r="F86" s="22">
        <f>+INDEX(Sheet1!$P$48:$P$56,COLUMN()-COLUMN($B$83)+1)</f>
        <v>100</v>
      </c>
      <c r="G86" s="22">
        <f>+INDEX(Sheet1!$P$48:$P$56,COLUMN()-COLUMN($B$83)+1)</f>
        <v>100</v>
      </c>
      <c r="H86" s="22">
        <f>+INDEX(Sheet1!$P$48:$P$56,COLUMN()-COLUMN($B$83)+1)</f>
        <v>100</v>
      </c>
      <c r="I86" s="22">
        <f>+INDEX(Sheet1!$P$48:$P$56,COLUMN()-COLUMN($B$83)+1)</f>
        <v>100</v>
      </c>
    </row>
    <row r="88" spans="1:9">
      <c r="A88" t="s">
        <v>136</v>
      </c>
    </row>
    <row r="89" spans="1:9">
      <c r="A89" t="s">
        <v>236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137</v>
      </c>
      <c r="B90" s="22">
        <f>+INDEX(Sheet1!$Q$48:$Q$56,COLUMN()-COLUMN($B$83)+1)</f>
        <v>0</v>
      </c>
      <c r="C90" s="22">
        <f>+INDEX(Sheet1!$Q$48:$Q$56,COLUMN()-COLUMN($B$83)+1)</f>
        <v>0</v>
      </c>
      <c r="D90" s="22">
        <f>+INDEX(Sheet1!$Q$48:$Q$56,COLUMN()-COLUMN($B$83)+1)</f>
        <v>0</v>
      </c>
      <c r="E90" s="22">
        <f>+INDEX(Sheet1!$Q$48:$Q$56,COLUMN()-COLUMN($B$83)+1)</f>
        <v>0</v>
      </c>
      <c r="F90" s="22">
        <f>+INDEX(Sheet1!$Q$48:$Q$56,COLUMN()-COLUMN($B$83)+1)</f>
        <v>0</v>
      </c>
      <c r="G90" s="22">
        <f>+INDEX(Sheet1!$Q$48:$Q$56,COLUMN()-COLUMN($B$83)+1)</f>
        <v>0</v>
      </c>
      <c r="H90" s="22">
        <f>+INDEX(Sheet1!$Q$48:$Q$56,COLUMN()-COLUMN($B$83)+1)</f>
        <v>0</v>
      </c>
      <c r="I90" s="22">
        <f>+INDEX(Sheet1!$Q$48:$Q$56,COLUMN()-COLUMN($B$83)+1)</f>
        <v>0</v>
      </c>
    </row>
    <row r="91" spans="1:9">
      <c r="A91" t="s">
        <v>138</v>
      </c>
      <c r="B91" s="22">
        <f>+INDEX(Sheet1!$R$48:$R$56,COLUMN()-COLUMN($B$83)+1)</f>
        <v>10</v>
      </c>
      <c r="C91" s="22">
        <f>+INDEX(Sheet1!$R$48:$R$56,COLUMN()-COLUMN($B$83)+1)</f>
        <v>10</v>
      </c>
      <c r="D91" s="22">
        <f>+INDEX(Sheet1!$R$48:$R$56,COLUMN()-COLUMN($B$83)+1)</f>
        <v>10</v>
      </c>
      <c r="E91" s="22">
        <f>+INDEX(Sheet1!$R$48:$R$56,COLUMN()-COLUMN($B$83)+1)</f>
        <v>10</v>
      </c>
      <c r="F91" s="22">
        <f>+INDEX(Sheet1!$R$48:$R$56,COLUMN()-COLUMN($B$83)+1)</f>
        <v>10</v>
      </c>
      <c r="G91" s="22">
        <f>+INDEX(Sheet1!$R$48:$R$56,COLUMN()-COLUMN($B$83)+1)</f>
        <v>10</v>
      </c>
      <c r="H91" s="22">
        <f>+INDEX(Sheet1!$R$48:$R$56,COLUMN()-COLUMN($B$83)+1)</f>
        <v>10</v>
      </c>
      <c r="I91" s="22">
        <f>+INDEX(Sheet1!$R$48:$R$56,COLUMN()-COLUMN($B$83)+1)</f>
        <v>10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29" zoomScale="75" zoomScaleNormal="75" workbookViewId="0">
      <selection activeCell="B32" sqref="B32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5</v>
      </c>
    </row>
    <row r="50" spans="1:9">
      <c r="A50" t="s">
        <v>224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360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231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226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>
        <v>1000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1800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3756.0250000000001</v>
      </c>
      <c r="C82" s="22">
        <f>+INDEX(Sheet1!$N$59:$N$66,COLUMN()-COLUMN($B$83)+1)</f>
        <v>1109.0625</v>
      </c>
      <c r="D82" s="22">
        <f>+INDEX(Sheet1!$N$59:$N$66,COLUMN()-COLUMN($B$83)+1)</f>
        <v>1715.9187500000003</v>
      </c>
      <c r="E82" s="22">
        <f>+INDEX(Sheet1!$N$59:$N$66,COLUMN()-COLUMN($B$83)+1)</f>
        <v>2497.9499999999998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6" zoomScale="75" zoomScaleNormal="75" workbookViewId="0">
      <selection activeCell="C37" sqref="C37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17.100000000000001</v>
      </c>
      <c r="C50" s="40">
        <f>+INDEX(Sheet1!$K$70:$K$77,COLUMN()-COLUMN($B$81)+1)</f>
        <v>-2.4444444444444446</v>
      </c>
      <c r="D50" s="40">
        <f>+INDEX(Sheet1!$K$70:$K$77,COLUMN()-COLUMN($B$81)+1)</f>
        <v>-2.4666666666666668</v>
      </c>
      <c r="E50" s="40">
        <f>+INDEX(Sheet1!$K$70:$K$77,COLUMN()-COLUMN($B$81)+1)</f>
        <v>-2.0555555555555554</v>
      </c>
      <c r="F50" s="40">
        <f>+INDEX(Sheet1!$K$70:$K$77,COLUMN()-COLUMN($B$81)+1)</f>
        <v>-2.6333333333333333</v>
      </c>
      <c r="G50" s="40">
        <f>+INDEX(Sheet1!$K$70:$K$77,COLUMN()-COLUMN($B$81)+1)</f>
        <v>-2.0555555555555554</v>
      </c>
      <c r="H50" s="40">
        <f>+INDEX(Sheet1!$K$70:$K$77,COLUMN()-COLUMN($B$81)+1)</f>
        <v>-2.5833333333333335</v>
      </c>
      <c r="I50" s="40">
        <f>+INDEX(Sheet1!$K$70:$K$77,COLUMN()-COLUMN($B$81)+1)</f>
        <v>-1.962962962962963</v>
      </c>
    </row>
    <row r="51" spans="1:9">
      <c r="A51" t="s">
        <v>224</v>
      </c>
      <c r="B51" s="40">
        <f>+INDEX(Sheet1!$D$70:$D$77,COLUMN()-COLUMN($B$81)+1)</f>
        <v>35.730994152046783</v>
      </c>
      <c r="C51" s="40">
        <f>+INDEX(Sheet1!$D$70:$D$77,COLUMN()-COLUMN($B$81)+1)</f>
        <v>-94.090909090909079</v>
      </c>
      <c r="D51" s="40">
        <f>+INDEX(Sheet1!$D$70:$D$77,COLUMN()-COLUMN($B$81)+1)</f>
        <v>-185.27027027027026</v>
      </c>
      <c r="E51" s="40">
        <f>+INDEX(Sheet1!$D$70:$D$77,COLUMN()-COLUMN($B$81)+1)</f>
        <v>-114.32432432432434</v>
      </c>
      <c r="F51" s="40">
        <f>+INDEX(Sheet1!$D$70:$D$77,COLUMN()-COLUMN($B$81)+1)</f>
        <v>-180</v>
      </c>
      <c r="G51" s="40">
        <f>+INDEX(Sheet1!$D$70:$D$77,COLUMN()-COLUMN($B$81)+1)</f>
        <v>-114.32432432432434</v>
      </c>
      <c r="H51" s="40">
        <f>+INDEX(Sheet1!$D$70:$D$77,COLUMN()-COLUMN($B$81)+1)</f>
        <v>-180</v>
      </c>
      <c r="I51" s="40">
        <f>+INDEX(Sheet1!$D$70:$D$77,COLUMN()-COLUMN($B$81)+1)</f>
        <v>-351.50943396226415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3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3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3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3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3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611</v>
      </c>
      <c r="C81" s="22">
        <f>+INDEX(Sheet1!$L$70:$L$77,COLUMN()-COLUMN($B$79)+1)</f>
        <v>230</v>
      </c>
      <c r="D81" s="22">
        <f>+INDEX(Sheet1!$L$70:$L$77,COLUMN()-COLUMN($B$79)+1)</f>
        <v>13</v>
      </c>
      <c r="E81" s="22">
        <f>+INDEX(Sheet1!$L$70:$L$77,COLUMN()-COLUMN($B$79)+1)</f>
        <v>235</v>
      </c>
      <c r="F81" s="22">
        <f>+INDEX(Sheet1!$L$70:$L$77,COLUMN()-COLUMN($B$79)+1)</f>
        <v>0</v>
      </c>
      <c r="G81" s="22">
        <f>+INDEX(Sheet1!$L$70:$L$77,COLUMN()-COLUMN($B$79)+1)</f>
        <v>235</v>
      </c>
      <c r="H81" s="22">
        <f>+INDEX(Sheet1!$L$70:$L$77,COLUMN()-COLUMN($B$79)+1)</f>
        <v>0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abSelected="1" topLeftCell="A50" zoomScale="85" zoomScaleNormal="85" workbookViewId="0">
      <selection activeCell="A83" sqref="A8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3672.9874999999997</v>
      </c>
      <c r="I70" s="22">
        <f>+INDEX(Sheet1!$N$24:$N34,COLUMN()-COLUMN($B$69)+1)</f>
        <v>2620.8000000000002</v>
      </c>
      <c r="J70" s="22">
        <f>+INDEX(Sheet1!$N$24:$N34,COLUMN()-COLUMN($B$69)+1)</f>
        <v>3622.9375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3672.9874999999997</v>
      </c>
      <c r="C25">
        <f>Head_Torso!I70</f>
        <v>2620.8000000000002</v>
      </c>
      <c r="D25">
        <f>Head_Torso!J70</f>
        <v>3622.9375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Left_arm!B80</f>
        <v>3</v>
      </c>
      <c r="C35">
        <f>Left_arm!C80</f>
        <v>3</v>
      </c>
      <c r="D35">
        <f>Left_arm!D80</f>
        <v>3</v>
      </c>
      <c r="E35">
        <f>Left_arm!E80</f>
        <v>3</v>
      </c>
      <c r="F35">
        <f>Left_arm!F80</f>
        <v>0</v>
      </c>
      <c r="G35">
        <f>Left_arm!G80</f>
        <v>2</v>
      </c>
      <c r="H35">
        <f>Left_arm!H80</f>
        <v>2</v>
      </c>
      <c r="I35">
        <f>Left_arm!I80</f>
        <v>3</v>
      </c>
      <c r="J35">
        <f>Left_hand!B81</f>
        <v>3</v>
      </c>
      <c r="K35">
        <f>Left_hand!C81</f>
        <v>4</v>
      </c>
      <c r="L35">
        <f>Left_hand!D81</f>
        <v>4</v>
      </c>
      <c r="M35">
        <f>Left_hand!E81</f>
        <v>4</v>
      </c>
      <c r="N35">
        <f>Left_hand!F81</f>
        <v>4</v>
      </c>
      <c r="O35">
        <f>Left_hand!G81</f>
        <v>4</v>
      </c>
      <c r="P35">
        <f>Left_hand!H81</f>
        <v>4</v>
      </c>
      <c r="Q35">
        <f>Left_hand!I81</f>
        <v>4</v>
      </c>
    </row>
    <row r="36" spans="1:17">
      <c r="A36" t="s">
        <v>196</v>
      </c>
      <c r="B36">
        <f>Left_arm!B81</f>
        <v>2388.75</v>
      </c>
      <c r="C36">
        <f>Left_arm!C81</f>
        <v>3241.875</v>
      </c>
      <c r="D36">
        <f>Left_arm!D81</f>
        <v>-275.93269230769238</v>
      </c>
      <c r="E36">
        <f>Left_arm!E81</f>
        <v>1532</v>
      </c>
      <c r="F36">
        <f>Left_arm!F81</f>
        <v>1000</v>
      </c>
      <c r="G36">
        <f>Left_arm!G81</f>
        <v>750</v>
      </c>
      <c r="H36">
        <f>Left_arm!H81</f>
        <v>750</v>
      </c>
      <c r="I36">
        <f>Left_arm!I81</f>
        <v>1593.0000000000002</v>
      </c>
      <c r="J36">
        <f>Left_hand!B82</f>
        <v>3922.0000000000005</v>
      </c>
      <c r="K36">
        <f>Left_hand!C82</f>
        <v>235</v>
      </c>
      <c r="L36">
        <f>Left_hand!D82</f>
        <v>30</v>
      </c>
      <c r="M36">
        <f>Left_hand!E82</f>
        <v>235</v>
      </c>
      <c r="N36">
        <f>Left_hand!F82</f>
        <v>10</v>
      </c>
      <c r="O36">
        <f>Left_hand!G82</f>
        <v>228</v>
      </c>
      <c r="P36">
        <f>Left_hand!H82</f>
        <v>6</v>
      </c>
      <c r="Q36">
        <f>Left_hand!I82</f>
        <v>699</v>
      </c>
    </row>
    <row r="37" spans="1:17">
      <c r="A37" t="s">
        <v>197</v>
      </c>
      <c r="B37">
        <f>Left_arm!B82</f>
        <v>10</v>
      </c>
      <c r="C37">
        <f>Left_arm!C82</f>
        <v>10</v>
      </c>
      <c r="D37">
        <f>Left_arm!D82</f>
        <v>10</v>
      </c>
      <c r="E37">
        <f>Left_arm!E82</f>
        <v>10</v>
      </c>
      <c r="F37">
        <f>Left_arm!F82</f>
        <v>20</v>
      </c>
      <c r="G37">
        <f>Left_arm!G82</f>
        <v>-10</v>
      </c>
      <c r="H37">
        <f>Left_arm!H82</f>
        <v>-10</v>
      </c>
      <c r="I37">
        <f>Left_arm!I82</f>
        <v>100</v>
      </c>
      <c r="J37">
        <f>Left_hand!B83</f>
        <v>10</v>
      </c>
      <c r="K37">
        <f>Left_hand!C83</f>
        <v>10</v>
      </c>
      <c r="L37">
        <f>Left_hand!D83</f>
        <v>10</v>
      </c>
      <c r="M37">
        <f>Left_hand!E83</f>
        <v>10</v>
      </c>
      <c r="N37">
        <f>Left_hand!F83</f>
        <v>10</v>
      </c>
      <c r="O37">
        <f>Left_hand!G83</f>
        <v>10</v>
      </c>
      <c r="P37">
        <f>Left_hand!H83</f>
        <v>10</v>
      </c>
      <c r="Q37">
        <f>Left_hand!I83</f>
        <v>10</v>
      </c>
    </row>
    <row r="38" spans="1:17">
      <c r="A38" t="s">
        <v>194</v>
      </c>
      <c r="B38">
        <f>Left_arm!B83</f>
        <v>2536.625</v>
      </c>
      <c r="C38">
        <f>Left_arm!C83</f>
        <v>2425.15</v>
      </c>
      <c r="D38">
        <f>Left_arm!D83</f>
        <v>3456.0093749999992</v>
      </c>
      <c r="E38">
        <f>Left_arm!E83</f>
        <v>2143.0500000000002</v>
      </c>
      <c r="F38">
        <f>Left_arm!F83</f>
        <v>0</v>
      </c>
      <c r="G38">
        <f>Left_arm!G83</f>
        <v>0</v>
      </c>
      <c r="H38">
        <f>Left_arm!H83</f>
        <v>0</v>
      </c>
      <c r="I38">
        <f>Left_arm!I83</f>
        <v>0</v>
      </c>
      <c r="J38">
        <f>Left_hand!B84</f>
        <v>0</v>
      </c>
      <c r="K38">
        <f>Left_hand!C84</f>
        <v>6000</v>
      </c>
      <c r="L38">
        <f>Left_hand!D84</f>
        <v>6500</v>
      </c>
      <c r="M38">
        <f>Left_hand!E84</f>
        <v>6000</v>
      </c>
      <c r="N38">
        <f>Left_hand!F84</f>
        <v>6500</v>
      </c>
      <c r="O38">
        <f>Left_hand!G84</f>
        <v>6000</v>
      </c>
      <c r="P38">
        <f>Left_hand!H84</f>
        <v>-6500</v>
      </c>
      <c r="Q38">
        <f>Left_hand!I84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Left_arm!B84</f>
        <v>-30</v>
      </c>
      <c r="C42">
        <f>Left_arm!C84</f>
        <v>30</v>
      </c>
      <c r="D42">
        <f>Left_arm!D84</f>
        <v>0</v>
      </c>
      <c r="E42">
        <f>Left_arm!E84</f>
        <v>45</v>
      </c>
      <c r="F42">
        <f>Left_arm!F84</f>
        <v>0</v>
      </c>
      <c r="G42">
        <f>Left_arm!G84</f>
        <v>0</v>
      </c>
      <c r="H42">
        <f>Left_arm!H84</f>
        <v>0</v>
      </c>
      <c r="I42">
        <f>Left_arm!I84</f>
        <v>0</v>
      </c>
      <c r="J42">
        <f>Left_hand!B85</f>
        <v>0</v>
      </c>
      <c r="K42">
        <f>Left_hand!C85</f>
        <v>0</v>
      </c>
      <c r="L42">
        <f>Left_hand!D85</f>
        <v>0</v>
      </c>
      <c r="M42">
        <f>Left_hand!E85</f>
        <v>0</v>
      </c>
      <c r="N42">
        <f>Left_hand!F85</f>
        <v>0</v>
      </c>
      <c r="O42">
        <f>Left_hand!G85</f>
        <v>0</v>
      </c>
      <c r="P42">
        <f>Left_hand!H85</f>
        <v>0</v>
      </c>
      <c r="Q42">
        <f>Left_hand!I85</f>
        <v>0</v>
      </c>
    </row>
    <row r="43" spans="1:17">
      <c r="A43" t="s">
        <v>135</v>
      </c>
      <c r="B43">
        <f>Left_arm!B85</f>
        <v>10</v>
      </c>
      <c r="C43">
        <f>Left_arm!C85</f>
        <v>10</v>
      </c>
      <c r="D43">
        <f>Left_arm!D85</f>
        <v>10</v>
      </c>
      <c r="E43">
        <f>Left_arm!E85</f>
        <v>10</v>
      </c>
      <c r="F43">
        <f>Left_arm!F85</f>
        <v>30</v>
      </c>
      <c r="G43">
        <f>Left_arm!G85</f>
        <v>30</v>
      </c>
      <c r="H43">
        <f>Left_arm!H85</f>
        <v>30</v>
      </c>
      <c r="I43">
        <f>Left_arm!I85</f>
        <v>100</v>
      </c>
      <c r="J43">
        <f>Left_hand!B86</f>
        <v>100</v>
      </c>
      <c r="K43">
        <f>Left_hand!C86</f>
        <v>100</v>
      </c>
      <c r="L43">
        <f>Left_hand!D86</f>
        <v>100</v>
      </c>
      <c r="M43">
        <f>Left_hand!E86</f>
        <v>100</v>
      </c>
      <c r="N43">
        <f>Left_hand!F86</f>
        <v>100</v>
      </c>
      <c r="O43">
        <f>Left_hand!G86</f>
        <v>100</v>
      </c>
      <c r="P43">
        <f>Left_hand!H86</f>
        <v>100</v>
      </c>
      <c r="Q43">
        <f>Left_hand!I86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1000</v>
      </c>
      <c r="G49">
        <f>Right_arm!G80</f>
        <v>750</v>
      </c>
      <c r="H49">
        <f>Right_arm!H80</f>
        <v>750</v>
      </c>
      <c r="I49">
        <f>Right_arm!I80</f>
        <v>1800</v>
      </c>
      <c r="J49">
        <f>Right_hand!B81</f>
        <v>611</v>
      </c>
      <c r="K49">
        <f>Right_hand!C81</f>
        <v>230</v>
      </c>
      <c r="L49">
        <f>Right_hand!D81</f>
        <v>13</v>
      </c>
      <c r="M49">
        <f>Right_hand!E81</f>
        <v>235</v>
      </c>
      <c r="N49">
        <f>Right_hand!F81</f>
        <v>0</v>
      </c>
      <c r="O49">
        <f>Right_hand!G81</f>
        <v>235</v>
      </c>
      <c r="P49">
        <f>Right_hand!H81</f>
        <v>0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3756.0250000000001</v>
      </c>
      <c r="C51">
        <f>Right_arm!C82</f>
        <v>1109.0625</v>
      </c>
      <c r="D51">
        <f>Right_arm!D82</f>
        <v>1715.9187500000003</v>
      </c>
      <c r="E51">
        <f>Right_arm!E82</f>
        <v>2497.9499999999998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3960.7750000000001</v>
      </c>
      <c r="C64">
        <f>Legs!I95</f>
        <v>3108.7874999999999</v>
      </c>
      <c r="D64">
        <f>Legs!J95</f>
        <v>2444.4875000000002</v>
      </c>
      <c r="E64">
        <f>Legs!K95</f>
        <v>3951.6749999999997</v>
      </c>
      <c r="F64">
        <f>Legs!L95</f>
        <v>2503.6374999999998</v>
      </c>
      <c r="G64">
        <f>Legs!M95</f>
        <v>457.27499999999986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2639</v>
      </c>
      <c r="C76">
        <f>Legs!C95</f>
        <v>2976.8375000000001</v>
      </c>
      <c r="D76">
        <f>Legs!D95</f>
        <v>2046.3624999999997</v>
      </c>
      <c r="E76">
        <f>Legs!E95</f>
        <v>1631.1749999999997</v>
      </c>
      <c r="F76">
        <f>Legs!F95</f>
        <v>2424.0124999999998</v>
      </c>
      <c r="G76">
        <f>Legs!G95</f>
        <v>1606.1499999999999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2010-03-11T13:54:51Z</dcterms:modified>
</cp:coreProperties>
</file>