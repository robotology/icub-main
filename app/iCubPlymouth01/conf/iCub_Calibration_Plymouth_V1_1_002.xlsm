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5" yWindow="15" windowWidth="15105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4519"/>
</workbook>
</file>

<file path=xl/calcChain.xml><?xml version="1.0" encoding="utf-8"?>
<calcChain xmlns="http://schemas.openxmlformats.org/spreadsheetml/2006/main">
  <c r="F72" i="6"/>
  <c r="E72"/>
  <c r="F71"/>
  <c r="E71"/>
  <c r="F70"/>
  <c r="E70"/>
  <c r="F69"/>
  <c r="E69"/>
  <c r="F68"/>
  <c r="E68"/>
  <c r="F67"/>
  <c r="E67"/>
  <c r="F66"/>
  <c r="E66"/>
  <c r="F65"/>
  <c r="E65"/>
  <c r="F68" i="4"/>
  <c r="E68"/>
  <c r="F67"/>
  <c r="E67"/>
  <c r="F66"/>
  <c r="E66"/>
  <c r="F65"/>
  <c r="E65"/>
  <c r="F64"/>
  <c r="E64"/>
  <c r="F63"/>
  <c r="E63"/>
  <c r="F62"/>
  <c r="E62"/>
  <c r="F61"/>
  <c r="E6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5" i="6"/>
  <c r="D85"/>
  <c r="E85"/>
  <c r="F85"/>
  <c r="G85"/>
  <c r="H85"/>
  <c r="I85"/>
  <c r="C86"/>
  <c r="D86"/>
  <c r="E86"/>
  <c r="F86"/>
  <c r="G86"/>
  <c r="H86"/>
  <c r="I86"/>
  <c r="C80"/>
  <c r="D80"/>
  <c r="E80"/>
  <c r="F80"/>
  <c r="G80"/>
  <c r="H80"/>
  <c r="I80"/>
  <c r="C81"/>
  <c r="D81"/>
  <c r="E81"/>
  <c r="F81"/>
  <c r="G81"/>
  <c r="H81"/>
  <c r="I81"/>
  <c r="B86"/>
  <c r="B85"/>
  <c r="B81"/>
  <c r="B80"/>
  <c r="C84" i="5"/>
  <c r="D84"/>
  <c r="E84"/>
  <c r="F84"/>
  <c r="G84"/>
  <c r="H84"/>
  <c r="I84"/>
  <c r="C85"/>
  <c r="D85"/>
  <c r="E85"/>
  <c r="F85"/>
  <c r="G85"/>
  <c r="H85"/>
  <c r="I85"/>
  <c r="C79"/>
  <c r="D79"/>
  <c r="E79"/>
  <c r="F79"/>
  <c r="G79"/>
  <c r="H79"/>
  <c r="I79"/>
  <c r="C80"/>
  <c r="D80"/>
  <c r="E80"/>
  <c r="F80"/>
  <c r="G80"/>
  <c r="H80"/>
  <c r="I80"/>
  <c r="B85"/>
  <c r="B84"/>
  <c r="B80"/>
  <c r="B79"/>
  <c r="C81" i="4"/>
  <c r="D81"/>
  <c r="E81"/>
  <c r="F81"/>
  <c r="G81"/>
  <c r="H81"/>
  <c r="I81"/>
  <c r="C82"/>
  <c r="D82"/>
  <c r="E82"/>
  <c r="F82"/>
  <c r="G82"/>
  <c r="H82"/>
  <c r="I82"/>
  <c r="C76"/>
  <c r="D76"/>
  <c r="E76"/>
  <c r="F76"/>
  <c r="G76"/>
  <c r="H76"/>
  <c r="I76"/>
  <c r="C77"/>
  <c r="D77"/>
  <c r="E77"/>
  <c r="F77"/>
  <c r="G77"/>
  <c r="H77"/>
  <c r="I77"/>
  <c r="B82"/>
  <c r="B81"/>
  <c r="B77"/>
  <c r="B76"/>
  <c r="C83" i="3"/>
  <c r="D83"/>
  <c r="E83"/>
  <c r="F83"/>
  <c r="G83"/>
  <c r="H83"/>
  <c r="I83"/>
  <c r="C84"/>
  <c r="D84"/>
  <c r="E84"/>
  <c r="F84"/>
  <c r="G84"/>
  <c r="H84"/>
  <c r="I84"/>
  <c r="B84"/>
  <c r="B83"/>
  <c r="C79"/>
  <c r="C43" i="8" s="1"/>
  <c r="D79" i="3"/>
  <c r="E79"/>
  <c r="F79"/>
  <c r="G79"/>
  <c r="G43" i="8" s="1"/>
  <c r="H79" i="3"/>
  <c r="I79"/>
  <c r="I43" i="8" s="1"/>
  <c r="B79" i="3"/>
  <c r="C78"/>
  <c r="D78"/>
  <c r="E78"/>
  <c r="F78"/>
  <c r="G78"/>
  <c r="H78"/>
  <c r="I78"/>
  <c r="B78"/>
  <c r="C92" i="2"/>
  <c r="D92"/>
  <c r="E92"/>
  <c r="F92"/>
  <c r="G92"/>
  <c r="H92"/>
  <c r="I92"/>
  <c r="J92"/>
  <c r="K92"/>
  <c r="L92"/>
  <c r="M92"/>
  <c r="C93"/>
  <c r="D93"/>
  <c r="E93"/>
  <c r="F93"/>
  <c r="G93"/>
  <c r="H93"/>
  <c r="I93"/>
  <c r="J93"/>
  <c r="K93"/>
  <c r="L93"/>
  <c r="M93"/>
  <c r="B93"/>
  <c r="B92"/>
  <c r="C88"/>
  <c r="D88"/>
  <c r="E88"/>
  <c r="F88"/>
  <c r="G88"/>
  <c r="H88"/>
  <c r="I88"/>
  <c r="J88"/>
  <c r="K88"/>
  <c r="L88"/>
  <c r="M88"/>
  <c r="B88"/>
  <c r="C87"/>
  <c r="D87"/>
  <c r="E87"/>
  <c r="F87"/>
  <c r="G87"/>
  <c r="H87"/>
  <c r="I87"/>
  <c r="J87"/>
  <c r="K87"/>
  <c r="L87"/>
  <c r="M87"/>
  <c r="B87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54" i="4"/>
  <c r="H54"/>
  <c r="G54"/>
  <c r="F54"/>
  <c r="E54"/>
  <c r="D54"/>
  <c r="C54"/>
  <c r="B54"/>
  <c r="I53"/>
  <c r="H53"/>
  <c r="G53"/>
  <c r="F53"/>
  <c r="E53"/>
  <c r="D53"/>
  <c r="C53"/>
  <c r="B53"/>
  <c r="I58" i="6"/>
  <c r="H58"/>
  <c r="G58"/>
  <c r="F58"/>
  <c r="E58"/>
  <c r="D58"/>
  <c r="C58"/>
  <c r="B58"/>
  <c r="I57"/>
  <c r="H57"/>
  <c r="G57"/>
  <c r="F57"/>
  <c r="E57"/>
  <c r="D57"/>
  <c r="C57"/>
  <c r="B57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76" i="5" s="1"/>
  <c r="C49" i="8" s="1"/>
  <c r="D39" i="1"/>
  <c r="E39"/>
  <c r="E61"/>
  <c r="E62"/>
  <c r="F62" s="1"/>
  <c r="E60"/>
  <c r="F60" s="1"/>
  <c r="N60" s="1"/>
  <c r="C78" i="5" s="1"/>
  <c r="C51" i="8" s="1"/>
  <c r="C7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5" i="5"/>
  <c r="I56"/>
  <c r="D55"/>
  <c r="E55"/>
  <c r="F55"/>
  <c r="G55"/>
  <c r="H55"/>
  <c r="D56"/>
  <c r="E56"/>
  <c r="F56"/>
  <c r="G56"/>
  <c r="H56"/>
  <c r="C55"/>
  <c r="C56"/>
  <c r="B56"/>
  <c r="B55"/>
  <c r="C54" i="3"/>
  <c r="D54"/>
  <c r="E54"/>
  <c r="F54"/>
  <c r="G54"/>
  <c r="H54"/>
  <c r="I54"/>
  <c r="C55"/>
  <c r="D55"/>
  <c r="E55"/>
  <c r="F55"/>
  <c r="G55"/>
  <c r="H55"/>
  <c r="I55"/>
  <c r="B55"/>
  <c r="B54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59" i="2"/>
  <c r="D59"/>
  <c r="E59"/>
  <c r="F59"/>
  <c r="G59"/>
  <c r="H59"/>
  <c r="I59"/>
  <c r="J59"/>
  <c r="K59"/>
  <c r="L59"/>
  <c r="M59"/>
  <c r="C60"/>
  <c r="D60"/>
  <c r="E60"/>
  <c r="F60"/>
  <c r="G60"/>
  <c r="H60"/>
  <c r="I60"/>
  <c r="J60"/>
  <c r="K60"/>
  <c r="L60"/>
  <c r="M60"/>
  <c r="B60"/>
  <c r="B59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4" i="3"/>
  <c r="C44"/>
  <c r="D44"/>
  <c r="E44"/>
  <c r="G44"/>
  <c r="H44"/>
  <c r="B45"/>
  <c r="C45"/>
  <c r="E45"/>
  <c r="F45"/>
  <c r="G45"/>
  <c r="H45"/>
  <c r="B59"/>
  <c r="C59"/>
  <c r="D59"/>
  <c r="E59"/>
  <c r="E63"/>
  <c r="F63"/>
  <c r="E64"/>
  <c r="F64"/>
  <c r="E65"/>
  <c r="F65"/>
  <c r="E66"/>
  <c r="F66"/>
  <c r="E67"/>
  <c r="F67"/>
  <c r="E68"/>
  <c r="F68"/>
  <c r="E69"/>
  <c r="F69"/>
  <c r="E70"/>
  <c r="F70"/>
  <c r="B75"/>
  <c r="B36" i="8" s="1"/>
  <c r="C75" i="3"/>
  <c r="C36" i="8" s="1"/>
  <c r="E75" i="3"/>
  <c r="E36" i="8" s="1"/>
  <c r="F36"/>
  <c r="G75" i="3"/>
  <c r="G36" i="8" s="1"/>
  <c r="H75" i="3"/>
  <c r="H36" i="8" s="1"/>
  <c r="B76" i="3"/>
  <c r="B37" i="8" s="1"/>
  <c r="C76" i="3"/>
  <c r="C37" i="8" s="1"/>
  <c r="D76" i="3"/>
  <c r="D37" i="8" s="1"/>
  <c r="E76" i="3"/>
  <c r="E37" i="8" s="1"/>
  <c r="F76" i="3"/>
  <c r="F37" i="8" s="1"/>
  <c r="G76" i="3"/>
  <c r="G37" i="8" s="1"/>
  <c r="H76" i="3"/>
  <c r="H37" i="8" s="1"/>
  <c r="I76" i="3"/>
  <c r="I37" i="8" s="1"/>
  <c r="F77" i="3"/>
  <c r="F38" i="8" s="1"/>
  <c r="G77" i="3"/>
  <c r="G38" i="8" s="1"/>
  <c r="H77" i="3"/>
  <c r="H38" i="8" s="1"/>
  <c r="I77" i="3"/>
  <c r="I38" i="8" s="1"/>
  <c r="B74" i="4"/>
  <c r="J37" i="8" s="1"/>
  <c r="C74" i="4"/>
  <c r="K37" i="8" s="1"/>
  <c r="D74" i="4"/>
  <c r="L37" i="8" s="1"/>
  <c r="E74" i="4"/>
  <c r="M37" i="8" s="1"/>
  <c r="F74" i="4"/>
  <c r="N37" i="8" s="1"/>
  <c r="G74" i="4"/>
  <c r="O37" i="8" s="1"/>
  <c r="H74" i="4"/>
  <c r="P37" i="8" s="1"/>
  <c r="I74" i="4"/>
  <c r="Q37" i="8" s="1"/>
  <c r="B75" i="4"/>
  <c r="J38" i="8" s="1"/>
  <c r="C75" i="4"/>
  <c r="K38" i="8" s="1"/>
  <c r="D75" i="4"/>
  <c r="L38" i="8" s="1"/>
  <c r="E75" i="4"/>
  <c r="M38" i="8" s="1"/>
  <c r="F75" i="4"/>
  <c r="N38" i="8" s="1"/>
  <c r="G75" i="4"/>
  <c r="O38" i="8" s="1"/>
  <c r="H75" i="4"/>
  <c r="P38" i="8" s="1"/>
  <c r="I75" i="4"/>
  <c r="Q38" i="8" s="1"/>
  <c r="B51" i="2"/>
  <c r="C51"/>
  <c r="D51"/>
  <c r="E51"/>
  <c r="F51"/>
  <c r="G51"/>
  <c r="H51"/>
  <c r="I51"/>
  <c r="J51"/>
  <c r="K51"/>
  <c r="L51"/>
  <c r="M51"/>
  <c r="B52"/>
  <c r="C52"/>
  <c r="D52"/>
  <c r="E52"/>
  <c r="F52"/>
  <c r="G52"/>
  <c r="H52"/>
  <c r="I52"/>
  <c r="J52"/>
  <c r="K52"/>
  <c r="L52"/>
  <c r="M52"/>
  <c r="B64"/>
  <c r="C64"/>
  <c r="D64"/>
  <c r="E64"/>
  <c r="F64"/>
  <c r="G64"/>
  <c r="H64"/>
  <c r="I64"/>
  <c r="J64"/>
  <c r="K64"/>
  <c r="L64"/>
  <c r="M64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B85"/>
  <c r="B75" i="8" s="1"/>
  <c r="C85" i="2"/>
  <c r="C75" i="8" s="1"/>
  <c r="D85" i="2"/>
  <c r="D75" i="8" s="1"/>
  <c r="E85" i="2"/>
  <c r="E75" i="8" s="1"/>
  <c r="F85" i="2"/>
  <c r="F75" i="8" s="1"/>
  <c r="G85" i="2"/>
  <c r="G75" i="8" s="1"/>
  <c r="H85" i="2"/>
  <c r="B63" i="8" s="1"/>
  <c r="I85" i="2"/>
  <c r="C63" i="8" s="1"/>
  <c r="J85" i="2"/>
  <c r="D63" i="8" s="1"/>
  <c r="K85" i="2"/>
  <c r="E63" i="8" s="1"/>
  <c r="L85" i="2"/>
  <c r="F63" i="8" s="1"/>
  <c r="M85" i="2"/>
  <c r="G63" i="8" s="1"/>
  <c r="B45" i="5"/>
  <c r="C45"/>
  <c r="D45"/>
  <c r="E45"/>
  <c r="G45"/>
  <c r="H45"/>
  <c r="B46"/>
  <c r="C46"/>
  <c r="E46"/>
  <c r="F46"/>
  <c r="G46"/>
  <c r="H46"/>
  <c r="B60"/>
  <c r="C60"/>
  <c r="D60"/>
  <c r="E60"/>
  <c r="E64"/>
  <c r="F64"/>
  <c r="E65"/>
  <c r="F65"/>
  <c r="E66"/>
  <c r="F66"/>
  <c r="E67"/>
  <c r="F67"/>
  <c r="E68"/>
  <c r="F68"/>
  <c r="E69"/>
  <c r="F69"/>
  <c r="E70"/>
  <c r="F70"/>
  <c r="E71"/>
  <c r="F71"/>
  <c r="B76"/>
  <c r="B49" i="8" s="1"/>
  <c r="E76" i="5"/>
  <c r="E49" i="8" s="1"/>
  <c r="G76" i="5"/>
  <c r="G49" i="8" s="1"/>
  <c r="H76" i="5"/>
  <c r="H49" i="8" s="1"/>
  <c r="F77" i="5"/>
  <c r="F50" i="8" s="1"/>
  <c r="G77" i="5"/>
  <c r="G50" i="8" s="1"/>
  <c r="H77" i="5"/>
  <c r="H50" i="8" s="1"/>
  <c r="I77" i="5"/>
  <c r="I50" i="8" s="1"/>
  <c r="F78" i="5"/>
  <c r="F51" i="8" s="1"/>
  <c r="G78" i="5"/>
  <c r="G51" i="8" s="1"/>
  <c r="H78" i="5"/>
  <c r="H51" i="8" s="1"/>
  <c r="I78" i="5"/>
  <c r="I51" i="8" s="1"/>
  <c r="B78" i="6"/>
  <c r="J50" i="8" s="1"/>
  <c r="C78" i="6"/>
  <c r="K50" i="8" s="1"/>
  <c r="D78" i="6"/>
  <c r="L50" i="8" s="1"/>
  <c r="E78" i="6"/>
  <c r="M50" i="8" s="1"/>
  <c r="F78" i="6"/>
  <c r="N50" i="8" s="1"/>
  <c r="G78" i="6"/>
  <c r="O50" i="8" s="1"/>
  <c r="H78" i="6"/>
  <c r="P50" i="8" s="1"/>
  <c r="I78" i="6"/>
  <c r="Q50" i="8" s="1"/>
  <c r="B79" i="6"/>
  <c r="J51" i="8" s="1"/>
  <c r="C79" i="6"/>
  <c r="K51" i="8" s="1"/>
  <c r="D79" i="6"/>
  <c r="L51" i="8" s="1"/>
  <c r="E79" i="6"/>
  <c r="M51" i="8" s="1"/>
  <c r="F79" i="6"/>
  <c r="N51" i="8" s="1"/>
  <c r="G79" i="6"/>
  <c r="O51" i="8" s="1"/>
  <c r="H79" i="6"/>
  <c r="P51" i="8" s="1"/>
  <c r="I79" i="6"/>
  <c r="Q51" i="8" s="1"/>
  <c r="E7" i="1"/>
  <c r="F7" s="1"/>
  <c r="N7" s="1"/>
  <c r="L7"/>
  <c r="B84" i="2"/>
  <c r="B74" i="8" s="1"/>
  <c r="E8" i="1"/>
  <c r="F8"/>
  <c r="N8" s="1"/>
  <c r="C86" i="2" s="1"/>
  <c r="C76" i="8" s="1"/>
  <c r="L8" i="1"/>
  <c r="C84" i="2"/>
  <c r="C74" i="8" s="1"/>
  <c r="E9" i="1"/>
  <c r="F9"/>
  <c r="N9" s="1"/>
  <c r="D86" i="2" s="1"/>
  <c r="D76" i="8" s="1"/>
  <c r="L9" i="1"/>
  <c r="D84" i="2"/>
  <c r="D74" i="8" s="1"/>
  <c r="E10" i="1"/>
  <c r="F10"/>
  <c r="N10" s="1"/>
  <c r="E86" i="2" s="1"/>
  <c r="E76" i="8" s="1"/>
  <c r="L10" i="1"/>
  <c r="E84" i="2"/>
  <c r="E74" i="8" s="1"/>
  <c r="E11" i="1"/>
  <c r="F11"/>
  <c r="N11" s="1"/>
  <c r="F86" i="2" s="1"/>
  <c r="F76" i="8" s="1"/>
  <c r="L11" i="1"/>
  <c r="F84" i="2"/>
  <c r="F74" i="8" s="1"/>
  <c r="E12" i="1"/>
  <c r="F12"/>
  <c r="N12" s="1"/>
  <c r="G86" i="2" s="1"/>
  <c r="G76" i="8" s="1"/>
  <c r="L12" i="1"/>
  <c r="G84" i="2"/>
  <c r="G74" i="8" s="1"/>
  <c r="E13" i="1"/>
  <c r="F13"/>
  <c r="N13" s="1"/>
  <c r="H86" i="2" s="1"/>
  <c r="B64" i="8" s="1"/>
  <c r="L13" i="1"/>
  <c r="H84" i="2"/>
  <c r="B62" i="8" s="1"/>
  <c r="E14" i="1"/>
  <c r="F14"/>
  <c r="N14" s="1"/>
  <c r="I86" i="2" s="1"/>
  <c r="C64" i="8" s="1"/>
  <c r="L14" i="1"/>
  <c r="I84" i="2"/>
  <c r="C62" i="8" s="1"/>
  <c r="E15" i="1"/>
  <c r="F15"/>
  <c r="N15" s="1"/>
  <c r="J86" i="2" s="1"/>
  <c r="D64" i="8" s="1"/>
  <c r="L15" i="1"/>
  <c r="J84" i="2"/>
  <c r="D62" i="8" s="1"/>
  <c r="E16" i="1"/>
  <c r="F16"/>
  <c r="N16" s="1"/>
  <c r="K86" i="2" s="1"/>
  <c r="E64" i="8" s="1"/>
  <c r="L16" i="1"/>
  <c r="K84" i="2"/>
  <c r="E62" i="8" s="1"/>
  <c r="E17" i="1"/>
  <c r="F17"/>
  <c r="N17" s="1"/>
  <c r="L86" i="2" s="1"/>
  <c r="F64" i="8" s="1"/>
  <c r="L17" i="1"/>
  <c r="L84" i="2"/>
  <c r="F62" i="8" s="1"/>
  <c r="E18" i="1"/>
  <c r="F18"/>
  <c r="N18" s="1"/>
  <c r="M86" i="2" s="1"/>
  <c r="G64" i="8" s="1"/>
  <c r="L18" i="1"/>
  <c r="M84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77" i="3" s="1"/>
  <c r="B38" i="8" s="1"/>
  <c r="E38" i="1"/>
  <c r="F38" s="1"/>
  <c r="N38" s="1"/>
  <c r="C77" i="3" s="1"/>
  <c r="C38" i="8" s="1"/>
  <c r="F39" i="1"/>
  <c r="N39" s="1"/>
  <c r="D77" i="3" s="1"/>
  <c r="D38" i="8" s="1"/>
  <c r="D75" i="3"/>
  <c r="D36" i="8" s="1"/>
  <c r="E40" i="1"/>
  <c r="F40" s="1"/>
  <c r="N40" s="1"/>
  <c r="E77" i="3" s="1"/>
  <c r="E38" i="8" s="1"/>
  <c r="K41" i="1"/>
  <c r="F44" i="3" s="1"/>
  <c r="K44" i="1"/>
  <c r="D44" s="1"/>
  <c r="K48"/>
  <c r="K49"/>
  <c r="D49" s="1"/>
  <c r="C43" i="4" s="1"/>
  <c r="C42"/>
  <c r="L49" i="1"/>
  <c r="C73" i="4"/>
  <c r="K36" i="8" s="1"/>
  <c r="K50" i="1"/>
  <c r="D42" i="4" s="1"/>
  <c r="L50" i="1"/>
  <c r="D73" i="4" s="1"/>
  <c r="L36" i="8" s="1"/>
  <c r="K51" i="1"/>
  <c r="D51" s="1"/>
  <c r="E43" i="4" s="1"/>
  <c r="L51" i="1"/>
  <c r="E73" i="4" s="1"/>
  <c r="M36" i="8" s="1"/>
  <c r="K52" i="1"/>
  <c r="F42" i="4" s="1"/>
  <c r="L52" i="1"/>
  <c r="F73" i="4" s="1"/>
  <c r="N36" i="8" s="1"/>
  <c r="K53" i="1"/>
  <c r="D53" s="1"/>
  <c r="G43" i="4" s="1"/>
  <c r="L53" i="1"/>
  <c r="G73" i="4" s="1"/>
  <c r="O36" i="8" s="1"/>
  <c r="K54" i="1"/>
  <c r="H42" i="4" s="1"/>
  <c r="L54" i="1"/>
  <c r="H73" i="4" s="1"/>
  <c r="P36" i="8" s="1"/>
  <c r="K55" i="1"/>
  <c r="D55" s="1"/>
  <c r="I43" i="4" s="1"/>
  <c r="I73"/>
  <c r="Q36" i="8" s="1"/>
  <c r="K63" i="1"/>
  <c r="F45" i="5"/>
  <c r="K66" i="1"/>
  <c r="D66" s="1"/>
  <c r="K70"/>
  <c r="D70" s="1"/>
  <c r="K71"/>
  <c r="D71" s="1"/>
  <c r="C47" i="6" s="1"/>
  <c r="C46"/>
  <c r="L71" i="1"/>
  <c r="C77" i="6" s="1"/>
  <c r="K49" i="8" s="1"/>
  <c r="K72" i="1"/>
  <c r="D72" s="1"/>
  <c r="D47" i="6" s="1"/>
  <c r="D77"/>
  <c r="L49" i="8" s="1"/>
  <c r="K73" i="1"/>
  <c r="D73" s="1"/>
  <c r="E47" i="6" s="1"/>
  <c r="L73" i="1"/>
  <c r="E77" i="6" s="1"/>
  <c r="M49" i="8" s="1"/>
  <c r="K74" i="1"/>
  <c r="D74" s="1"/>
  <c r="F47" i="6" s="1"/>
  <c r="F77"/>
  <c r="N49" i="8" s="1"/>
  <c r="K75" i="1"/>
  <c r="D75" s="1"/>
  <c r="G47" i="6" s="1"/>
  <c r="L75" i="1"/>
  <c r="G77" i="6" s="1"/>
  <c r="O49" i="8" s="1"/>
  <c r="K76" i="1"/>
  <c r="D76" s="1"/>
  <c r="H47" i="6" s="1"/>
  <c r="L76" i="1"/>
  <c r="H77" i="6" s="1"/>
  <c r="P49" i="8" s="1"/>
  <c r="K77" i="1"/>
  <c r="D77" s="1"/>
  <c r="I47" i="6" s="1"/>
  <c r="I77"/>
  <c r="Q49" i="8" s="1"/>
  <c r="F46" i="6"/>
  <c r="B46"/>
  <c r="D52" i="1"/>
  <c r="F43" i="4" s="1"/>
  <c r="D50" i="1"/>
  <c r="D43" i="4" s="1"/>
  <c r="B42" l="1"/>
  <c r="D48" i="1"/>
  <c r="D46" i="6"/>
  <c r="H46"/>
  <c r="I46"/>
  <c r="I42" i="4"/>
  <c r="I44" i="3"/>
  <c r="B86" i="2"/>
  <c r="B76" i="8" s="1"/>
  <c r="G46" i="6"/>
  <c r="B43" i="4"/>
  <c r="D61" i="1"/>
  <c r="D46" i="5" s="1"/>
  <c r="D45" i="3"/>
  <c r="F61" i="1"/>
  <c r="N61" s="1"/>
  <c r="D78" i="5" s="1"/>
  <c r="D51" i="8" s="1"/>
  <c r="E59" i="1"/>
  <c r="F59" s="1"/>
  <c r="D77" i="5"/>
  <c r="D50" i="8" s="1"/>
  <c r="E77" i="5"/>
  <c r="E50" i="8" s="1"/>
  <c r="N62" i="1"/>
  <c r="E78" i="5" s="1"/>
  <c r="E51" i="8" s="1"/>
  <c r="N59" i="1"/>
  <c r="B78" i="5" s="1"/>
  <c r="B51" i="8" s="1"/>
  <c r="B77" i="5"/>
  <c r="B50" i="8" s="1"/>
  <c r="D7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2" i="4"/>
  <c r="L48" i="1"/>
  <c r="B73" i="4" s="1"/>
  <c r="J36" i="8" s="1"/>
  <c r="D54" i="1"/>
  <c r="H43" i="4" s="1"/>
  <c r="G42"/>
  <c r="E46" i="6"/>
  <c r="L70" i="1"/>
  <c r="B77" i="6" s="1"/>
  <c r="J49" i="8" s="1"/>
  <c r="B47" i="6"/>
  <c r="I45" i="5"/>
  <c r="L66" i="1"/>
  <c r="I76" i="5" s="1"/>
  <c r="I49" i="8" s="1"/>
  <c r="I46" i="5"/>
  <c r="I45" i="3"/>
  <c r="L44" i="1"/>
  <c r="I75" i="3" s="1"/>
  <c r="I36" i="8" s="1"/>
</calcChain>
</file>

<file path=xl/sharedStrings.xml><?xml version="1.0" encoding="utf-8"?>
<sst xmlns="http://schemas.openxmlformats.org/spreadsheetml/2006/main" count="725" uniqueCount="273">
  <si>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</si>
  <si>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</si>
  <si>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</si>
  <si>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</si>
  <si>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</si>
  <si>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</si>
  <si>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</si>
  <si>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</si>
  <si>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</si>
  <si>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</si>
  <si>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</si>
  <si>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</si>
  <si>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</si>
  <si>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</si>
  <si>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</si>
  <si>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</si>
  <si>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</si>
  <si>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</si>
  <si>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</si>
  <si>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</si>
  <si>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</si>
  <si>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</si>
  <si>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</si>
  <si>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</si>
  <si>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</si>
  <si>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</si>
  <si>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</si>
  <si>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</si>
  <si>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</si>
  <si>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</si>
  <si>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</si>
  <si>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</si>
  <si>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</si>
  <si>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</si>
  <si>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</si>
  <si>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</si>
  <si>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</si>
  <si>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</si>
  <si>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</si>
  <si>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</si>
  <si>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</si>
  <si>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</si>
  <si>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</si>
  <si>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</si>
  <si>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</si>
  <si>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</si>
  <si>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</si>
  <si>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</si>
  <si>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</si>
  <si>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</si>
  <si>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</si>
  <si>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</si>
  <si>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</si>
  <si>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</si>
  <si>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</si>
  <si>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</si>
  <si>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</si>
  <si>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</si>
  <si>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</si>
  <si>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</si>
  <si>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</si>
  <si>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</si>
  <si>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</si>
  <si>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</si>
  <si>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</si>
  <si>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</si>
  <si>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</si>
  <si>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</si>
  <si>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</si>
  <si>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</si>
  <si>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</si>
  <si>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</si>
  <si>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</si>
  <si>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</si>
  <si>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</si>
  <si>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</si>
  <si>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</si>
  <si>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</si>
  <si>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</si>
  <si>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</si>
  <si>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</si>
  <si>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</si>
  <si>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</si>
  <si>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</si>
  <si>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</si>
  <si>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</si>
  <si>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</si>
  <si>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</si>
  <si>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</si>
  <si>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</si>
  <si>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</si>
  <si>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</si>
  <si>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</si>
  <si>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</si>
  <si>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</si>
  <si>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</si>
  <si>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</si>
  <si>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</si>
  <si>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</si>
  <si>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</si>
  <si>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</si>
  <si>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</si>
  <si>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</si>
  <si>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</si>
  <si>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</si>
  <si>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</si>
  <si>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</si>
  <si>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</si>
  <si>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</si>
  <si>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</si>
  <si>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</si>
  <si>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</si>
  <si>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</si>
  <si>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</si>
  <si>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</si>
  <si>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</si>
  <si>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</si>
  <si>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</si>
  <si>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</si>
  <si>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</si>
  <si>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</si>
  <si>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</si>
  <si>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</si>
  <si>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</si>
  <si>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</si>
  <si>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</si>
  <si>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</si>
  <si>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</si>
  <si>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</si>
  <si>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</si>
  <si>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</si>
  <si>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</si>
  <si>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</si>
  <si>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</si>
  <si>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</si>
  <si>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</si>
  <si>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</si>
  <si>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</si>
  <si>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</si>
  <si>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</si>
  <si>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</si>
  <si>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</si>
  <si>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</si>
  <si>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</si>
  <si>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</si>
  <si>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</si>
  <si>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</si>
  <si>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</si>
  <si>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</si>
  <si>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</si>
  <si>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</si>
  <si>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</si>
  <si>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</si>
  <si>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</si>
  <si>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</si>
  <si>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</si>
  <si>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</si>
  <si>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</si>
  <si>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</si>
  <si>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</si>
  <si>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</si>
  <si>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</si>
  <si>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</si>
  <si>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</si>
  <si>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</si>
  <si>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</si>
  <si>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</si>
  <si>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</si>
  <si>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</si>
  <si>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</si>
  <si>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</si>
  <si>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</si>
  <si>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</si>
  <si>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</si>
  <si>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</si>
  <si>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</si>
  <si>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</si>
  <si>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</si>
  <si>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</si>
  <si>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</si>
  <si>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</si>
  <si>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</si>
  <si>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</si>
  <si>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</si>
  <si>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</si>
  <si>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</si>
  <si>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</si>
  <si>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</si>
  <si>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</si>
  <si>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</si>
  <si>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</si>
  <si>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</si>
  <si>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</si>
  <si>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</si>
  <si>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</si>
  <si>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</si>
  <si>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</si>
  <si>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</si>
  <si>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</si>
  <si>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</si>
  <si>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</si>
  <si>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</si>
  <si>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</si>
  <si>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</si>
  <si>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</si>
  <si>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</si>
  <si>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</si>
  <si>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</si>
  <si>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</si>
  <si>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</si>
  <si>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</si>
  <si>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</si>
  <si>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</si>
  <si>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</si>
  <si>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</si>
  <si>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</si>
  <si>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</si>
  <si>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</si>
  <si>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</si>
  <si>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</si>
  <si>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</si>
  <si>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</si>
  <si>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</si>
  <si>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</si>
  <si>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</si>
  <si>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</si>
  <si>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</si>
  <si>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</si>
  <si>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</si>
  <si>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</si>
  <si>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</si>
  <si>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</si>
  <si>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</si>
  <si>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</si>
  <si>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</si>
  <si>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</si>
  <si>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</si>
  <si>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</si>
  <si>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</si>
  <si>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</si>
  <si>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</si>
  <si>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</si>
  <si>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</si>
  <si>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</si>
  <si>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</si>
  <si>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</si>
  <si>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</si>
  <si>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</si>
  <si>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</si>
  <si>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</si>
  <si>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</si>
  <si>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</si>
  <si>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</si>
  <si>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</si>
  <si>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D:\icub\app\iCubPlymouth01\conf\</t>
  </si>
  <si>
    <t xml:space="preserve">[analog left_leg]            </t>
  </si>
  <si>
    <t xml:space="preserve">Format        16             </t>
  </si>
  <si>
    <t xml:space="preserve">Channels      6              </t>
  </si>
  <si>
    <t xml:space="preserve">Period        3              </t>
  </si>
  <si>
    <t xml:space="preserve">UseCalibration              1              </t>
  </si>
  <si>
    <t xml:space="preserve">[analog right_leg]           </t>
  </si>
  <si>
    <t>CanAddress    0x0D</t>
  </si>
  <si>
    <t>CanAddress    0x0E</t>
  </si>
  <si>
    <t xml:space="preserve">[analog left_arm]            </t>
  </si>
  <si>
    <t xml:space="preserve">Period        1              </t>
  </si>
  <si>
    <t xml:space="preserve">[analog left_hand]           </t>
  </si>
  <si>
    <t xml:space="preserve">CanAddress    0x0E           //MAIS BOARD  </t>
  </si>
  <si>
    <t xml:space="preserve">Format        8              </t>
  </si>
  <si>
    <t xml:space="preserve">Channels      16             </t>
  </si>
  <si>
    <t xml:space="preserve">Period        10             </t>
  </si>
  <si>
    <t xml:space="preserve">[analog right_arm]           </t>
  </si>
  <si>
    <t xml:space="preserve">UseCalibration              1            </t>
  </si>
  <si>
    <t xml:space="preserve">[analog right_hand]         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</si>
</sst>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61" zoomScale="55" zoomScaleNormal="55" workbookViewId="0">
      <selection activeCell="P92" sqref="P92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254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6"/>
  <sheetViews>
    <sheetView topLeftCell="A49" workbookViewId="0">
      <selection activeCell="C41" sqref="C4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255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 t="s">
        <v>261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256</v>
      </c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257</v>
      </c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258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259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160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260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262</v>
      </c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256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257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 t="s">
        <v>258</v>
      </c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259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102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103</v>
      </c>
      <c r="B44" s="76">
        <v>12</v>
      </c>
      <c r="C44" s="76" t="s">
        <v>104</v>
      </c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219</v>
      </c>
      <c r="B45" s="76">
        <v>0</v>
      </c>
      <c r="C45" s="76">
        <v>1</v>
      </c>
      <c r="D45" s="76">
        <v>2</v>
      </c>
      <c r="E45" s="76">
        <v>3</v>
      </c>
      <c r="F45" s="76">
        <v>4</v>
      </c>
      <c r="G45" s="76">
        <v>5</v>
      </c>
      <c r="H45" s="76">
        <v>6</v>
      </c>
      <c r="I45" s="76">
        <v>7</v>
      </c>
      <c r="J45" s="76">
        <v>8</v>
      </c>
      <c r="K45" s="76">
        <v>9</v>
      </c>
      <c r="L45" s="76">
        <v>10</v>
      </c>
      <c r="M45" s="76">
        <v>11</v>
      </c>
    </row>
    <row r="46" spans="1:13">
      <c r="A46" s="76" t="s">
        <v>218</v>
      </c>
      <c r="B46" s="76">
        <v>100</v>
      </c>
      <c r="C46" s="76">
        <v>100</v>
      </c>
      <c r="D46" s="76">
        <v>100</v>
      </c>
      <c r="E46" s="76">
        <v>100</v>
      </c>
      <c r="F46" s="76">
        <v>100</v>
      </c>
      <c r="G46" s="76">
        <v>100</v>
      </c>
      <c r="H46" s="76">
        <v>100</v>
      </c>
      <c r="I46" s="76">
        <v>100</v>
      </c>
      <c r="J46" s="76">
        <v>100</v>
      </c>
      <c r="K46" s="76">
        <v>100</v>
      </c>
      <c r="L46" s="76">
        <v>100</v>
      </c>
      <c r="M46" s="76">
        <v>100</v>
      </c>
    </row>
    <row r="47" spans="1:13">
      <c r="A47" s="76" t="s">
        <v>105</v>
      </c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217</v>
      </c>
      <c r="B48" s="76">
        <v>0</v>
      </c>
      <c r="C48" s="76">
        <v>1</v>
      </c>
      <c r="D48" s="76">
        <v>2</v>
      </c>
      <c r="E48" s="76">
        <v>3</v>
      </c>
      <c r="F48" s="76">
        <v>4</v>
      </c>
      <c r="G48" s="76">
        <v>5</v>
      </c>
      <c r="H48" s="76">
        <v>6</v>
      </c>
      <c r="I48" s="76">
        <v>7</v>
      </c>
      <c r="J48" s="76">
        <v>8</v>
      </c>
      <c r="K48" s="76">
        <v>9</v>
      </c>
      <c r="L48" s="76">
        <v>10</v>
      </c>
      <c r="M48" s="76">
        <v>11</v>
      </c>
    </row>
    <row r="49" spans="1:13">
      <c r="A49" s="76" t="s">
        <v>216</v>
      </c>
      <c r="B49" s="76">
        <v>2</v>
      </c>
      <c r="C49" s="76">
        <v>3</v>
      </c>
      <c r="D49" s="76">
        <v>0</v>
      </c>
      <c r="E49" s="76">
        <v>1</v>
      </c>
      <c r="F49" s="76">
        <v>4</v>
      </c>
      <c r="G49" s="76">
        <v>5</v>
      </c>
      <c r="H49" s="76">
        <v>8</v>
      </c>
      <c r="I49" s="76">
        <v>9</v>
      </c>
      <c r="J49" s="76">
        <v>6</v>
      </c>
      <c r="K49" s="76">
        <v>7</v>
      </c>
      <c r="L49" s="76">
        <v>10</v>
      </c>
      <c r="M49" s="76">
        <v>11</v>
      </c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 t="s">
        <v>215</v>
      </c>
      <c r="B51" s="76">
        <f>+INDEX(Sheet1!$K$7:$K18,COLUMN()-COLUMN($B$82)+1)</f>
        <v>11.375</v>
      </c>
      <c r="C51" s="76">
        <f>+INDEX(Sheet1!$K$7:$K18,COLUMN()-COLUMN($B$82)+1)</f>
        <v>11.375</v>
      </c>
      <c r="D51" s="76">
        <f>+INDEX(Sheet1!$K$7:$K18,COLUMN()-COLUMN($B$82)+1)</f>
        <v>11.375</v>
      </c>
      <c r="E51" s="76">
        <f>+INDEX(Sheet1!$K$7:$K18,COLUMN()-COLUMN($B$82)+1)</f>
        <v>11.375</v>
      </c>
      <c r="F51" s="76">
        <f>+INDEX(Sheet1!$K$7:$K18,COLUMN()-COLUMN($B$82)+1)</f>
        <v>11.375</v>
      </c>
      <c r="G51" s="76">
        <f>+INDEX(Sheet1!$K$7:$K18,COLUMN()-COLUMN($B$82)+1)</f>
        <v>11.375</v>
      </c>
      <c r="H51" s="76">
        <f>+INDEX(Sheet1!$K$7:$K18,COLUMN()-COLUMN($B$82)+1)</f>
        <v>-11.375</v>
      </c>
      <c r="I51" s="76">
        <f>+INDEX(Sheet1!$K$7:$K18,COLUMN()-COLUMN($B$82)+1)</f>
        <v>-11.375</v>
      </c>
      <c r="J51" s="76">
        <f>+INDEX(Sheet1!$K$7:$K18,COLUMN()-COLUMN($B$82)+1)</f>
        <v>-11.375</v>
      </c>
      <c r="K51" s="76">
        <f>+INDEX(Sheet1!$K$7:$K18,COLUMN()-COLUMN($B$82)+1)</f>
        <v>-11.375</v>
      </c>
      <c r="L51" s="76">
        <f>+INDEX(Sheet1!$K$7:$K18,COLUMN()-COLUMN($B$82)+1)</f>
        <v>-11.375</v>
      </c>
      <c r="M51" s="76">
        <f>+INDEX(Sheet1!$K$7:$K18,COLUMN()-COLUMN($B$82)+1)</f>
        <v>-11.375</v>
      </c>
    </row>
    <row r="52" spans="1:13">
      <c r="A52" s="76" t="s">
        <v>214</v>
      </c>
      <c r="B52" s="76">
        <f>+INDEX(Sheet1!$D$7:$D19,COLUMN()-COLUMN($B$82)+1)</f>
        <v>180</v>
      </c>
      <c r="C52" s="76">
        <f>+INDEX(Sheet1!$D$7:$D19,COLUMN()-COLUMN($B$82)+1)</f>
        <v>180</v>
      </c>
      <c r="D52" s="76">
        <f>+INDEX(Sheet1!$D$7:$D19,COLUMN()-COLUMN($B$82)+1)</f>
        <v>180</v>
      </c>
      <c r="E52" s="76">
        <f>+INDEX(Sheet1!$D$7:$D19,COLUMN()-COLUMN($B$82)+1)</f>
        <v>180</v>
      </c>
      <c r="F52" s="76">
        <f>+INDEX(Sheet1!$D$7:$D19,COLUMN()-COLUMN($B$82)+1)</f>
        <v>180</v>
      </c>
      <c r="G52" s="76">
        <f>+INDEX(Sheet1!$D$7:$D19,COLUMN()-COLUMN($B$82)+1)</f>
        <v>180</v>
      </c>
      <c r="H52" s="76">
        <f>+INDEX(Sheet1!$D$7:$D19,COLUMN()-COLUMN($B$82)+1)</f>
        <v>-180</v>
      </c>
      <c r="I52" s="76">
        <f>+INDEX(Sheet1!$D$7:$D19,COLUMN()-COLUMN($B$82)+1)</f>
        <v>-180</v>
      </c>
      <c r="J52" s="76">
        <f>+INDEX(Sheet1!$D$7:$D19,COLUMN()-COLUMN($B$82)+1)</f>
        <v>-180</v>
      </c>
      <c r="K52" s="76">
        <f>+INDEX(Sheet1!$D$7:$D19,COLUMN()-COLUMN($B$82)+1)</f>
        <v>-180</v>
      </c>
      <c r="L52" s="76">
        <f>+INDEX(Sheet1!$D$7:$D19,COLUMN()-COLUMN($B$82)+1)</f>
        <v>-180</v>
      </c>
      <c r="M52" s="76">
        <f>+INDEX(Sheet1!$D$7:$D19,COLUMN()-COLUMN($B$82)+1)</f>
        <v>-180</v>
      </c>
    </row>
    <row r="53" spans="1:13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106</v>
      </c>
      <c r="B54" s="76">
        <v>0</v>
      </c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</row>
    <row r="55" spans="1:13">
      <c r="A55" s="76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</row>
    <row r="56" spans="1:13">
      <c r="A56" s="76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223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107</v>
      </c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</row>
    <row r="59" spans="1:13">
      <c r="A59" s="76" t="s">
        <v>212</v>
      </c>
      <c r="B59" s="76">
        <f>+INDEX(Sheet1!$H$7:$H26,COLUMN()-COLUMN($B$82)+1)</f>
        <v>90</v>
      </c>
      <c r="C59" s="76">
        <f>+INDEX(Sheet1!$H$7:$H26,COLUMN()-COLUMN($B$82)+1)</f>
        <v>90</v>
      </c>
      <c r="D59" s="76">
        <f>+INDEX(Sheet1!$H$7:$H26,COLUMN()-COLUMN($B$82)+1)</f>
        <v>78</v>
      </c>
      <c r="E59" s="76">
        <f>+INDEX(Sheet1!$H$7:$H26,COLUMN()-COLUMN($B$82)+1)</f>
        <v>15</v>
      </c>
      <c r="F59" s="76">
        <f>+INDEX(Sheet1!$H$7:$H26,COLUMN()-COLUMN($B$82)+1)</f>
        <v>39</v>
      </c>
      <c r="G59" s="76">
        <f>+INDEX(Sheet1!$H$7:$H26,COLUMN()-COLUMN($B$82)+1)</f>
        <v>22</v>
      </c>
      <c r="H59" s="76">
        <f>+INDEX(Sheet1!$H$7:$H26,COLUMN()-COLUMN($B$82)+1)</f>
        <v>90</v>
      </c>
      <c r="I59" s="76">
        <f>+INDEX(Sheet1!$H$7:$H26,COLUMN()-COLUMN($B$82)+1)</f>
        <v>90</v>
      </c>
      <c r="J59" s="76">
        <f>+INDEX(Sheet1!$H$7:$H26,COLUMN()-COLUMN($B$82)+1)</f>
        <v>78</v>
      </c>
      <c r="K59" s="76">
        <f>+INDEX(Sheet1!$H$7:$H26,COLUMN()-COLUMN($B$82)+1)</f>
        <v>15</v>
      </c>
      <c r="L59" s="76">
        <f>+INDEX(Sheet1!$H$7:$H26,COLUMN()-COLUMN($B$82)+1)</f>
        <v>39</v>
      </c>
      <c r="M59" s="76">
        <f>+INDEX(Sheet1!$H$7:$H26,COLUMN()-COLUMN($B$82)+1)</f>
        <v>22</v>
      </c>
    </row>
    <row r="60" spans="1:13">
      <c r="A60" s="76" t="s">
        <v>213</v>
      </c>
      <c r="B60" s="76">
        <f>+INDEX(Sheet1!$G$7:$G27,COLUMN()-COLUMN($B$82)+1)</f>
        <v>-30</v>
      </c>
      <c r="C60" s="76">
        <f>+INDEX(Sheet1!$G$7:$G27,COLUMN()-COLUMN($B$82)+1)</f>
        <v>0</v>
      </c>
      <c r="D60" s="76">
        <f>+INDEX(Sheet1!$G$7:$G27,COLUMN()-COLUMN($B$82)+1)</f>
        <v>-80</v>
      </c>
      <c r="E60" s="76">
        <f>+INDEX(Sheet1!$G$7:$G27,COLUMN()-COLUMN($B$82)+1)</f>
        <v>-125</v>
      </c>
      <c r="F60" s="76">
        <f>+INDEX(Sheet1!$G$7:$G27,COLUMN()-COLUMN($B$82)+1)</f>
        <v>-20</v>
      </c>
      <c r="G60" s="76">
        <f>+INDEX(Sheet1!$G$7:$G27,COLUMN()-COLUMN($B$82)+1)</f>
        <v>-22</v>
      </c>
      <c r="H60" s="76">
        <f>+INDEX(Sheet1!$G$7:$G27,COLUMN()-COLUMN($B$82)+1)</f>
        <v>-30</v>
      </c>
      <c r="I60" s="76">
        <f>+INDEX(Sheet1!$G$7:$G27,COLUMN()-COLUMN($B$82)+1)</f>
        <v>0</v>
      </c>
      <c r="J60" s="76">
        <f>+INDEX(Sheet1!$G$7:$G27,COLUMN()-COLUMN($B$82)+1)</f>
        <v>-80</v>
      </c>
      <c r="K60" s="76">
        <f>+INDEX(Sheet1!$G$7:$G27,COLUMN()-COLUMN($B$82)+1)</f>
        <v>-125</v>
      </c>
      <c r="L60" s="76">
        <f>+INDEX(Sheet1!$G$7:$G27,COLUMN()-COLUMN($B$82)+1)</f>
        <v>-20</v>
      </c>
      <c r="M60" s="76">
        <f>+INDEX(Sheet1!$G$7:$G27,COLUMN()-COLUMN($B$82)+1)</f>
        <v>-22</v>
      </c>
    </row>
    <row r="61" spans="1:13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221</v>
      </c>
      <c r="B63" s="76">
        <v>0</v>
      </c>
      <c r="C63" s="76">
        <v>1</v>
      </c>
      <c r="D63" s="76">
        <v>2</v>
      </c>
      <c r="E63" s="76">
        <v>3</v>
      </c>
      <c r="F63" s="76">
        <v>4</v>
      </c>
      <c r="G63" s="76">
        <v>5</v>
      </c>
      <c r="H63" s="76">
        <v>6</v>
      </c>
      <c r="I63" s="76">
        <v>7</v>
      </c>
      <c r="J63" s="76">
        <v>8</v>
      </c>
      <c r="K63" s="76">
        <v>9</v>
      </c>
      <c r="L63" s="76">
        <v>10</v>
      </c>
      <c r="M63" s="76">
        <v>11</v>
      </c>
    </row>
    <row r="64" spans="1:13">
      <c r="A64" s="76" t="s">
        <v>220</v>
      </c>
      <c r="B64" s="76">
        <f>+$B$5</f>
        <v>7000</v>
      </c>
      <c r="C64" s="76">
        <f t="shared" ref="C64:M64" si="0">+$B$5</f>
        <v>7000</v>
      </c>
      <c r="D64" s="76">
        <f t="shared" si="0"/>
        <v>7000</v>
      </c>
      <c r="E64" s="76">
        <f t="shared" si="0"/>
        <v>7000</v>
      </c>
      <c r="F64" s="76">
        <f t="shared" si="0"/>
        <v>7000</v>
      </c>
      <c r="G64" s="76">
        <f t="shared" si="0"/>
        <v>7000</v>
      </c>
      <c r="H64" s="76">
        <f t="shared" si="0"/>
        <v>7000</v>
      </c>
      <c r="I64" s="76">
        <f t="shared" si="0"/>
        <v>7000</v>
      </c>
      <c r="J64" s="76">
        <f t="shared" si="0"/>
        <v>7000</v>
      </c>
      <c r="K64" s="76">
        <f t="shared" si="0"/>
        <v>7000</v>
      </c>
      <c r="L64" s="76">
        <f t="shared" si="0"/>
        <v>7000</v>
      </c>
      <c r="M64" s="76">
        <f t="shared" si="0"/>
        <v>7000</v>
      </c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108</v>
      </c>
      <c r="B66" s="76" t="s">
        <v>109</v>
      </c>
      <c r="C66" s="76" t="s">
        <v>110</v>
      </c>
      <c r="D66" s="76" t="s">
        <v>111</v>
      </c>
      <c r="E66" s="76" t="s">
        <v>112</v>
      </c>
      <c r="F66" s="76" t="s">
        <v>113</v>
      </c>
      <c r="G66" s="76" t="s">
        <v>114</v>
      </c>
      <c r="H66" s="76" t="s">
        <v>115</v>
      </c>
      <c r="I66" s="76"/>
      <c r="J66" s="76"/>
      <c r="K66" s="76"/>
      <c r="L66" s="76"/>
      <c r="M66" s="76"/>
    </row>
    <row r="67" spans="1:13">
      <c r="A67" s="76" t="s">
        <v>116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117</v>
      </c>
      <c r="B68" s="76">
        <v>32000</v>
      </c>
      <c r="C68" s="76">
        <v>100</v>
      </c>
      <c r="D68" s="76">
        <v>60</v>
      </c>
      <c r="E68" s="76">
        <f>+$B$3</f>
        <v>1333</v>
      </c>
      <c r="F68" s="76">
        <f t="shared" ref="F68:F79" si="1">+$B$3</f>
        <v>1333</v>
      </c>
      <c r="G68" s="76">
        <v>13</v>
      </c>
      <c r="H68" s="76">
        <v>0</v>
      </c>
      <c r="I68" s="76"/>
      <c r="J68" s="76"/>
      <c r="K68" s="76"/>
      <c r="L68" s="76"/>
      <c r="M68" s="76"/>
    </row>
    <row r="69" spans="1:13">
      <c r="A69" s="76" t="s">
        <v>118</v>
      </c>
      <c r="B69" s="76">
        <v>-32000</v>
      </c>
      <c r="C69" s="76">
        <v>-100</v>
      </c>
      <c r="D69" s="76">
        <v>-60</v>
      </c>
      <c r="E69" s="76">
        <f t="shared" ref="E69:E79" si="2">+$B$3</f>
        <v>1333</v>
      </c>
      <c r="F69" s="76">
        <f t="shared" si="1"/>
        <v>1333</v>
      </c>
      <c r="G69" s="76">
        <v>13</v>
      </c>
      <c r="H69" s="76">
        <v>0</v>
      </c>
      <c r="I69" s="76"/>
      <c r="J69" s="76"/>
      <c r="K69" s="76"/>
      <c r="L69" s="76"/>
      <c r="M69" s="76"/>
    </row>
    <row r="70" spans="1:13">
      <c r="A70" s="76" t="s">
        <v>119</v>
      </c>
      <c r="B70" s="76">
        <v>32000</v>
      </c>
      <c r="C70" s="76">
        <v>100</v>
      </c>
      <c r="D70" s="76">
        <v>60</v>
      </c>
      <c r="E70" s="76">
        <f t="shared" si="2"/>
        <v>1333</v>
      </c>
      <c r="F70" s="76">
        <f t="shared" si="1"/>
        <v>1333</v>
      </c>
      <c r="G70" s="76">
        <v>13</v>
      </c>
      <c r="H70" s="76">
        <v>0</v>
      </c>
      <c r="I70" s="76"/>
      <c r="J70" s="76"/>
      <c r="K70" s="76"/>
      <c r="L70" s="76"/>
      <c r="M70" s="76"/>
    </row>
    <row r="71" spans="1:13">
      <c r="A71" s="76" t="s">
        <v>120</v>
      </c>
      <c r="B71" s="76">
        <v>-32000</v>
      </c>
      <c r="C71" s="76">
        <v>-100</v>
      </c>
      <c r="D71" s="76">
        <v>-60</v>
      </c>
      <c r="E71" s="76">
        <f t="shared" si="2"/>
        <v>1333</v>
      </c>
      <c r="F71" s="76">
        <f t="shared" si="1"/>
        <v>1333</v>
      </c>
      <c r="G71" s="76">
        <v>13</v>
      </c>
      <c r="H71" s="76">
        <v>0</v>
      </c>
      <c r="I71" s="76"/>
      <c r="J71" s="76"/>
      <c r="K71" s="76"/>
      <c r="L71" s="76"/>
      <c r="M71" s="76"/>
    </row>
    <row r="72" spans="1:13">
      <c r="A72" s="76" t="s">
        <v>121</v>
      </c>
      <c r="B72" s="76">
        <v>-32000</v>
      </c>
      <c r="C72" s="76">
        <v>-100</v>
      </c>
      <c r="D72" s="76">
        <v>-60</v>
      </c>
      <c r="E72" s="76">
        <f t="shared" si="2"/>
        <v>1333</v>
      </c>
      <c r="F72" s="76">
        <f t="shared" si="1"/>
        <v>1333</v>
      </c>
      <c r="G72" s="76">
        <v>13</v>
      </c>
      <c r="H72" s="76">
        <v>0</v>
      </c>
      <c r="I72" s="76"/>
      <c r="J72" s="76"/>
      <c r="K72" s="76"/>
      <c r="L72" s="76"/>
      <c r="M72" s="76"/>
    </row>
    <row r="73" spans="1:13">
      <c r="A73" s="76" t="s">
        <v>122</v>
      </c>
      <c r="B73" s="76">
        <v>-32000</v>
      </c>
      <c r="C73" s="76">
        <v>-100</v>
      </c>
      <c r="D73" s="76">
        <v>-60</v>
      </c>
      <c r="E73" s="76">
        <f t="shared" si="2"/>
        <v>1333</v>
      </c>
      <c r="F73" s="76">
        <f t="shared" si="1"/>
        <v>1333</v>
      </c>
      <c r="G73" s="76">
        <v>13</v>
      </c>
      <c r="H73" s="76">
        <v>0</v>
      </c>
      <c r="I73" s="76"/>
      <c r="J73" s="76"/>
      <c r="K73" s="76"/>
      <c r="L73" s="76"/>
      <c r="M73" s="76"/>
    </row>
    <row r="74" spans="1:13">
      <c r="A74" s="76" t="s">
        <v>123</v>
      </c>
      <c r="B74" s="76">
        <v>32000</v>
      </c>
      <c r="C74" s="76">
        <v>100</v>
      </c>
      <c r="D74" s="76">
        <v>60</v>
      </c>
      <c r="E74" s="76">
        <f t="shared" si="2"/>
        <v>1333</v>
      </c>
      <c r="F74" s="76">
        <f t="shared" si="1"/>
        <v>1333</v>
      </c>
      <c r="G74" s="76">
        <v>13</v>
      </c>
      <c r="H74" s="76">
        <v>0</v>
      </c>
      <c r="I74" s="76"/>
      <c r="J74" s="76"/>
      <c r="K74" s="76"/>
      <c r="L74" s="76"/>
      <c r="M74" s="76"/>
    </row>
    <row r="75" spans="1:13">
      <c r="A75" s="76" t="s">
        <v>124</v>
      </c>
      <c r="B75" s="76">
        <v>-32000</v>
      </c>
      <c r="C75" s="76">
        <v>-100</v>
      </c>
      <c r="D75" s="76">
        <v>-60</v>
      </c>
      <c r="E75" s="76">
        <f t="shared" si="2"/>
        <v>1333</v>
      </c>
      <c r="F75" s="76">
        <f t="shared" si="1"/>
        <v>1333</v>
      </c>
      <c r="G75" s="76">
        <v>13</v>
      </c>
      <c r="H75" s="76">
        <v>0</v>
      </c>
      <c r="I75" s="76"/>
      <c r="J75" s="76"/>
      <c r="K75" s="76"/>
      <c r="L75" s="76"/>
      <c r="M75" s="76"/>
    </row>
    <row r="76" spans="1:13">
      <c r="A76" s="76" t="s">
        <v>125</v>
      </c>
      <c r="B76" s="76">
        <v>32000</v>
      </c>
      <c r="C76" s="76">
        <v>100</v>
      </c>
      <c r="D76" s="76">
        <v>60</v>
      </c>
      <c r="E76" s="76">
        <f t="shared" si="2"/>
        <v>1333</v>
      </c>
      <c r="F76" s="76">
        <f t="shared" si="1"/>
        <v>1333</v>
      </c>
      <c r="G76" s="76">
        <v>13</v>
      </c>
      <c r="H76" s="76">
        <v>0</v>
      </c>
      <c r="I76" s="76"/>
      <c r="J76" s="76"/>
      <c r="K76" s="76"/>
      <c r="L76" s="76"/>
      <c r="M76" s="76"/>
    </row>
    <row r="77" spans="1:13">
      <c r="A77" s="76" t="s">
        <v>126</v>
      </c>
      <c r="B77" s="76">
        <v>-32000</v>
      </c>
      <c r="C77" s="76">
        <v>-100</v>
      </c>
      <c r="D77" s="76">
        <v>-60</v>
      </c>
      <c r="E77" s="76">
        <f t="shared" si="2"/>
        <v>1333</v>
      </c>
      <c r="F77" s="76">
        <f t="shared" si="1"/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127</v>
      </c>
      <c r="B78" s="76">
        <v>-32000</v>
      </c>
      <c r="C78" s="76">
        <v>-100</v>
      </c>
      <c r="D78" s="76">
        <v>-60</v>
      </c>
      <c r="E78" s="76">
        <f t="shared" si="2"/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128</v>
      </c>
      <c r="B79" s="76">
        <v>-32000</v>
      </c>
      <c r="C79" s="76">
        <v>-100</v>
      </c>
      <c r="D79" s="76">
        <v>-60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</row>
    <row r="81" spans="1:13">
      <c r="A81" s="76" t="s">
        <v>129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</row>
    <row r="82" spans="1:13">
      <c r="A82" s="76" t="s">
        <v>210</v>
      </c>
      <c r="B82" s="76">
        <v>0</v>
      </c>
      <c r="C82" s="76">
        <v>1</v>
      </c>
      <c r="D82" s="76">
        <v>2</v>
      </c>
      <c r="E82" s="76">
        <v>3</v>
      </c>
      <c r="F82" s="76">
        <v>4</v>
      </c>
      <c r="G82" s="76">
        <v>5</v>
      </c>
      <c r="H82" s="76">
        <v>6</v>
      </c>
      <c r="I82" s="76">
        <v>7</v>
      </c>
      <c r="J82" s="76">
        <v>8</v>
      </c>
      <c r="K82" s="76">
        <v>9</v>
      </c>
      <c r="L82" s="76">
        <v>10</v>
      </c>
      <c r="M82" s="76">
        <v>11</v>
      </c>
    </row>
    <row r="83" spans="1:13">
      <c r="A83" s="76" t="s">
        <v>130</v>
      </c>
      <c r="B83" s="76">
        <v>3</v>
      </c>
      <c r="C83" s="76">
        <v>3</v>
      </c>
      <c r="D83" s="76">
        <v>3</v>
      </c>
      <c r="E83" s="76">
        <v>3</v>
      </c>
      <c r="F83" s="76">
        <v>3</v>
      </c>
      <c r="G83" s="76">
        <v>3</v>
      </c>
      <c r="H83" s="76">
        <v>3</v>
      </c>
      <c r="I83" s="76">
        <v>3</v>
      </c>
      <c r="J83" s="76">
        <v>3</v>
      </c>
      <c r="K83" s="76">
        <v>3</v>
      </c>
      <c r="L83" s="76">
        <v>3</v>
      </c>
      <c r="M83" s="76">
        <v>3</v>
      </c>
    </row>
    <row r="84" spans="1:13">
      <c r="A84" s="76" t="s">
        <v>131</v>
      </c>
      <c r="B84" s="76">
        <f>+INDEX(Sheet1!$L$7:$L18,COLUMN()-COLUMN($B$82)+1)</f>
        <v>2047.5</v>
      </c>
      <c r="C84" s="76">
        <f>+INDEX(Sheet1!$L$7:$L18,COLUMN()-COLUMN($B$82)+1)</f>
        <v>2047.5</v>
      </c>
      <c r="D84" s="76">
        <f>+INDEX(Sheet1!$L$7:$L18,COLUMN()-COLUMN($B$82)+1)</f>
        <v>2047.5</v>
      </c>
      <c r="E84" s="76">
        <f>+INDEX(Sheet1!$L$7:$L18,COLUMN()-COLUMN($B$82)+1)</f>
        <v>2047.5</v>
      </c>
      <c r="F84" s="76">
        <f>+INDEX(Sheet1!$L$7:$L18,COLUMN()-COLUMN($B$82)+1)</f>
        <v>2047.5</v>
      </c>
      <c r="G84" s="76">
        <f>+INDEX(Sheet1!$L$7:$L18,COLUMN()-COLUMN($B$82)+1)</f>
        <v>2047.5</v>
      </c>
      <c r="H84" s="76">
        <f>+INDEX(Sheet1!$L$7:$L18,COLUMN()-COLUMN($B$82)+1)</f>
        <v>2047.5</v>
      </c>
      <c r="I84" s="76">
        <f>+INDEX(Sheet1!$L$7:$L18,COLUMN()-COLUMN($B$82)+1)</f>
        <v>2047.5</v>
      </c>
      <c r="J84" s="76">
        <f>+INDEX(Sheet1!$L$7:$L18,COLUMN()-COLUMN($B$82)+1)</f>
        <v>2047.5</v>
      </c>
      <c r="K84" s="76">
        <f>+INDEX(Sheet1!$L$7:$L18,COLUMN()-COLUMN($B$82)+1)</f>
        <v>2047.5</v>
      </c>
      <c r="L84" s="76">
        <f>+INDEX(Sheet1!$L$7:$L18,COLUMN()-COLUMN($B$82)+1)</f>
        <v>2047.5</v>
      </c>
      <c r="M84" s="76">
        <f>+INDEX(Sheet1!$L$7:$L18,COLUMN()-COLUMN($B$82)+1)</f>
        <v>2047.5</v>
      </c>
    </row>
    <row r="85" spans="1:13">
      <c r="A85" s="76" t="s">
        <v>132</v>
      </c>
      <c r="B85" s="76">
        <f>+INDEX(Sheet1!$M$7:$M19,COLUMN()-COLUMN($B$82)+1)</f>
        <v>10</v>
      </c>
      <c r="C85" s="76">
        <f>+INDEX(Sheet1!$M$7:$M19,COLUMN()-COLUMN($B$82)+1)</f>
        <v>10</v>
      </c>
      <c r="D85" s="76">
        <f>+INDEX(Sheet1!$M$7:$M19,COLUMN()-COLUMN($B$82)+1)</f>
        <v>10</v>
      </c>
      <c r="E85" s="76">
        <f>+INDEX(Sheet1!$M$7:$M19,COLUMN()-COLUMN($B$82)+1)</f>
        <v>10</v>
      </c>
      <c r="F85" s="76">
        <f>+INDEX(Sheet1!$M$7:$M19,COLUMN()-COLUMN($B$82)+1)</f>
        <v>10</v>
      </c>
      <c r="G85" s="76">
        <f>+INDEX(Sheet1!$M$7:$M19,COLUMN()-COLUMN($B$82)+1)</f>
        <v>10</v>
      </c>
      <c r="H85" s="76">
        <f>+INDEX(Sheet1!$M$7:$M19,COLUMN()-COLUMN($B$82)+1)</f>
        <v>10</v>
      </c>
      <c r="I85" s="76">
        <f>+INDEX(Sheet1!$M$7:$M19,COLUMN()-COLUMN($B$82)+1)</f>
        <v>10</v>
      </c>
      <c r="J85" s="76">
        <f>+INDEX(Sheet1!$M$7:$M19,COLUMN()-COLUMN($B$82)+1)</f>
        <v>10</v>
      </c>
      <c r="K85" s="76">
        <f>+INDEX(Sheet1!$M$7:$M19,COLUMN()-COLUMN($B$82)+1)</f>
        <v>10</v>
      </c>
      <c r="L85" s="76">
        <f>+INDEX(Sheet1!$M$7:$M19,COLUMN()-COLUMN($B$82)+1)</f>
        <v>10</v>
      </c>
      <c r="M85" s="76">
        <f>+INDEX(Sheet1!$M$7:$M19,COLUMN()-COLUMN($B$82)+1)</f>
        <v>10</v>
      </c>
    </row>
    <row r="86" spans="1:13">
      <c r="A86" s="76" t="s">
        <v>133</v>
      </c>
      <c r="B86" s="76">
        <f>+INDEX(Sheet1!$N$7:$N20,COLUMN()-COLUMN($B$82)+1)</f>
        <v>3068.9749999999999</v>
      </c>
      <c r="C86" s="76">
        <f>+INDEX(Sheet1!$N$7:$N20,COLUMN()-COLUMN($B$82)+1)</f>
        <v>1922.375</v>
      </c>
      <c r="D86" s="76">
        <f>+INDEX(Sheet1!$N$7:$N20,COLUMN()-COLUMN($B$82)+1)</f>
        <v>3042.8125</v>
      </c>
      <c r="E86" s="76">
        <f>+INDEX(Sheet1!$N$7:$N20,COLUMN()-COLUMN($B$82)+1)</f>
        <v>2664.0250000000001</v>
      </c>
      <c r="F86" s="76">
        <f>+INDEX(Sheet1!$N$7:$N20,COLUMN()-COLUMN($B$82)+1)</f>
        <v>1556.1000000000001</v>
      </c>
      <c r="G86" s="76">
        <f>+INDEX(Sheet1!$N$7:$N20,COLUMN()-COLUMN($B$82)+1)</f>
        <v>3086.0374999999999</v>
      </c>
      <c r="H86" s="76">
        <f>+INDEX(Sheet1!$N$7:$N20,COLUMN()-COLUMN($B$82)+1)</f>
        <v>3756.0250000000001</v>
      </c>
      <c r="I86" s="76">
        <f>+INDEX(Sheet1!$N$7:$N20,COLUMN()-COLUMN($B$82)+1)</f>
        <v>393.57499999999993</v>
      </c>
      <c r="J86" s="76">
        <f>+INDEX(Sheet1!$N$7:$N20,COLUMN()-COLUMN($B$82)+1)</f>
        <v>1797.25</v>
      </c>
      <c r="K86" s="76">
        <f>+INDEX(Sheet1!$N$7:$N20,COLUMN()-COLUMN($B$82)+1)</f>
        <v>401.53750000000014</v>
      </c>
      <c r="L86" s="76">
        <f>+INDEX(Sheet1!$N$7:$N20,COLUMN()-COLUMN($B$82)+1)</f>
        <v>2520.6999999999998</v>
      </c>
      <c r="M86" s="76">
        <f>+INDEX(Sheet1!$N$7:$N20,COLUMN()-COLUMN($B$82)+1)</f>
        <v>513.01249999999993</v>
      </c>
    </row>
    <row r="87" spans="1:13">
      <c r="A87" s="76" t="s">
        <v>134</v>
      </c>
      <c r="B87" s="79">
        <f>+INDEX(Sheet1!$O$7:$O21,COLUMN()-COLUMN($B$82)+1)</f>
        <v>0</v>
      </c>
      <c r="C87" s="79">
        <f>+INDEX(Sheet1!$O$7:$O21,COLUMN()-COLUMN($B$82)+1)</f>
        <v>0</v>
      </c>
      <c r="D87" s="79">
        <f>+INDEX(Sheet1!$O$7:$O21,COLUMN()-COLUMN($B$82)+1)</f>
        <v>0</v>
      </c>
      <c r="E87" s="79">
        <f>+INDEX(Sheet1!$O$7:$O21,COLUMN()-COLUMN($B$82)+1)</f>
        <v>0</v>
      </c>
      <c r="F87" s="79">
        <f>+INDEX(Sheet1!$O$7:$O21,COLUMN()-COLUMN($B$82)+1)</f>
        <v>0</v>
      </c>
      <c r="G87" s="79">
        <f>+INDEX(Sheet1!$O$7:$O21,COLUMN()-COLUMN($B$82)+1)</f>
        <v>0</v>
      </c>
      <c r="H87" s="79">
        <f>+INDEX(Sheet1!$O$7:$O21,COLUMN()-COLUMN($B$82)+1)</f>
        <v>0</v>
      </c>
      <c r="I87" s="79">
        <f>+INDEX(Sheet1!$O$7:$O21,COLUMN()-COLUMN($B$82)+1)</f>
        <v>0</v>
      </c>
      <c r="J87" s="79">
        <f>+INDEX(Sheet1!$O$7:$O21,COLUMN()-COLUMN($B$82)+1)</f>
        <v>0</v>
      </c>
      <c r="K87" s="79">
        <f>+INDEX(Sheet1!$O$7:$O21,COLUMN()-COLUMN($B$82)+1)</f>
        <v>0</v>
      </c>
      <c r="L87" s="79">
        <f>+INDEX(Sheet1!$O$7:$O21,COLUMN()-COLUMN($B$82)+1)</f>
        <v>0</v>
      </c>
      <c r="M87" s="79">
        <f>+INDEX(Sheet1!$O$7:$O21,COLUMN()-COLUMN($B$82)+1)</f>
        <v>0</v>
      </c>
    </row>
    <row r="88" spans="1:13">
      <c r="A88" s="76" t="s">
        <v>135</v>
      </c>
      <c r="B88" s="79">
        <f>+INDEX(Sheet1!$P$7:$P22,COLUMN()-COLUMN($B$82)+1)</f>
        <v>10</v>
      </c>
      <c r="C88" s="79">
        <f>+INDEX(Sheet1!$P$7:$P22,COLUMN()-COLUMN($B$82)+1)</f>
        <v>10</v>
      </c>
      <c r="D88" s="79">
        <f>+INDEX(Sheet1!$P$7:$P22,COLUMN()-COLUMN($B$82)+1)</f>
        <v>10</v>
      </c>
      <c r="E88" s="79">
        <f>+INDEX(Sheet1!$P$7:$P22,COLUMN()-COLUMN($B$82)+1)</f>
        <v>10</v>
      </c>
      <c r="F88" s="79">
        <f>+INDEX(Sheet1!$P$7:$P22,COLUMN()-COLUMN($B$82)+1)</f>
        <v>10</v>
      </c>
      <c r="G88" s="79">
        <f>+INDEX(Sheet1!$P$7:$P22,COLUMN()-COLUMN($B$82)+1)</f>
        <v>10</v>
      </c>
      <c r="H88" s="79">
        <f>+INDEX(Sheet1!$P$7:$P22,COLUMN()-COLUMN($B$82)+1)</f>
        <v>10</v>
      </c>
      <c r="I88" s="79">
        <f>+INDEX(Sheet1!$P$7:$P22,COLUMN()-COLUMN($B$82)+1)</f>
        <v>10</v>
      </c>
      <c r="J88" s="79">
        <f>+INDEX(Sheet1!$P$7:$P22,COLUMN()-COLUMN($B$82)+1)</f>
        <v>10</v>
      </c>
      <c r="K88" s="79">
        <f>+INDEX(Sheet1!$P$7:$P22,COLUMN()-COLUMN($B$82)+1)</f>
        <v>10</v>
      </c>
      <c r="L88" s="79">
        <f>+INDEX(Sheet1!$P$7:$P22,COLUMN()-COLUMN($B$82)+1)</f>
        <v>10</v>
      </c>
      <c r="M88" s="79">
        <f>+INDEX(Sheet1!$P$7:$P22,COLUMN()-COLUMN($B$82)+1)</f>
        <v>10</v>
      </c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136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137</v>
      </c>
      <c r="B92" s="79">
        <f>+INDEX(Sheet1!$Q$7:$Q26,COLUMN()-COLUMN($B$82)+1)</f>
        <v>0</v>
      </c>
      <c r="C92" s="79">
        <f>+INDEX(Sheet1!$Q$7:$Q26,COLUMN()-COLUMN($B$82)+1)</f>
        <v>0</v>
      </c>
      <c r="D92" s="79">
        <f>+INDEX(Sheet1!$Q$7:$Q26,COLUMN()-COLUMN($B$82)+1)</f>
        <v>0</v>
      </c>
      <c r="E92" s="79">
        <f>+INDEX(Sheet1!$Q$7:$Q26,COLUMN()-COLUMN($B$82)+1)</f>
        <v>0</v>
      </c>
      <c r="F92" s="79">
        <f>+INDEX(Sheet1!$Q$7:$Q26,COLUMN()-COLUMN($B$82)+1)</f>
        <v>0</v>
      </c>
      <c r="G92" s="79">
        <f>+INDEX(Sheet1!$Q$7:$Q26,COLUMN()-COLUMN($B$82)+1)</f>
        <v>0</v>
      </c>
      <c r="H92" s="79">
        <f>+INDEX(Sheet1!$Q$7:$Q26,COLUMN()-COLUMN($B$82)+1)</f>
        <v>0</v>
      </c>
      <c r="I92" s="79">
        <f>+INDEX(Sheet1!$Q$7:$Q26,COLUMN()-COLUMN($B$82)+1)</f>
        <v>0</v>
      </c>
      <c r="J92" s="79">
        <f>+INDEX(Sheet1!$Q$7:$Q26,COLUMN()-COLUMN($B$82)+1)</f>
        <v>0</v>
      </c>
      <c r="K92" s="79">
        <f>+INDEX(Sheet1!$Q$7:$Q26,COLUMN()-COLUMN($B$82)+1)</f>
        <v>0</v>
      </c>
      <c r="L92" s="79">
        <f>+INDEX(Sheet1!$Q$7:$Q26,COLUMN()-COLUMN($B$82)+1)</f>
        <v>0</v>
      </c>
      <c r="M92" s="79">
        <f>+INDEX(Sheet1!$Q$7:$Q26,COLUMN()-COLUMN($B$82)+1)</f>
        <v>0</v>
      </c>
    </row>
    <row r="93" spans="1:13">
      <c r="A93" s="76" t="s">
        <v>138</v>
      </c>
      <c r="B93" s="79">
        <f>+INDEX(Sheet1!$R$7:$R27,COLUMN()-COLUMN($B$82)+1)</f>
        <v>10</v>
      </c>
      <c r="C93" s="79">
        <f>+INDEX(Sheet1!$R$7:$R27,COLUMN()-COLUMN($B$82)+1)</f>
        <v>10</v>
      </c>
      <c r="D93" s="79">
        <f>+INDEX(Sheet1!$R$7:$R27,COLUMN()-COLUMN($B$82)+1)</f>
        <v>10</v>
      </c>
      <c r="E93" s="79">
        <f>+INDEX(Sheet1!$R$7:$R27,COLUMN()-COLUMN($B$82)+1)</f>
        <v>10</v>
      </c>
      <c r="F93" s="79">
        <f>+INDEX(Sheet1!$R$7:$R27,COLUMN()-COLUMN($B$82)+1)</f>
        <v>10</v>
      </c>
      <c r="G93" s="79">
        <f>+INDEX(Sheet1!$R$7:$R27,COLUMN()-COLUMN($B$82)+1)</f>
        <v>10</v>
      </c>
      <c r="H93" s="79">
        <f>+INDEX(Sheet1!$R$7:$R27,COLUMN()-COLUMN($B$82)+1)</f>
        <v>10</v>
      </c>
      <c r="I93" s="79">
        <f>+INDEX(Sheet1!$R$7:$R27,COLUMN()-COLUMN($B$82)+1)</f>
        <v>10</v>
      </c>
      <c r="J93" s="79">
        <f>+INDEX(Sheet1!$R$7:$R27,COLUMN()-COLUMN($B$82)+1)</f>
        <v>10</v>
      </c>
      <c r="K93" s="79">
        <f>+INDEX(Sheet1!$R$7:$R27,COLUMN()-COLUMN($B$82)+1)</f>
        <v>10</v>
      </c>
      <c r="L93" s="79">
        <f>+INDEX(Sheet1!$R$7:$R27,COLUMN()-COLUMN($B$82)+1)</f>
        <v>10</v>
      </c>
      <c r="M93" s="79">
        <f>+INDEX(Sheet1!$R$7:$R27,COLUMN()-COLUMN($B$82)+1)</f>
        <v>10</v>
      </c>
    </row>
    <row r="94" spans="1:13">
      <c r="A94" s="76" t="s">
        <v>105</v>
      </c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</row>
    <row r="95" spans="1:13">
      <c r="A95" s="76" t="s">
        <v>139</v>
      </c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</row>
    <row r="96" spans="1:13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88"/>
  <sheetViews>
    <sheetView topLeftCell="A20" zoomScale="85" zoomScaleNormal="85" workbookViewId="0">
      <selection activeCell="A36" sqref="A36:M4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9" spans="1:9">
      <c r="A29" t="s">
        <v>263</v>
      </c>
    </row>
    <row r="30" spans="1:9">
      <c r="A30" t="s">
        <v>261</v>
      </c>
    </row>
    <row r="31" spans="1:9">
      <c r="A31" t="s">
        <v>256</v>
      </c>
    </row>
    <row r="32" spans="1:9">
      <c r="A32" t="s">
        <v>257</v>
      </c>
    </row>
    <row r="33" spans="1:9">
      <c r="A33" t="s">
        <v>264</v>
      </c>
    </row>
    <row r="34" spans="1:9">
      <c r="A34" t="s">
        <v>259</v>
      </c>
    </row>
    <row r="36" spans="1:9">
      <c r="A36" t="s">
        <v>102</v>
      </c>
    </row>
    <row r="37" spans="1:9">
      <c r="A37" t="s">
        <v>103</v>
      </c>
      <c r="B37">
        <v>8</v>
      </c>
      <c r="C37" t="s">
        <v>104</v>
      </c>
    </row>
    <row r="38" spans="1:9">
      <c r="A38" t="s">
        <v>228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39" spans="1:9">
      <c r="A39" t="s">
        <v>229</v>
      </c>
      <c r="B39">
        <v>100</v>
      </c>
      <c r="C39">
        <v>100</v>
      </c>
      <c r="D39">
        <v>100</v>
      </c>
      <c r="E39">
        <v>100</v>
      </c>
      <c r="F39">
        <v>100</v>
      </c>
      <c r="G39">
        <v>100</v>
      </c>
      <c r="H39">
        <v>100</v>
      </c>
      <c r="I39">
        <v>100</v>
      </c>
    </row>
    <row r="40" spans="1:9">
      <c r="A40" t="s">
        <v>105</v>
      </c>
    </row>
    <row r="41" spans="1:9">
      <c r="A41" t="s">
        <v>227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</row>
    <row r="42" spans="1:9">
      <c r="A42" t="s">
        <v>232</v>
      </c>
      <c r="B42"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</row>
    <row r="44" spans="1:9">
      <c r="A44" t="s">
        <v>225</v>
      </c>
      <c r="B44" s="22">
        <f>+INDEX(Sheet1!$K$37:$K$44,COLUMN()-COLUMN($B$77)+1)</f>
        <v>-11.375</v>
      </c>
      <c r="C44" s="22">
        <f>+INDEX(Sheet1!$K$37:$K$44,COLUMN()-COLUMN($B$77)+1)</f>
        <v>-11.375</v>
      </c>
      <c r="D44" s="22">
        <f>+INDEX(Sheet1!$K$37:$K$44,COLUMN()-COLUMN($B$77)+1)</f>
        <v>-11.375</v>
      </c>
      <c r="E44" s="22">
        <f>+INDEX(Sheet1!$K$37:$K$44,COLUMN()-COLUMN($B$77)+1)</f>
        <v>-11.375</v>
      </c>
      <c r="F44" s="22">
        <f>+INDEX(Sheet1!$K$37:$K$44,COLUMN()-COLUMN($B$77)+1)</f>
        <v>-706.67</v>
      </c>
      <c r="G44" s="22">
        <f>+INDEX(Sheet1!$K$37:$K$44,COLUMN()-COLUMN($B$77)+1)</f>
        <v>-978.46</v>
      </c>
      <c r="H44" s="22">
        <f>+INDEX(Sheet1!$K$37:$K$44,COLUMN()-COLUMN($B$77)+1)</f>
        <v>-978.46</v>
      </c>
      <c r="I44" s="22">
        <f>+INDEX(Sheet1!$K$37:$K$44,COLUMN()-COLUMN($B$77)+1)</f>
        <v>2.3333333333333335</v>
      </c>
    </row>
    <row r="45" spans="1:9">
      <c r="A45" t="s">
        <v>224</v>
      </c>
      <c r="B45" s="22">
        <f>+INDEX(Sheet1!$D$37:$D$44,COLUMN()-COLUMN($B$77)+1)</f>
        <v>-180</v>
      </c>
      <c r="C45" s="22">
        <f>+INDEX(Sheet1!$D$37:$D$44,COLUMN()-COLUMN($B$77)+1)</f>
        <v>-315</v>
      </c>
      <c r="D45" s="22">
        <f>+INDEX(Sheet1!$D$37:$D$44,COLUMN()-COLUMN($B$77)+1)</f>
        <v>24.257819103972956</v>
      </c>
      <c r="E45" s="22">
        <f>+INDEX(Sheet1!$D$37:$D$44,COLUMN()-COLUMN($B$77)+1)</f>
        <v>-180</v>
      </c>
      <c r="F45" s="22">
        <f>+INDEX(Sheet1!$D$37:$D$44,COLUMN()-COLUMN($B$77)+1)</f>
        <v>90</v>
      </c>
      <c r="G45" s="22">
        <f>+INDEX(Sheet1!$D$37:$D$44,COLUMN()-COLUMN($B$77)+1)</f>
        <v>-20</v>
      </c>
      <c r="H45" s="22">
        <f>+INDEX(Sheet1!$D$37:$D$44,COLUMN()-COLUMN($B$77)+1)</f>
        <v>-52</v>
      </c>
      <c r="I45" s="22">
        <f>+INDEX(Sheet1!$D$37:$D$44,COLUMN()-COLUMN($B$77)+1)</f>
        <v>891.42857142857133</v>
      </c>
    </row>
    <row r="47" spans="1:9">
      <c r="A47" t="s">
        <v>106</v>
      </c>
      <c r="B47">
        <v>0</v>
      </c>
    </row>
    <row r="49" spans="1:9">
      <c r="A49" t="s">
        <v>151</v>
      </c>
    </row>
    <row r="50" spans="1:9">
      <c r="A50" t="s">
        <v>240</v>
      </c>
      <c r="B50">
        <v>8</v>
      </c>
      <c r="C50">
        <v>8</v>
      </c>
      <c r="D50">
        <v>8</v>
      </c>
      <c r="E50">
        <v>8</v>
      </c>
      <c r="F50">
        <v>8</v>
      </c>
      <c r="G50">
        <v>8</v>
      </c>
      <c r="H50">
        <v>8</v>
      </c>
      <c r="I50">
        <v>8</v>
      </c>
    </row>
    <row r="52" spans="1:9">
      <c r="A52" t="s">
        <v>227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>
      <c r="A53" t="s">
        <v>107</v>
      </c>
    </row>
    <row r="54" spans="1:9" ht="15.75" customHeight="1">
      <c r="A54" t="s">
        <v>230</v>
      </c>
      <c r="B54" s="22">
        <f>+INDEX(Sheet1!$H$37:$H$44,COLUMN()-COLUMN($B$77)+1)</f>
        <v>10</v>
      </c>
      <c r="C54" s="22">
        <f>+INDEX(Sheet1!$H$37:$H$44,COLUMN()-COLUMN($B$77)+1)</f>
        <v>160.80000000000001</v>
      </c>
      <c r="D54" s="22">
        <f>+INDEX(Sheet1!$H$37:$H$44,COLUMN()-COLUMN($B$77)+1)</f>
        <v>80</v>
      </c>
      <c r="E54" s="22">
        <f>+INDEX(Sheet1!$H$37:$H$44,COLUMN()-COLUMN($B$77)+1)</f>
        <v>106</v>
      </c>
      <c r="F54" s="22">
        <f>+INDEX(Sheet1!$H$37:$H$44,COLUMN()-COLUMN($B$77)+1)</f>
        <v>90</v>
      </c>
      <c r="G54" s="22">
        <f>+INDEX(Sheet1!$H$37:$H$44,COLUMN()-COLUMN($B$77)+1)</f>
        <v>0</v>
      </c>
      <c r="H54" s="22">
        <f>+INDEX(Sheet1!$H$37:$H$44,COLUMN()-COLUMN($B$77)+1)</f>
        <v>40</v>
      </c>
      <c r="I54" s="22">
        <f>+INDEX(Sheet1!$H$37:$H$44,COLUMN()-COLUMN($B$77)+1)</f>
        <v>60</v>
      </c>
    </row>
    <row r="55" spans="1:9">
      <c r="A55" t="s">
        <v>231</v>
      </c>
      <c r="B55" s="22">
        <f>+INDEX(Sheet1!$G$37:$G$44,COLUMN()-COLUMN($B$77)+1)</f>
        <v>-95.5</v>
      </c>
      <c r="C55" s="22">
        <f>+INDEX(Sheet1!$G$37:$G$44,COLUMN()-COLUMN($B$77)+1)</f>
        <v>0</v>
      </c>
      <c r="D55" s="22">
        <f>+INDEX(Sheet1!$G$37:$G$44,COLUMN()-COLUMN($B$77)+1)</f>
        <v>-37</v>
      </c>
      <c r="E55" s="22">
        <f>+INDEX(Sheet1!$G$37:$G$44,COLUMN()-COLUMN($B$77)+1)</f>
        <v>5.5</v>
      </c>
      <c r="F55" s="22">
        <f>+INDEX(Sheet1!$G$37:$G$44,COLUMN()-COLUMN($B$77)+1)</f>
        <v>-90</v>
      </c>
      <c r="G55" s="22">
        <f>+INDEX(Sheet1!$G$37:$G$44,COLUMN()-COLUMN($B$77)+1)</f>
        <v>-90</v>
      </c>
      <c r="H55" s="22">
        <f>+INDEX(Sheet1!$G$37:$G$44,COLUMN()-COLUMN($B$77)+1)</f>
        <v>-20</v>
      </c>
      <c r="I55" s="22">
        <f>+INDEX(Sheet1!$G$37:$G$44,COLUMN()-COLUMN($B$77)+1)</f>
        <v>0</v>
      </c>
    </row>
    <row r="58" spans="1:9">
      <c r="A58" t="s">
        <v>226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220</v>
      </c>
      <c r="B59" s="22">
        <f>$B$5</f>
        <v>7000</v>
      </c>
      <c r="C59" s="22">
        <f>$B$5</f>
        <v>7000</v>
      </c>
      <c r="D59" s="22">
        <f>$B$5</f>
        <v>7000</v>
      </c>
      <c r="E59" s="22">
        <f>$B$5</f>
        <v>7000</v>
      </c>
      <c r="F59">
        <v>400</v>
      </c>
      <c r="G59">
        <v>400</v>
      </c>
      <c r="H59">
        <v>400</v>
      </c>
      <c r="I59">
        <v>400</v>
      </c>
    </row>
    <row r="61" spans="1:9">
      <c r="A61" t="s">
        <v>108</v>
      </c>
      <c r="B61" t="s">
        <v>109</v>
      </c>
      <c r="C61" t="s">
        <v>110</v>
      </c>
      <c r="D61" t="s">
        <v>111</v>
      </c>
      <c r="E61" t="s">
        <v>112</v>
      </c>
      <c r="F61" t="s">
        <v>113</v>
      </c>
      <c r="G61" t="s">
        <v>114</v>
      </c>
      <c r="H61" t="s">
        <v>115</v>
      </c>
    </row>
    <row r="62" spans="1:9">
      <c r="A62" t="s">
        <v>116</v>
      </c>
    </row>
    <row r="63" spans="1:9">
      <c r="A63" t="s">
        <v>117</v>
      </c>
      <c r="B63">
        <v>32000</v>
      </c>
      <c r="C63">
        <v>50</v>
      </c>
      <c r="D63">
        <v>60</v>
      </c>
      <c r="E63" s="22">
        <f>+$B$3</f>
        <v>1333</v>
      </c>
      <c r="F63" s="22">
        <f t="shared" ref="F63:F70" si="0">+$B$3</f>
        <v>1333</v>
      </c>
      <c r="G63">
        <v>13</v>
      </c>
      <c r="H63">
        <v>0</v>
      </c>
    </row>
    <row r="64" spans="1:9">
      <c r="A64" t="s">
        <v>118</v>
      </c>
      <c r="B64">
        <v>32000</v>
      </c>
      <c r="C64">
        <v>50</v>
      </c>
      <c r="D64">
        <v>60</v>
      </c>
      <c r="E64" s="22">
        <f>+$B$3</f>
        <v>1333</v>
      </c>
      <c r="F64" s="22">
        <f t="shared" si="0"/>
        <v>1333</v>
      </c>
      <c r="G64">
        <v>13</v>
      </c>
      <c r="H64">
        <v>0</v>
      </c>
    </row>
    <row r="65" spans="1:9">
      <c r="A65" t="s">
        <v>119</v>
      </c>
      <c r="B65">
        <v>10000</v>
      </c>
      <c r="C65">
        <v>0</v>
      </c>
      <c r="D65">
        <v>10</v>
      </c>
      <c r="E65" s="22">
        <f t="shared" ref="E65:E70" si="1">+$B$3</f>
        <v>1333</v>
      </c>
      <c r="F65" s="22">
        <f t="shared" si="0"/>
        <v>1333</v>
      </c>
      <c r="G65">
        <v>13</v>
      </c>
      <c r="H65">
        <v>0</v>
      </c>
    </row>
    <row r="66" spans="1:9">
      <c r="A66" t="s">
        <v>120</v>
      </c>
      <c r="B66">
        <v>32000</v>
      </c>
      <c r="C66">
        <v>20</v>
      </c>
      <c r="D66">
        <v>60</v>
      </c>
      <c r="E66" s="22">
        <f>+$B$3</f>
        <v>1333</v>
      </c>
      <c r="F66" s="22">
        <f t="shared" si="0"/>
        <v>1333</v>
      </c>
      <c r="G66">
        <v>13</v>
      </c>
      <c r="H66">
        <v>0</v>
      </c>
    </row>
    <row r="67" spans="1:9">
      <c r="A67" t="s">
        <v>121</v>
      </c>
      <c r="B67">
        <v>200</v>
      </c>
      <c r="C67">
        <v>1000</v>
      </c>
      <c r="D67">
        <v>1</v>
      </c>
      <c r="E67" s="22">
        <f t="shared" si="1"/>
        <v>1333</v>
      </c>
      <c r="F67" s="22">
        <f t="shared" si="0"/>
        <v>1333</v>
      </c>
      <c r="G67">
        <v>6</v>
      </c>
      <c r="H67">
        <v>0</v>
      </c>
    </row>
    <row r="68" spans="1:9">
      <c r="A68" t="s">
        <v>122</v>
      </c>
      <c r="B68">
        <v>100</v>
      </c>
      <c r="C68">
        <v>100</v>
      </c>
      <c r="D68">
        <v>2</v>
      </c>
      <c r="E68" s="22">
        <f t="shared" si="1"/>
        <v>1333</v>
      </c>
      <c r="F68" s="22">
        <f t="shared" si="0"/>
        <v>1333</v>
      </c>
      <c r="G68">
        <v>6</v>
      </c>
      <c r="H68">
        <v>0</v>
      </c>
    </row>
    <row r="69" spans="1:9">
      <c r="A69" t="s">
        <v>123</v>
      </c>
      <c r="B69">
        <v>100</v>
      </c>
      <c r="C69">
        <v>100</v>
      </c>
      <c r="D69">
        <v>2</v>
      </c>
      <c r="E69" s="22">
        <f t="shared" si="1"/>
        <v>1333</v>
      </c>
      <c r="F69" s="22">
        <f t="shared" si="0"/>
        <v>1333</v>
      </c>
      <c r="G69">
        <v>6</v>
      </c>
      <c r="H69">
        <v>0</v>
      </c>
    </row>
    <row r="70" spans="1:9">
      <c r="A70" t="s">
        <v>124</v>
      </c>
      <c r="B70">
        <v>-200</v>
      </c>
      <c r="C70">
        <v>-200</v>
      </c>
      <c r="D70">
        <v>-1</v>
      </c>
      <c r="E70" s="22">
        <f t="shared" si="1"/>
        <v>1333</v>
      </c>
      <c r="F70" s="22">
        <f t="shared" si="0"/>
        <v>1333</v>
      </c>
      <c r="G70">
        <v>4</v>
      </c>
      <c r="H70">
        <v>0</v>
      </c>
    </row>
    <row r="72" spans="1:9">
      <c r="A72" t="s">
        <v>129</v>
      </c>
    </row>
    <row r="73" spans="1:9">
      <c r="A73" t="s">
        <v>226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130</v>
      </c>
      <c r="B74">
        <v>3</v>
      </c>
      <c r="C74">
        <v>3</v>
      </c>
      <c r="D74">
        <v>3</v>
      </c>
      <c r="E74">
        <v>3</v>
      </c>
      <c r="F74">
        <v>0</v>
      </c>
      <c r="G74">
        <v>2</v>
      </c>
      <c r="H74">
        <v>2</v>
      </c>
      <c r="I74">
        <v>3</v>
      </c>
    </row>
    <row r="75" spans="1:9">
      <c r="A75" t="s">
        <v>131</v>
      </c>
      <c r="B75" s="22">
        <f>+INDEX(Sheet1!$L$37:$L$44,COLUMN()-COLUMN($B$77)+1)</f>
        <v>2388.75</v>
      </c>
      <c r="C75" s="22">
        <f>+INDEX(Sheet1!$L$37:$L$44,COLUMN()-COLUMN($B$77)+1)</f>
        <v>3241.875</v>
      </c>
      <c r="D75" s="22">
        <f>+INDEX(Sheet1!$L$37:$L$44,COLUMN()-COLUMN($B$77)+1)</f>
        <v>-275.93269230769238</v>
      </c>
      <c r="E75" s="22">
        <f>+INDEX(Sheet1!$L$37:$L$44,COLUMN()-COLUMN($B$77)+1)</f>
        <v>1532</v>
      </c>
      <c r="F75" s="22">
        <v>550</v>
      </c>
      <c r="G75" s="22">
        <f>+INDEX(Sheet1!$L$37:$L$44,COLUMN()-COLUMN($B$77)+1)</f>
        <v>650</v>
      </c>
      <c r="H75" s="22">
        <f>+INDEX(Sheet1!$L$37:$L$44,COLUMN()-COLUMN($B$77)+1)</f>
        <v>650</v>
      </c>
      <c r="I75" s="22">
        <f>+INDEX(Sheet1!$L$37:$L$44,COLUMN()-COLUMN($B$77)+1)</f>
        <v>2080</v>
      </c>
    </row>
    <row r="76" spans="1:9">
      <c r="A76" t="s">
        <v>132</v>
      </c>
      <c r="B76" s="22">
        <f>+INDEX(Sheet1!$M$37:$M$44,COLUMN()-COLUMN($B$77)+1)</f>
        <v>10</v>
      </c>
      <c r="C76" s="22">
        <f>+INDEX(Sheet1!$M$37:$M$44,COLUMN()-COLUMN($B$77)+1)</f>
        <v>10</v>
      </c>
      <c r="D76" s="22">
        <f>+INDEX(Sheet1!$M$37:$M$44,COLUMN()-COLUMN($B$77)+1)</f>
        <v>10</v>
      </c>
      <c r="E76" s="22">
        <f>+INDEX(Sheet1!$M$37:$M$44,COLUMN()-COLUMN($B$77)+1)</f>
        <v>10</v>
      </c>
      <c r="F76" s="22">
        <f>+INDEX(Sheet1!$M$37:$M$44,COLUMN()-COLUMN($B$77)+1)</f>
        <v>20</v>
      </c>
      <c r="G76" s="22">
        <f>+INDEX(Sheet1!$M$37:$M$44,COLUMN()-COLUMN($B$77)+1)</f>
        <v>-10</v>
      </c>
      <c r="H76" s="22">
        <f>+INDEX(Sheet1!$M$37:$M$44,COLUMN()-COLUMN($B$77)+1)</f>
        <v>-10</v>
      </c>
      <c r="I76" s="22">
        <f>+INDEX(Sheet1!$M$37:$M$44,COLUMN()-COLUMN($B$77)+1)</f>
        <v>100</v>
      </c>
    </row>
    <row r="77" spans="1:9">
      <c r="A77" t="s">
        <v>133</v>
      </c>
      <c r="B77" s="22">
        <f>+INDEX(Sheet1!$N$37:$N$44,COLUMN()-COLUMN($B$77)+1)</f>
        <v>641.55000000000007</v>
      </c>
      <c r="C77" s="22">
        <f>+INDEX(Sheet1!$N$37:$N$44,COLUMN()-COLUMN($B$77)+1)</f>
        <v>2482.0250000000001</v>
      </c>
      <c r="D77" s="22">
        <f>+INDEX(Sheet1!$N$37:$N$44,COLUMN()-COLUMN($B$77)+1)</f>
        <v>998.72499999999945</v>
      </c>
      <c r="E77" s="22">
        <f>+INDEX(Sheet1!$N$37:$N$44,COLUMN()-COLUMN($B$77)+1)</f>
        <v>341.25</v>
      </c>
      <c r="F77" s="22">
        <f>+INDEX(Sheet1!$N$37:$N$44,COLUMN()-COLUMN($B$77)+1)</f>
        <v>0</v>
      </c>
      <c r="G77" s="22">
        <f>+INDEX(Sheet1!$N$37:$N$44,COLUMN()-COLUMN($B$77)+1)</f>
        <v>0</v>
      </c>
      <c r="H77" s="22">
        <f>+INDEX(Sheet1!$N$37:$N$44,COLUMN()-COLUMN($B$77)+1)</f>
        <v>0</v>
      </c>
      <c r="I77" s="22">
        <f>+INDEX(Sheet1!$N$37:$N$44,COLUMN()-COLUMN($B$77)+1)</f>
        <v>0</v>
      </c>
    </row>
    <row r="78" spans="1:9">
      <c r="A78" t="s">
        <v>134</v>
      </c>
      <c r="B78" s="22">
        <f>+INDEX(Sheet1!$O$37:$O$44,COLUMN()-COLUMN($B$77)+1)</f>
        <v>-30</v>
      </c>
      <c r="C78" s="22">
        <f>+INDEX(Sheet1!$O$37:$O$44,COLUMN()-COLUMN($B$77)+1)</f>
        <v>30</v>
      </c>
      <c r="D78" s="22">
        <f>+INDEX(Sheet1!$O$37:$O$44,COLUMN()-COLUMN($B$77)+1)</f>
        <v>0</v>
      </c>
      <c r="E78" s="22">
        <f>+INDEX(Sheet1!$O$37:$O$44,COLUMN()-COLUMN($B$77)+1)</f>
        <v>45</v>
      </c>
      <c r="F78" s="22">
        <f>+INDEX(Sheet1!$O$37:$O$44,COLUMN()-COLUMN($B$77)+1)</f>
        <v>0</v>
      </c>
      <c r="G78" s="22">
        <f>+INDEX(Sheet1!$O$37:$O$44,COLUMN()-COLUMN($B$77)+1)</f>
        <v>0</v>
      </c>
      <c r="H78" s="22">
        <f>+INDEX(Sheet1!$O$37:$O$44,COLUMN()-COLUMN($B$77)+1)</f>
        <v>0</v>
      </c>
      <c r="I78" s="22">
        <f>+INDEX(Sheet1!$O$37:$O$44,COLUMN()-COLUMN($B$77)+1)</f>
        <v>0</v>
      </c>
    </row>
    <row r="79" spans="1:9">
      <c r="A79" t="s">
        <v>135</v>
      </c>
      <c r="B79" s="22">
        <f>+INDEX(Sheet1!$P$37:$P$44,COLUMN()-COLUMN($B$77)+1)</f>
        <v>10</v>
      </c>
      <c r="C79" s="22">
        <f>+INDEX(Sheet1!$P$37:$P$44,COLUMN()-COLUMN($B$77)+1)</f>
        <v>10</v>
      </c>
      <c r="D79" s="22">
        <f>+INDEX(Sheet1!$P$37:$P$44,COLUMN()-COLUMN($B$77)+1)</f>
        <v>10</v>
      </c>
      <c r="E79" s="22">
        <f>+INDEX(Sheet1!$P$37:$P$44,COLUMN()-COLUMN($B$77)+1)</f>
        <v>10</v>
      </c>
      <c r="F79" s="22">
        <f>+INDEX(Sheet1!$P$37:$P$44,COLUMN()-COLUMN($B$77)+1)</f>
        <v>30</v>
      </c>
      <c r="G79" s="22">
        <f>+INDEX(Sheet1!$P$37:$P$44,COLUMN()-COLUMN($B$77)+1)</f>
        <v>30</v>
      </c>
      <c r="H79" s="22">
        <f>+INDEX(Sheet1!$P$37:$P$44,COLUMN()-COLUMN($B$77)+1)</f>
        <v>30</v>
      </c>
      <c r="I79" s="22">
        <f>+INDEX(Sheet1!$P$37:$P$44,COLUMN()-COLUMN($B$77)+1)</f>
        <v>100</v>
      </c>
    </row>
    <row r="81" spans="1:9">
      <c r="A81" t="s">
        <v>136</v>
      </c>
    </row>
    <row r="82" spans="1:9">
      <c r="A82" t="s">
        <v>226</v>
      </c>
      <c r="B82">
        <v>0</v>
      </c>
      <c r="C82">
        <v>1</v>
      </c>
      <c r="D82">
        <v>2</v>
      </c>
      <c r="E82">
        <v>3</v>
      </c>
      <c r="F82">
        <v>4</v>
      </c>
      <c r="G82">
        <v>5</v>
      </c>
      <c r="H82">
        <v>6</v>
      </c>
      <c r="I82">
        <v>7</v>
      </c>
    </row>
    <row r="83" spans="1:9">
      <c r="A83" t="s">
        <v>137</v>
      </c>
      <c r="B83" s="22">
        <f>+INDEX(Sheet1!$Q$37:$Q$44,COLUMN()-COLUMN($B$77)+1)</f>
        <v>-30</v>
      </c>
      <c r="C83" s="22">
        <f>+INDEX(Sheet1!$Q$37:$Q$44,COLUMN()-COLUMN($B$77)+1)</f>
        <v>30</v>
      </c>
      <c r="D83" s="22">
        <f>+INDEX(Sheet1!$Q$37:$Q$44,COLUMN()-COLUMN($B$77)+1)</f>
        <v>0</v>
      </c>
      <c r="E83" s="22">
        <f>+INDEX(Sheet1!$Q$37:$Q$44,COLUMN()-COLUMN($B$77)+1)</f>
        <v>45</v>
      </c>
      <c r="F83" s="22">
        <f>+INDEX(Sheet1!$Q$37:$Q$44,COLUMN()-COLUMN($B$77)+1)</f>
        <v>0</v>
      </c>
      <c r="G83" s="22">
        <f>+INDEX(Sheet1!$Q$37:$Q$44,COLUMN()-COLUMN($B$77)+1)</f>
        <v>0</v>
      </c>
      <c r="H83" s="22">
        <f>+INDEX(Sheet1!$Q$37:$Q$44,COLUMN()-COLUMN($B$77)+1)</f>
        <v>40</v>
      </c>
      <c r="I83" s="22">
        <f>+INDEX(Sheet1!$Q$37:$Q$44,COLUMN()-COLUMN($B$77)+1)</f>
        <v>0</v>
      </c>
    </row>
    <row r="84" spans="1:9">
      <c r="A84" t="s">
        <v>138</v>
      </c>
      <c r="B84" s="22">
        <f>+INDEX(Sheet1!$R$37:$R$44,COLUMN()-COLUMN($B$77)+1)</f>
        <v>10</v>
      </c>
      <c r="C84" s="22">
        <f>+INDEX(Sheet1!$R$37:$R$44,COLUMN()-COLUMN($B$77)+1)</f>
        <v>10</v>
      </c>
      <c r="D84" s="22">
        <f>+INDEX(Sheet1!$R$37:$R$44,COLUMN()-COLUMN($B$77)+1)</f>
        <v>10</v>
      </c>
      <c r="E84" s="22">
        <f>+INDEX(Sheet1!$R$37:$R$44,COLUMN()-COLUMN($B$77)+1)</f>
        <v>10</v>
      </c>
      <c r="F84" s="22">
        <f>+INDEX(Sheet1!$R$37:$R$44,COLUMN()-COLUMN($B$77)+1)</f>
        <v>30</v>
      </c>
      <c r="G84" s="22">
        <f>+INDEX(Sheet1!$R$37:$R$44,COLUMN()-COLUMN($B$77)+1)</f>
        <v>30</v>
      </c>
      <c r="H84" s="22">
        <f>+INDEX(Sheet1!$R$37:$R$44,COLUMN()-COLUMN($B$77)+1)</f>
        <v>30</v>
      </c>
      <c r="I84" s="22">
        <f>+INDEX(Sheet1!$R$37:$R$44,COLUMN()-COLUMN($B$77)+1)</f>
        <v>100</v>
      </c>
    </row>
    <row r="87" spans="1:9">
      <c r="A87" t="s">
        <v>105</v>
      </c>
    </row>
    <row r="88" spans="1:9">
      <c r="A8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P84"/>
  <sheetViews>
    <sheetView topLeftCell="A22" zoomScale="85" zoomScaleNormal="85" workbookViewId="0">
      <selection activeCell="M28" sqref="M2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8" spans="1:9">
      <c r="A28" t="s">
        <v>265</v>
      </c>
    </row>
    <row r="29" spans="1:9">
      <c r="A29" t="s">
        <v>266</v>
      </c>
    </row>
    <row r="30" spans="1:9">
      <c r="A30" t="s">
        <v>267</v>
      </c>
    </row>
    <row r="31" spans="1:9">
      <c r="A31" t="s">
        <v>268</v>
      </c>
    </row>
    <row r="32" spans="1:9">
      <c r="A32" t="s">
        <v>269</v>
      </c>
    </row>
    <row r="34" spans="1:9">
      <c r="A34" t="s">
        <v>102</v>
      </c>
    </row>
    <row r="35" spans="1:9">
      <c r="A35" t="s">
        <v>103</v>
      </c>
      <c r="B35">
        <v>8</v>
      </c>
      <c r="C35" t="s">
        <v>104</v>
      </c>
    </row>
    <row r="36" spans="1:9">
      <c r="A36" t="s">
        <v>250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7" spans="1:9">
      <c r="A37" t="s">
        <v>238</v>
      </c>
      <c r="B37">
        <v>100</v>
      </c>
      <c r="C37">
        <v>100</v>
      </c>
      <c r="D37">
        <v>100</v>
      </c>
      <c r="E37">
        <v>100</v>
      </c>
      <c r="F37">
        <v>100</v>
      </c>
      <c r="G37">
        <v>100</v>
      </c>
      <c r="H37">
        <v>100</v>
      </c>
      <c r="I37">
        <v>100</v>
      </c>
    </row>
    <row r="38" spans="1:9">
      <c r="A38" t="s">
        <v>105</v>
      </c>
    </row>
    <row r="39" spans="1:9">
      <c r="A39" t="s">
        <v>227</v>
      </c>
      <c r="B39">
        <v>0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</row>
    <row r="40" spans="1:9">
      <c r="A40" t="s">
        <v>216</v>
      </c>
      <c r="B40">
        <v>0</v>
      </c>
      <c r="C40">
        <v>1</v>
      </c>
      <c r="D40">
        <v>2</v>
      </c>
      <c r="E40">
        <v>3</v>
      </c>
      <c r="F40">
        <v>4</v>
      </c>
      <c r="G40">
        <v>5</v>
      </c>
      <c r="H40">
        <v>6</v>
      </c>
      <c r="I40">
        <v>7</v>
      </c>
    </row>
    <row r="42" spans="1:9">
      <c r="A42" t="s">
        <v>237</v>
      </c>
      <c r="B42" s="40">
        <f>+INDEX(Sheet1!$K$48:$K$56,COLUMN()-COLUMN($B$76)+1)</f>
        <v>-20.04</v>
      </c>
      <c r="C42" s="40">
        <f>+INDEX(Sheet1!$K$48:$K$56,COLUMN()-COLUMN($B$76)+1)</f>
        <v>-2.0555555555555554</v>
      </c>
      <c r="D42" s="40">
        <f>+INDEX(Sheet1!$K$48:$K$56,COLUMN()-COLUMN($B$76)+1)</f>
        <v>-2.4333333333333331</v>
      </c>
      <c r="E42" s="40">
        <f>+INDEX(Sheet1!$K$48:$K$56,COLUMN()-COLUMN($B$76)+1)</f>
        <v>-2.0555555555555554</v>
      </c>
      <c r="F42" s="40">
        <f>+INDEX(Sheet1!$K$48:$K$56,COLUMN()-COLUMN($B$76)+1)</f>
        <v>-2.5555555555555554</v>
      </c>
      <c r="G42" s="40">
        <f>+INDEX(Sheet1!$K$48:$K$56,COLUMN()-COLUMN($B$76)+1)</f>
        <v>-1.9777777777777779</v>
      </c>
      <c r="H42" s="40">
        <f>+INDEX(Sheet1!$K$48:$K$56,COLUMN()-COLUMN($B$76)+1)</f>
        <v>-2.5722222222222224</v>
      </c>
      <c r="I42" s="40">
        <f>+INDEX(Sheet1!$K$48:$K$56,COLUMN()-COLUMN($B$76)+1)</f>
        <v>-1.9962962962962962</v>
      </c>
    </row>
    <row r="43" spans="1:9">
      <c r="A43" t="s">
        <v>224</v>
      </c>
      <c r="B43" s="40">
        <f>+INDEX(Sheet1!$D$48:$D$56,COLUMN()-COLUMN($B$76)+1)</f>
        <v>-174.13173652694613</v>
      </c>
      <c r="C43" s="40">
        <f>+INDEX(Sheet1!$D$48:$D$56,COLUMN()-COLUMN($B$76)+1)</f>
        <v>-114.32432432432434</v>
      </c>
      <c r="D43" s="40">
        <f>+INDEX(Sheet1!$D$48:$D$56,COLUMN()-COLUMN($B$76)+1)</f>
        <v>-192.32876712328769</v>
      </c>
      <c r="E43" s="40">
        <f>+INDEX(Sheet1!$D$48:$D$56,COLUMN()-COLUMN($B$76)+1)</f>
        <v>-114.32432432432434</v>
      </c>
      <c r="F43" s="40">
        <f>+INDEX(Sheet1!$D$48:$D$56,COLUMN()-COLUMN($B$76)+1)</f>
        <v>-183.91304347826087</v>
      </c>
      <c r="G43" s="40">
        <f>+INDEX(Sheet1!$D$48:$D$56,COLUMN()-COLUMN($B$76)+1)</f>
        <v>-115.28089887640449</v>
      </c>
      <c r="H43" s="40">
        <f>+INDEX(Sheet1!$D$48:$D$56,COLUMN()-COLUMN($B$76)+1)</f>
        <v>-182.33261339092871</v>
      </c>
      <c r="I43" s="40">
        <f>+INDEX(Sheet1!$D$48:$D$56,COLUMN()-COLUMN($B$76)+1)</f>
        <v>-350.14842300556586</v>
      </c>
    </row>
    <row r="45" spans="1:9">
      <c r="A45" t="s">
        <v>106</v>
      </c>
      <c r="B45">
        <v>0</v>
      </c>
    </row>
    <row r="48" spans="1:9">
      <c r="A48" t="s">
        <v>151</v>
      </c>
    </row>
    <row r="49" spans="1:9">
      <c r="A49" t="s">
        <v>240</v>
      </c>
      <c r="B49">
        <v>8</v>
      </c>
      <c r="C49">
        <v>8</v>
      </c>
      <c r="D49">
        <v>8</v>
      </c>
      <c r="E49">
        <v>8</v>
      </c>
      <c r="F49">
        <v>8</v>
      </c>
      <c r="G49">
        <v>8</v>
      </c>
      <c r="H49">
        <v>8</v>
      </c>
      <c r="I49">
        <v>8</v>
      </c>
    </row>
    <row r="51" spans="1:9">
      <c r="A51" t="s">
        <v>152</v>
      </c>
    </row>
    <row r="52" spans="1:9">
      <c r="A52" t="s">
        <v>241</v>
      </c>
      <c r="B52">
        <v>0</v>
      </c>
      <c r="C52">
        <v>1</v>
      </c>
      <c r="D52">
        <v>2</v>
      </c>
      <c r="E52">
        <v>3</v>
      </c>
      <c r="F52">
        <v>4</v>
      </c>
      <c r="G52">
        <v>5</v>
      </c>
      <c r="H52">
        <v>6</v>
      </c>
      <c r="I52">
        <v>7</v>
      </c>
    </row>
    <row r="53" spans="1:9">
      <c r="A53" t="s">
        <v>233</v>
      </c>
      <c r="B53" s="22">
        <f>+INDEX([1]Sheet1!$H$48:$H$77,COLUMN()-COLUMN($B$76)+1)</f>
        <v>90</v>
      </c>
      <c r="C53" s="22">
        <f>+INDEX([1]Sheet1!$H$48:$H$77,COLUMN()-COLUMN($B$76)+1)</f>
        <v>90</v>
      </c>
      <c r="D53" s="22">
        <f>+INDEX([1]Sheet1!$H$48:$H$77,COLUMN()-COLUMN($B$76)+1)</f>
        <v>180</v>
      </c>
      <c r="E53" s="22">
        <f>+INDEX([1]Sheet1!$H$48:$H$77,COLUMN()-COLUMN($B$76)+1)</f>
        <v>90</v>
      </c>
      <c r="F53" s="22">
        <f>+INDEX([1]Sheet1!$H$48:$H$77,COLUMN()-COLUMN($B$76)+1)</f>
        <v>180</v>
      </c>
      <c r="G53" s="22">
        <f>+INDEX([1]Sheet1!$H$48:$H$77,COLUMN()-COLUMN($B$76)+1)</f>
        <v>90</v>
      </c>
      <c r="H53" s="22">
        <f>+INDEX([1]Sheet1!$H$48:$H$77,COLUMN()-COLUMN($B$76)+1)</f>
        <v>180</v>
      </c>
      <c r="I53" s="22">
        <f>+INDEX([1]Sheet1!$H$48:$H$77,COLUMN()-COLUMN($B$76)+1)</f>
        <v>270</v>
      </c>
    </row>
    <row r="54" spans="1:9">
      <c r="A54" t="s">
        <v>234</v>
      </c>
      <c r="B54" s="22">
        <f>+INDEX([1]Sheet1!$G$48:$G$77,COLUMN()-COLUMN($B$76)+1)</f>
        <v>-10</v>
      </c>
      <c r="C54" s="22">
        <f>+INDEX([1]Sheet1!$G$48:$G$77,COLUMN()-COLUMN($B$76)+1)</f>
        <v>0</v>
      </c>
      <c r="D54" s="22">
        <f>+INDEX([1]Sheet1!$G$48:$G$77,COLUMN()-COLUMN($B$76)+1)</f>
        <v>0</v>
      </c>
      <c r="E54" s="22">
        <f>+INDEX([1]Sheet1!$G$48:$G$77,COLUMN()-COLUMN($B$76)+1)</f>
        <v>0</v>
      </c>
      <c r="F54" s="22">
        <f>+INDEX([1]Sheet1!$G$48:$G$77,COLUMN()-COLUMN($B$76)+1)</f>
        <v>0</v>
      </c>
      <c r="G54" s="22">
        <f>+INDEX([1]Sheet1!$G$48:$G$77,COLUMN()-COLUMN($B$76)+1)</f>
        <v>0</v>
      </c>
      <c r="H54" s="22">
        <f>+INDEX([1]Sheet1!$G$48:$G$77,COLUMN()-COLUMN($B$76)+1)</f>
        <v>0</v>
      </c>
      <c r="I54" s="22">
        <f>+INDEX([1]Sheet1!$G$48:$G$77,COLUMN()-COLUMN($B$76)+1)</f>
        <v>0</v>
      </c>
    </row>
    <row r="56" spans="1:9">
      <c r="A56" t="s">
        <v>235</v>
      </c>
      <c r="B56">
        <v>485</v>
      </c>
      <c r="C56">
        <v>485</v>
      </c>
      <c r="D56">
        <v>485</v>
      </c>
      <c r="E56">
        <v>485</v>
      </c>
      <c r="F56">
        <v>485</v>
      </c>
      <c r="G56">
        <v>485</v>
      </c>
      <c r="H56">
        <v>485</v>
      </c>
      <c r="I56">
        <v>485</v>
      </c>
    </row>
    <row r="58" spans="1:9">
      <c r="A58" t="s">
        <v>116</v>
      </c>
    </row>
    <row r="59" spans="1:9">
      <c r="A59" t="s">
        <v>108</v>
      </c>
      <c r="B59" t="s">
        <v>109</v>
      </c>
      <c r="C59" t="s">
        <v>110</v>
      </c>
      <c r="D59" t="s">
        <v>111</v>
      </c>
      <c r="E59" t="s">
        <v>112</v>
      </c>
      <c r="F59" t="s">
        <v>113</v>
      </c>
      <c r="G59" t="s">
        <v>114</v>
      </c>
      <c r="H59" t="s">
        <v>115</v>
      </c>
    </row>
    <row r="60" spans="1:9">
      <c r="A60" t="s">
        <v>116</v>
      </c>
    </row>
    <row r="61" spans="1:9">
      <c r="A61" t="s">
        <v>117</v>
      </c>
      <c r="B61">
        <v>8000</v>
      </c>
      <c r="C61">
        <v>32000</v>
      </c>
      <c r="D61">
        <v>5</v>
      </c>
      <c r="E61" s="22">
        <f t="shared" ref="E61:F68" si="0">+$B$3</f>
        <v>1333</v>
      </c>
      <c r="F61" s="22">
        <f t="shared" si="0"/>
        <v>1333</v>
      </c>
      <c r="G61">
        <v>10</v>
      </c>
      <c r="H61">
        <v>0</v>
      </c>
    </row>
    <row r="62" spans="1:9">
      <c r="A62" t="s">
        <v>118</v>
      </c>
      <c r="B62">
        <v>-8000</v>
      </c>
      <c r="C62">
        <v>-32000</v>
      </c>
      <c r="D62">
        <v>-5</v>
      </c>
      <c r="E62" s="22">
        <f t="shared" si="0"/>
        <v>1333</v>
      </c>
      <c r="F62" s="22">
        <f t="shared" si="0"/>
        <v>1333</v>
      </c>
      <c r="G62">
        <v>10</v>
      </c>
      <c r="H62">
        <v>0</v>
      </c>
    </row>
    <row r="63" spans="1:9">
      <c r="A63" t="s">
        <v>119</v>
      </c>
      <c r="B63">
        <v>8000</v>
      </c>
      <c r="C63">
        <v>32000</v>
      </c>
      <c r="D63">
        <v>5</v>
      </c>
      <c r="E63" s="22">
        <f t="shared" si="0"/>
        <v>1333</v>
      </c>
      <c r="F63" s="22">
        <f t="shared" si="0"/>
        <v>1333</v>
      </c>
      <c r="G63">
        <v>10</v>
      </c>
      <c r="H63">
        <v>0</v>
      </c>
    </row>
    <row r="64" spans="1:9">
      <c r="A64" t="s">
        <v>120</v>
      </c>
      <c r="B64">
        <v>-8000</v>
      </c>
      <c r="C64">
        <v>-32000</v>
      </c>
      <c r="D64">
        <v>-5</v>
      </c>
      <c r="E64" s="22">
        <f t="shared" si="0"/>
        <v>1333</v>
      </c>
      <c r="F64" s="22">
        <f>+$B$3</f>
        <v>1333</v>
      </c>
      <c r="G64">
        <v>10</v>
      </c>
      <c r="H64">
        <v>0</v>
      </c>
    </row>
    <row r="65" spans="1:16">
      <c r="A65" t="s">
        <v>121</v>
      </c>
      <c r="B65">
        <v>8000</v>
      </c>
      <c r="C65">
        <v>32000</v>
      </c>
      <c r="D65">
        <v>5</v>
      </c>
      <c r="E65" s="22">
        <f t="shared" si="0"/>
        <v>1333</v>
      </c>
      <c r="F65" s="22">
        <f t="shared" si="0"/>
        <v>1333</v>
      </c>
      <c r="G65">
        <v>10</v>
      </c>
      <c r="H65">
        <v>0</v>
      </c>
    </row>
    <row r="66" spans="1:16">
      <c r="A66" t="s">
        <v>122</v>
      </c>
      <c r="B66">
        <v>-8000</v>
      </c>
      <c r="C66">
        <v>-32000</v>
      </c>
      <c r="D66">
        <v>-5</v>
      </c>
      <c r="E66" s="22">
        <f t="shared" si="0"/>
        <v>1333</v>
      </c>
      <c r="F66" s="22">
        <f t="shared" si="0"/>
        <v>1333</v>
      </c>
      <c r="G66">
        <v>10</v>
      </c>
      <c r="H66">
        <v>0</v>
      </c>
    </row>
    <row r="67" spans="1:16">
      <c r="A67" t="s">
        <v>123</v>
      </c>
      <c r="B67">
        <v>-8000</v>
      </c>
      <c r="C67">
        <v>-32000</v>
      </c>
      <c r="D67">
        <v>-5</v>
      </c>
      <c r="E67" s="22">
        <f t="shared" si="0"/>
        <v>1333</v>
      </c>
      <c r="F67" s="22">
        <f t="shared" si="0"/>
        <v>1333</v>
      </c>
      <c r="G67">
        <v>10</v>
      </c>
      <c r="H67">
        <v>0</v>
      </c>
    </row>
    <row r="68" spans="1:16">
      <c r="A68" t="s">
        <v>124</v>
      </c>
      <c r="B68">
        <v>-120</v>
      </c>
      <c r="C68">
        <v>-1250</v>
      </c>
      <c r="D68">
        <v>0</v>
      </c>
      <c r="E68" s="22">
        <f t="shared" si="0"/>
        <v>1333</v>
      </c>
      <c r="F68" s="22">
        <f t="shared" si="0"/>
        <v>1333</v>
      </c>
      <c r="G68">
        <v>5</v>
      </c>
      <c r="H68">
        <v>0</v>
      </c>
    </row>
    <row r="70" spans="1:16">
      <c r="A70" t="s">
        <v>129</v>
      </c>
      <c r="O70" s="22"/>
      <c r="P70" s="22"/>
    </row>
    <row r="71" spans="1:16">
      <c r="A71" t="s">
        <v>236</v>
      </c>
      <c r="B71">
        <v>0</v>
      </c>
      <c r="C71">
        <v>1</v>
      </c>
      <c r="D71">
        <v>2</v>
      </c>
      <c r="E71">
        <v>3</v>
      </c>
      <c r="F71">
        <v>4</v>
      </c>
      <c r="G71">
        <v>5</v>
      </c>
      <c r="H71">
        <v>6</v>
      </c>
      <c r="I71">
        <v>7</v>
      </c>
      <c r="O71" s="22"/>
      <c r="P71" s="22"/>
    </row>
    <row r="72" spans="1:16">
      <c r="A72" t="s">
        <v>130</v>
      </c>
      <c r="B72">
        <v>3</v>
      </c>
      <c r="C72">
        <v>4</v>
      </c>
      <c r="D72">
        <v>4</v>
      </c>
      <c r="E72">
        <v>4</v>
      </c>
      <c r="F72">
        <v>4</v>
      </c>
      <c r="G72">
        <v>4</v>
      </c>
      <c r="H72">
        <v>4</v>
      </c>
      <c r="I72">
        <v>4</v>
      </c>
      <c r="O72" s="22"/>
      <c r="P72" s="22"/>
    </row>
    <row r="73" spans="1:16">
      <c r="A73" t="s">
        <v>131</v>
      </c>
      <c r="B73" s="22">
        <f>+INDEX(Sheet1!$L$48:$L$56,COLUMN()-COLUMN($B$74)+1)</f>
        <v>3489.6000000000004</v>
      </c>
      <c r="C73" s="22">
        <f>+INDEX(Sheet1!$L$48:$L$56,COLUMN()-COLUMN($B$74)+1)</f>
        <v>235</v>
      </c>
      <c r="D73" s="22">
        <f>+INDEX(Sheet1!$L$48:$L$56,COLUMN()-COLUMN($B$74)+1)</f>
        <v>30</v>
      </c>
      <c r="E73" s="22">
        <f>+INDEX(Sheet1!$L$48:$L$56,COLUMN()-COLUMN($B$74)+1)</f>
        <v>235</v>
      </c>
      <c r="F73" s="22">
        <f>+INDEX(Sheet1!$L$48:$L$56,COLUMN()-COLUMN($B$74)+1)</f>
        <v>10</v>
      </c>
      <c r="G73" s="22">
        <f>+INDEX(Sheet1!$L$48:$L$56,COLUMN()-COLUMN($B$74)+1)</f>
        <v>228</v>
      </c>
      <c r="H73" s="22">
        <f>+INDEX(Sheet1!$L$48:$L$56,COLUMN()-COLUMN($B$74)+1)</f>
        <v>6</v>
      </c>
      <c r="I73" s="22">
        <f>+INDEX(Sheet1!$L$48:$L$56,COLUMN()-COLUMN($B$74)+1)</f>
        <v>699</v>
      </c>
      <c r="O73" s="22"/>
      <c r="P73" s="22"/>
    </row>
    <row r="74" spans="1:16">
      <c r="A74" t="s">
        <v>132</v>
      </c>
      <c r="B74" s="22">
        <f>+INDEX(Sheet1!$M$48:$M$56,COLUMN()-COLUMN($B$74)+1)</f>
        <v>10</v>
      </c>
      <c r="C74" s="22">
        <f>+INDEX(Sheet1!$M$48:$M$56,COLUMN()-COLUMN($B$74)+1)</f>
        <v>10</v>
      </c>
      <c r="D74" s="22">
        <f>+INDEX(Sheet1!$M$48:$M$56,COLUMN()-COLUMN($B$74)+1)</f>
        <v>10</v>
      </c>
      <c r="E74" s="22">
        <f>+INDEX(Sheet1!$M$48:$M$56,COLUMN()-COLUMN($B$74)+1)</f>
        <v>10</v>
      </c>
      <c r="F74" s="22">
        <f>+INDEX(Sheet1!$M$48:$M$56,COLUMN()-COLUMN($B$74)+1)</f>
        <v>10</v>
      </c>
      <c r="G74" s="22">
        <f>+INDEX(Sheet1!$M$48:$M$56,COLUMN()-COLUMN($B$74)+1)</f>
        <v>10</v>
      </c>
      <c r="H74" s="22">
        <f>+INDEX(Sheet1!$M$48:$M$56,COLUMN()-COLUMN($B$74)+1)</f>
        <v>10</v>
      </c>
      <c r="I74" s="22">
        <f>+INDEX(Sheet1!$M$48:$M$56,COLUMN()-COLUMN($B$74)+1)</f>
        <v>10</v>
      </c>
      <c r="O74" s="22"/>
      <c r="P74" s="22"/>
    </row>
    <row r="75" spans="1:16">
      <c r="A75" t="s">
        <v>133</v>
      </c>
      <c r="B75" s="22">
        <f>+INDEX(Sheet1!$N$48:$N$56,COLUMN()-COLUMN($B$74)+1)</f>
        <v>0</v>
      </c>
      <c r="C75" s="22">
        <f>+INDEX(Sheet1!$N$48:$N$56,COLUMN()-COLUMN($B$74)+1)</f>
        <v>6000</v>
      </c>
      <c r="D75" s="22">
        <f>+INDEX(Sheet1!$N$48:$N$56,COLUMN()-COLUMN($B$74)+1)</f>
        <v>6600</v>
      </c>
      <c r="E75" s="22">
        <f>+INDEX(Sheet1!$N$48:$N$56,COLUMN()-COLUMN($B$74)+1)</f>
        <v>6000</v>
      </c>
      <c r="F75" s="22">
        <f>+INDEX(Sheet1!$N$48:$N$56,COLUMN()-COLUMN($B$74)+1)</f>
        <v>6600</v>
      </c>
      <c r="G75" s="22">
        <f>+INDEX(Sheet1!$N$48:$N$56,COLUMN()-COLUMN($B$74)+1)</f>
        <v>6000</v>
      </c>
      <c r="H75" s="22">
        <f>+INDEX(Sheet1!$N$48:$N$56,COLUMN()-COLUMN($B$74)+1)</f>
        <v>-6600</v>
      </c>
      <c r="I75" s="22">
        <f>+INDEX(Sheet1!$N$48:$N$56,COLUMN()-COLUMN($B$74)+1)</f>
        <v>26000</v>
      </c>
      <c r="O75" s="22"/>
      <c r="P75" s="22"/>
    </row>
    <row r="76" spans="1:16">
      <c r="A76" t="s">
        <v>134</v>
      </c>
      <c r="B76" s="22">
        <f>+INDEX(Sheet1!$O$48:$O$56,COLUMN()-COLUMN($B$74)+1)</f>
        <v>0</v>
      </c>
      <c r="C76" s="22">
        <f>+INDEX(Sheet1!$O$48:$O$56,COLUMN()-COLUMN($B$74)+1)</f>
        <v>0</v>
      </c>
      <c r="D76" s="22">
        <f>+INDEX(Sheet1!$O$48:$O$56,COLUMN()-COLUMN($B$74)+1)</f>
        <v>0</v>
      </c>
      <c r="E76" s="22">
        <f>+INDEX(Sheet1!$O$48:$O$56,COLUMN()-COLUMN($B$74)+1)</f>
        <v>0</v>
      </c>
      <c r="F76" s="22">
        <f>+INDEX(Sheet1!$O$48:$O$56,COLUMN()-COLUMN($B$74)+1)</f>
        <v>0</v>
      </c>
      <c r="G76" s="22">
        <f>+INDEX(Sheet1!$O$48:$O$56,COLUMN()-COLUMN($B$74)+1)</f>
        <v>0</v>
      </c>
      <c r="H76" s="22">
        <f>+INDEX(Sheet1!$O$48:$O$56,COLUMN()-COLUMN($B$74)+1)</f>
        <v>0</v>
      </c>
      <c r="I76" s="22">
        <f>+INDEX(Sheet1!$O$48:$O$56,COLUMN()-COLUMN($B$74)+1)</f>
        <v>0</v>
      </c>
      <c r="O76" s="22"/>
      <c r="P76" s="22"/>
    </row>
    <row r="77" spans="1:16">
      <c r="A77" t="s">
        <v>135</v>
      </c>
      <c r="B77" s="22">
        <f>+INDEX(Sheet1!$P$48:$P$56,COLUMN()-COLUMN($B$74)+1)</f>
        <v>100</v>
      </c>
      <c r="C77" s="22">
        <f>+INDEX(Sheet1!$P$48:$P$56,COLUMN()-COLUMN($B$74)+1)</f>
        <v>100</v>
      </c>
      <c r="D77" s="22">
        <f>+INDEX(Sheet1!$P$48:$P$56,COLUMN()-COLUMN($B$74)+1)</f>
        <v>100</v>
      </c>
      <c r="E77" s="22">
        <f>+INDEX(Sheet1!$P$48:$P$56,COLUMN()-COLUMN($B$74)+1)</f>
        <v>100</v>
      </c>
      <c r="F77" s="22">
        <f>+INDEX(Sheet1!$P$48:$P$56,COLUMN()-COLUMN($B$74)+1)</f>
        <v>100</v>
      </c>
      <c r="G77" s="22">
        <f>+INDEX(Sheet1!$P$48:$P$56,COLUMN()-COLUMN($B$74)+1)</f>
        <v>100</v>
      </c>
      <c r="H77" s="22">
        <f>+INDEX(Sheet1!$P$48:$P$56,COLUMN()-COLUMN($B$74)+1)</f>
        <v>100</v>
      </c>
      <c r="I77" s="22">
        <f>+INDEX(Sheet1!$P$48:$P$56,COLUMN()-COLUMN($B$74)+1)</f>
        <v>100</v>
      </c>
      <c r="O77" s="22"/>
      <c r="P77" s="22"/>
    </row>
    <row r="79" spans="1:16">
      <c r="A79" t="s">
        <v>136</v>
      </c>
    </row>
    <row r="80" spans="1:16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137</v>
      </c>
      <c r="B81" s="22">
        <f>+INDEX(Sheet1!$Q$48:$Q$56,COLUMN()-COLUMN($B$74)+1)</f>
        <v>0</v>
      </c>
      <c r="C81" s="22">
        <f>+INDEX(Sheet1!$Q$48:$Q$56,COLUMN()-COLUMN($B$74)+1)</f>
        <v>0</v>
      </c>
      <c r="D81" s="22">
        <f>+INDEX(Sheet1!$Q$48:$Q$56,COLUMN()-COLUMN($B$74)+1)</f>
        <v>0</v>
      </c>
      <c r="E81" s="22">
        <f>+INDEX(Sheet1!$Q$48:$Q$56,COLUMN()-COLUMN($B$74)+1)</f>
        <v>0</v>
      </c>
      <c r="F81" s="22">
        <f>+INDEX(Sheet1!$Q$48:$Q$56,COLUMN()-COLUMN($B$74)+1)</f>
        <v>0</v>
      </c>
      <c r="G81" s="22">
        <f>+INDEX(Sheet1!$Q$48:$Q$56,COLUMN()-COLUMN($B$74)+1)</f>
        <v>0</v>
      </c>
      <c r="H81" s="22">
        <f>+INDEX(Sheet1!$Q$48:$Q$56,COLUMN()-COLUMN($B$74)+1)</f>
        <v>0</v>
      </c>
      <c r="I81" s="22">
        <f>+INDEX(Sheet1!$Q$48:$Q$56,COLUMN()-COLUMN($B$74)+1)</f>
        <v>0</v>
      </c>
    </row>
    <row r="82" spans="1:9">
      <c r="A82" t="s">
        <v>138</v>
      </c>
      <c r="B82" s="22">
        <f>+INDEX(Sheet1!$R$48:$R$56,COLUMN()-COLUMN($B$74)+1)</f>
        <v>10</v>
      </c>
      <c r="C82" s="22">
        <f>+INDEX(Sheet1!$R$48:$R$56,COLUMN()-COLUMN($B$74)+1)</f>
        <v>10</v>
      </c>
      <c r="D82" s="22">
        <f>+INDEX(Sheet1!$R$48:$R$56,COLUMN()-COLUMN($B$74)+1)</f>
        <v>10</v>
      </c>
      <c r="E82" s="22">
        <f>+INDEX(Sheet1!$R$48:$R$56,COLUMN()-COLUMN($B$74)+1)</f>
        <v>10</v>
      </c>
      <c r="F82" s="22">
        <f>+INDEX(Sheet1!$R$48:$R$56,COLUMN()-COLUMN($B$74)+1)</f>
        <v>10</v>
      </c>
      <c r="G82" s="22">
        <f>+INDEX(Sheet1!$R$48:$R$56,COLUMN()-COLUMN($B$74)+1)</f>
        <v>10</v>
      </c>
      <c r="H82" s="22">
        <f>+INDEX(Sheet1!$R$48:$R$56,COLUMN()-COLUMN($B$74)+1)</f>
        <v>10</v>
      </c>
      <c r="I82" s="22">
        <f>+INDEX(Sheet1!$R$48:$R$56,COLUMN()-COLUMN($B$74)+1)</f>
        <v>10</v>
      </c>
    </row>
    <row r="83" spans="1:9">
      <c r="A83" t="s">
        <v>105</v>
      </c>
    </row>
    <row r="84" spans="1:9">
      <c r="A8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87"/>
  <sheetViews>
    <sheetView topLeftCell="A10" zoomScale="75" zoomScaleNormal="75" workbookViewId="0">
      <selection activeCell="A36" sqref="A36:P39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0" spans="1:9">
      <c r="A30" t="s">
        <v>261</v>
      </c>
    </row>
    <row r="31" spans="1:9">
      <c r="A31" t="s">
        <v>256</v>
      </c>
    </row>
    <row r="32" spans="1:9">
      <c r="A32" t="s">
        <v>257</v>
      </c>
    </row>
    <row r="33" spans="1:9">
      <c r="A33" t="s">
        <v>264</v>
      </c>
    </row>
    <row r="34" spans="1:9">
      <c r="A34" t="s">
        <v>271</v>
      </c>
    </row>
    <row r="37" spans="1:9">
      <c r="A37" t="s">
        <v>102</v>
      </c>
    </row>
    <row r="38" spans="1:9">
      <c r="A38" t="s">
        <v>103</v>
      </c>
      <c r="B38">
        <v>8</v>
      </c>
      <c r="C38" t="s">
        <v>104</v>
      </c>
    </row>
    <row r="39" spans="1:9">
      <c r="A39" t="s">
        <v>228</v>
      </c>
      <c r="B39">
        <v>0</v>
      </c>
      <c r="C39">
        <v>1</v>
      </c>
      <c r="D39">
        <v>2</v>
      </c>
      <c r="E39">
        <v>3</v>
      </c>
      <c r="F39">
        <v>4</v>
      </c>
      <c r="G39">
        <v>5</v>
      </c>
      <c r="H39">
        <v>6</v>
      </c>
      <c r="I39">
        <v>7</v>
      </c>
    </row>
    <row r="40" spans="1:9">
      <c r="A40" t="s">
        <v>229</v>
      </c>
      <c r="B40">
        <v>100</v>
      </c>
      <c r="C40">
        <v>100</v>
      </c>
      <c r="D40">
        <v>100</v>
      </c>
      <c r="E40">
        <v>100</v>
      </c>
      <c r="F40">
        <v>100</v>
      </c>
      <c r="G40">
        <v>100</v>
      </c>
      <c r="H40">
        <v>100</v>
      </c>
      <c r="I40">
        <v>100</v>
      </c>
    </row>
    <row r="41" spans="1:9">
      <c r="A41" t="s">
        <v>105</v>
      </c>
    </row>
    <row r="42" spans="1:9">
      <c r="A42" t="s">
        <v>227</v>
      </c>
      <c r="B42"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</row>
    <row r="43" spans="1:9">
      <c r="A43" t="s">
        <v>232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5" spans="1:9">
      <c r="A45" t="s">
        <v>225</v>
      </c>
      <c r="B45" s="22">
        <f>+INDEX(Sheet1!$K$59:$K$67,COLUMN()-COLUMN($B$79)+1)</f>
        <v>11.375</v>
      </c>
      <c r="C45" s="22">
        <f>+INDEX(Sheet1!$K$59:$K$67,COLUMN()-COLUMN($B$79)+1)</f>
        <v>11.375</v>
      </c>
      <c r="D45" s="22">
        <f>+INDEX(Sheet1!$K$59:$K$67,COLUMN()-COLUMN($B$79)+1)</f>
        <v>11.375</v>
      </c>
      <c r="E45" s="22">
        <f>+INDEX(Sheet1!$K$59:$K$67,COLUMN()-COLUMN($B$79)+1)</f>
        <v>11.375</v>
      </c>
      <c r="F45" s="22">
        <f>+INDEX(Sheet1!$K$59:$K$67,COLUMN()-COLUMN($B$79)+1)</f>
        <v>706.67</v>
      </c>
      <c r="G45" s="22">
        <f>+INDEX(Sheet1!$K$59:$K$67,COLUMN()-COLUMN($B$79)+1)</f>
        <v>978.46</v>
      </c>
      <c r="H45" s="22">
        <f>+INDEX(Sheet1!$K$59:$K$67,COLUMN()-COLUMN($B$79)+1)</f>
        <v>978.46</v>
      </c>
      <c r="I45" s="22">
        <f>+INDEX(Sheet1!$K$59:$K$67,COLUMN()-COLUMN($B$79)+1)</f>
        <v>2.5</v>
      </c>
    </row>
    <row r="46" spans="1:9">
      <c r="A46" t="s">
        <v>224</v>
      </c>
      <c r="B46" s="22">
        <f>+INDEX(Sheet1!$D$59:$D$66,COLUMN()-COLUMN($B$79)+1)</f>
        <v>180</v>
      </c>
      <c r="C46" s="22">
        <f>+INDEX(Sheet1!$D$59:$D$66,COLUMN()-COLUMN($B$79)+1)</f>
        <v>45</v>
      </c>
      <c r="D46" s="22">
        <f>+INDEX(Sheet1!$D$59:$D$66,COLUMN()-COLUMN($B$79)+1)</f>
        <v>245.74218089602704</v>
      </c>
      <c r="E46" s="22">
        <f>+INDEX(Sheet1!$D$59:$D$66,COLUMN()-COLUMN($B$79)+1)</f>
        <v>180</v>
      </c>
      <c r="F46" s="22">
        <f>+INDEX(Sheet1!$D$59:$D$66,COLUMN()-COLUMN($B$79)+1)</f>
        <v>90</v>
      </c>
      <c r="G46" s="22">
        <f>+INDEX(Sheet1!$D$59:$D$66,COLUMN()-COLUMN($B$79)+1)</f>
        <v>-20</v>
      </c>
      <c r="H46" s="22">
        <f>+INDEX(Sheet1!$D$59:$D$66,COLUMN()-COLUMN($B$79)+1)</f>
        <v>-52</v>
      </c>
      <c r="I46" s="22">
        <f>+INDEX(Sheet1!$D$59:$D$66,COLUMN()-COLUMN($B$79)+1)</f>
        <v>744</v>
      </c>
    </row>
    <row r="48" spans="1:9">
      <c r="A48" t="s">
        <v>106</v>
      </c>
      <c r="B48">
        <v>0</v>
      </c>
    </row>
    <row r="50" spans="1:9">
      <c r="A50" t="s">
        <v>151</v>
      </c>
    </row>
    <row r="51" spans="1:9">
      <c r="A51" t="s">
        <v>240</v>
      </c>
      <c r="B51">
        <v>8</v>
      </c>
      <c r="C51">
        <v>8</v>
      </c>
      <c r="D51">
        <v>8</v>
      </c>
      <c r="E51">
        <v>8</v>
      </c>
      <c r="F51">
        <v>8</v>
      </c>
      <c r="G51">
        <v>8</v>
      </c>
      <c r="H51">
        <v>8</v>
      </c>
      <c r="I51">
        <v>8</v>
      </c>
    </row>
    <row r="53" spans="1:9">
      <c r="A53" t="s">
        <v>227</v>
      </c>
      <c r="B53">
        <v>0</v>
      </c>
      <c r="C53">
        <v>1</v>
      </c>
      <c r="D53">
        <v>2</v>
      </c>
      <c r="E53">
        <v>3</v>
      </c>
      <c r="F53">
        <v>4</v>
      </c>
      <c r="G53">
        <v>5</v>
      </c>
      <c r="H53">
        <v>6</v>
      </c>
      <c r="I53">
        <v>7</v>
      </c>
    </row>
    <row r="54" spans="1:9">
      <c r="A54" t="s">
        <v>107</v>
      </c>
    </row>
    <row r="55" spans="1:9">
      <c r="A55" t="s">
        <v>230</v>
      </c>
      <c r="B55" s="22">
        <f>+INDEX(Sheet1!$H$59:$H$67,COLUMN()-COLUMN($B$79)+1)</f>
        <v>10</v>
      </c>
      <c r="C55" s="22">
        <f>+INDEX(Sheet1!$H$59:$H$67,COLUMN()-COLUMN($B$79)+1)</f>
        <v>161</v>
      </c>
      <c r="D55" s="22">
        <f>+INDEX(Sheet1!$H$59:$H$67,COLUMN()-COLUMN($B$79)+1)</f>
        <v>80</v>
      </c>
      <c r="E55" s="22">
        <f>+INDEX(Sheet1!$H$59:$H$67,COLUMN()-COLUMN($B$79)+1)</f>
        <v>106</v>
      </c>
      <c r="F55" s="22">
        <f>+INDEX(Sheet1!$H$59:$H$67,COLUMN()-COLUMN($B$79)+1)</f>
        <v>90</v>
      </c>
      <c r="G55" s="22">
        <f>+INDEX(Sheet1!$H$59:$H$67,COLUMN()-COLUMN($B$79)+1)</f>
        <v>0</v>
      </c>
      <c r="H55" s="22">
        <f>+INDEX(Sheet1!$H$59:$H$67,COLUMN()-COLUMN($B$79)+1)</f>
        <v>40</v>
      </c>
      <c r="I55" s="22">
        <f>+INDEX(Sheet1!$H$59:$H$67,COLUMN()-COLUMN($B$79)+1)</f>
        <v>60</v>
      </c>
    </row>
    <row r="56" spans="1:9">
      <c r="A56" t="s">
        <v>231</v>
      </c>
      <c r="B56" s="22">
        <f>+INDEX(Sheet1!$G$59:$G$66,COLUMN()-COLUMN($B$79)+1)</f>
        <v>-95.5</v>
      </c>
      <c r="C56" s="22">
        <f>+INDEX(Sheet1!$G$59:$G$66,COLUMN()-COLUMN($B$79)+1)</f>
        <v>0</v>
      </c>
      <c r="D56" s="22">
        <f>+INDEX(Sheet1!$G$59:$G$66,COLUMN()-COLUMN($B$79)+1)</f>
        <v>-37</v>
      </c>
      <c r="E56" s="22">
        <f>+INDEX(Sheet1!$G$59:$G$66,COLUMN()-COLUMN($B$79)+1)</f>
        <v>5.5</v>
      </c>
      <c r="F56" s="22">
        <f>+INDEX(Sheet1!$G$59:$G$66,COLUMN()-COLUMN($B$79)+1)</f>
        <v>-90</v>
      </c>
      <c r="G56" s="22">
        <f>+INDEX(Sheet1!$G$59:$G$66,COLUMN()-COLUMN($B$79)+1)</f>
        <v>-90</v>
      </c>
      <c r="H56" s="22">
        <f>+INDEX(Sheet1!$G$59:$G$66,COLUMN()-COLUMN($B$79)+1)</f>
        <v>-20</v>
      </c>
      <c r="I56" s="22">
        <f>+INDEX(Sheet1!$G$59:$G$66,COLUMN()-COLUMN($B$79)+1)</f>
        <v>0</v>
      </c>
    </row>
    <row r="59" spans="1:9">
      <c r="A59" t="s">
        <v>226</v>
      </c>
    </row>
    <row r="60" spans="1:9">
      <c r="A60" t="s">
        <v>220</v>
      </c>
      <c r="B60" s="22">
        <f>$B$5</f>
        <v>7000</v>
      </c>
      <c r="C60" s="22">
        <f>$B$5</f>
        <v>7000</v>
      </c>
      <c r="D60" s="22">
        <f>$B$5</f>
        <v>7000</v>
      </c>
      <c r="E60" s="22">
        <f>$B$5</f>
        <v>7000</v>
      </c>
      <c r="F60">
        <v>400</v>
      </c>
      <c r="G60">
        <v>400</v>
      </c>
      <c r="H60">
        <v>400</v>
      </c>
      <c r="I60">
        <v>400</v>
      </c>
    </row>
    <row r="62" spans="1:9">
      <c r="A62" t="s">
        <v>108</v>
      </c>
      <c r="B62" t="s">
        <v>109</v>
      </c>
      <c r="C62" t="s">
        <v>110</v>
      </c>
      <c r="D62" t="s">
        <v>111</v>
      </c>
      <c r="E62" t="s">
        <v>112</v>
      </c>
      <c r="F62" t="s">
        <v>113</v>
      </c>
      <c r="G62" t="s">
        <v>114</v>
      </c>
      <c r="H62" t="s">
        <v>115</v>
      </c>
    </row>
    <row r="63" spans="1:9">
      <c r="A63" t="s">
        <v>116</v>
      </c>
    </row>
    <row r="64" spans="1:9">
      <c r="A64" t="s">
        <v>117</v>
      </c>
      <c r="B64">
        <v>32000</v>
      </c>
      <c r="C64">
        <v>50</v>
      </c>
      <c r="D64">
        <v>60</v>
      </c>
      <c r="E64" s="22">
        <f t="shared" ref="E64:F71" si="0">+$B$2</f>
        <v>1333</v>
      </c>
      <c r="F64" s="22">
        <f t="shared" si="0"/>
        <v>1333</v>
      </c>
      <c r="G64">
        <v>13</v>
      </c>
      <c r="H64">
        <v>0</v>
      </c>
    </row>
    <row r="65" spans="1:9">
      <c r="A65" t="s">
        <v>118</v>
      </c>
      <c r="B65">
        <v>32000</v>
      </c>
      <c r="C65">
        <v>50</v>
      </c>
      <c r="D65">
        <v>60</v>
      </c>
      <c r="E65" s="22">
        <f t="shared" si="0"/>
        <v>1333</v>
      </c>
      <c r="F65" s="22">
        <f t="shared" si="0"/>
        <v>1333</v>
      </c>
      <c r="G65">
        <v>13</v>
      </c>
      <c r="H65">
        <v>0</v>
      </c>
    </row>
    <row r="66" spans="1:9">
      <c r="A66" t="s">
        <v>119</v>
      </c>
      <c r="B66">
        <v>10000</v>
      </c>
      <c r="C66">
        <v>0</v>
      </c>
      <c r="D66">
        <v>10</v>
      </c>
      <c r="E66" s="22">
        <f t="shared" si="0"/>
        <v>1333</v>
      </c>
      <c r="F66" s="22">
        <f t="shared" si="0"/>
        <v>1333</v>
      </c>
      <c r="G66">
        <v>13</v>
      </c>
      <c r="H66">
        <v>0</v>
      </c>
    </row>
    <row r="67" spans="1:9">
      <c r="A67" t="s">
        <v>120</v>
      </c>
      <c r="B67">
        <v>32000</v>
      </c>
      <c r="C67">
        <v>20</v>
      </c>
      <c r="D67">
        <v>60</v>
      </c>
      <c r="E67" s="22">
        <f t="shared" si="0"/>
        <v>1333</v>
      </c>
      <c r="F67" s="22">
        <f t="shared" si="0"/>
        <v>1333</v>
      </c>
      <c r="G67">
        <v>13</v>
      </c>
      <c r="H67">
        <v>0</v>
      </c>
    </row>
    <row r="68" spans="1:9">
      <c r="A68" t="s">
        <v>121</v>
      </c>
      <c r="B68">
        <v>200</v>
      </c>
      <c r="C68">
        <v>1000</v>
      </c>
      <c r="D68">
        <v>1</v>
      </c>
      <c r="E68" s="22">
        <f t="shared" si="0"/>
        <v>1333</v>
      </c>
      <c r="F68" s="22">
        <f t="shared" si="0"/>
        <v>1333</v>
      </c>
      <c r="G68">
        <v>6</v>
      </c>
      <c r="H68">
        <v>0</v>
      </c>
    </row>
    <row r="69" spans="1:9">
      <c r="A69" t="s">
        <v>122</v>
      </c>
      <c r="B69">
        <v>100</v>
      </c>
      <c r="C69">
        <v>100</v>
      </c>
      <c r="D69">
        <v>2</v>
      </c>
      <c r="E69" s="22">
        <f t="shared" si="0"/>
        <v>1333</v>
      </c>
      <c r="F69" s="22">
        <f t="shared" si="0"/>
        <v>1333</v>
      </c>
      <c r="G69">
        <v>6</v>
      </c>
      <c r="H69">
        <v>0</v>
      </c>
    </row>
    <row r="70" spans="1:9">
      <c r="A70" t="s">
        <v>123</v>
      </c>
      <c r="B70">
        <v>100</v>
      </c>
      <c r="C70">
        <v>100</v>
      </c>
      <c r="D70">
        <v>2</v>
      </c>
      <c r="E70" s="22">
        <f t="shared" si="0"/>
        <v>1333</v>
      </c>
      <c r="F70" s="22">
        <f t="shared" si="0"/>
        <v>1333</v>
      </c>
      <c r="G70">
        <v>6</v>
      </c>
      <c r="H70">
        <v>0</v>
      </c>
    </row>
    <row r="71" spans="1:9">
      <c r="A71" t="s">
        <v>124</v>
      </c>
      <c r="B71">
        <v>200</v>
      </c>
      <c r="C71">
        <v>200</v>
      </c>
      <c r="D71">
        <v>1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3" spans="1:9">
      <c r="A73" t="s">
        <v>129</v>
      </c>
    </row>
    <row r="74" spans="1:9">
      <c r="A74" t="s">
        <v>226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130</v>
      </c>
      <c r="B75">
        <v>3</v>
      </c>
      <c r="C75">
        <v>3</v>
      </c>
      <c r="D75">
        <v>3</v>
      </c>
      <c r="E75">
        <v>3</v>
      </c>
      <c r="F75">
        <v>0</v>
      </c>
      <c r="G75">
        <v>2</v>
      </c>
      <c r="H75">
        <v>2</v>
      </c>
      <c r="I75">
        <v>3</v>
      </c>
    </row>
    <row r="76" spans="1:9">
      <c r="A76" t="s">
        <v>131</v>
      </c>
      <c r="B76" s="22">
        <f>+INDEX(Sheet1!$L$59:$L$66,COLUMN()-COLUMN($B$79)+1)</f>
        <v>1706.25</v>
      </c>
      <c r="C76" s="22">
        <f>+INDEX(Sheet1!$L$59:$L$66,COLUMN()-COLUMN($B$79)+1)</f>
        <v>853.125</v>
      </c>
      <c r="D76" s="22">
        <f>+INDEX(Sheet1!$L$59:$L$66,COLUMN()-COLUMN($B$79)+1)</f>
        <v>2795.3173076923076</v>
      </c>
      <c r="E76" s="22">
        <f>+INDEX(Sheet1!$L$59:$L$66,COLUMN()-COLUMN($B$79)+1)</f>
        <v>2558</v>
      </c>
      <c r="F76" s="22">
        <v>550</v>
      </c>
      <c r="G76" s="22">
        <f>+INDEX(Sheet1!$L$59:$L$66,COLUMN()-COLUMN($B$79)+1)</f>
        <v>650</v>
      </c>
      <c r="H76" s="22">
        <f>+INDEX(Sheet1!$L$59:$L$66,COLUMN()-COLUMN($B$79)+1)</f>
        <v>650</v>
      </c>
      <c r="I76" s="22">
        <f>+INDEX(Sheet1!$L$59:$L$66,COLUMN()-COLUMN($B$79)+1)</f>
        <v>1860</v>
      </c>
    </row>
    <row r="77" spans="1:9">
      <c r="A77" t="s">
        <v>132</v>
      </c>
      <c r="B77" s="22">
        <f>+INDEX(Sheet1!$M$59:$M$66,COLUMN()-COLUMN($B$79)+1)</f>
        <v>10</v>
      </c>
      <c r="C77" s="22">
        <f>+INDEX(Sheet1!$M$59:$M$66,COLUMN()-COLUMN($B$79)+1)</f>
        <v>10</v>
      </c>
      <c r="D77" s="22">
        <f>+INDEX(Sheet1!$M$59:$M$66,COLUMN()-COLUMN($B$79)+1)</f>
        <v>10</v>
      </c>
      <c r="E77" s="22">
        <f>+INDEX(Sheet1!$M$59:$M$66,COLUMN()-COLUMN($B$79)+1)</f>
        <v>10</v>
      </c>
      <c r="F77" s="22">
        <f>+INDEX(Sheet1!$M$59:$M$66,COLUMN()-COLUMN($B$79)+1)</f>
        <v>-20</v>
      </c>
      <c r="G77" s="22">
        <f>+INDEX(Sheet1!$M$59:$M$66,COLUMN()-COLUMN($B$79)+1)</f>
        <v>10</v>
      </c>
      <c r="H77" s="22">
        <f>+INDEX(Sheet1!$M$59:$M$66,COLUMN()-COLUMN($B$79)+1)</f>
        <v>10</v>
      </c>
      <c r="I77" s="22">
        <f>+INDEX(Sheet1!$M$59:$M$66,COLUMN()-COLUMN($B$79)+1)</f>
        <v>100</v>
      </c>
    </row>
    <row r="78" spans="1:9">
      <c r="A78" t="s">
        <v>133</v>
      </c>
      <c r="B78" s="22">
        <f>+INDEX(Sheet1!$N$59:$N$66,COLUMN()-COLUMN($B$79)+1)</f>
        <v>3412.5</v>
      </c>
      <c r="C78" s="22">
        <f>+INDEX(Sheet1!$N$59:$N$66,COLUMN()-COLUMN($B$79)+1)</f>
        <v>2711.7999999999997</v>
      </c>
      <c r="D78" s="22">
        <f>+INDEX(Sheet1!$N$59:$N$66,COLUMN()-COLUMN($B$79)+1)</f>
        <v>695.58124999999905</v>
      </c>
      <c r="E78" s="22">
        <f>+INDEX(Sheet1!$N$59:$N$66,COLUMN()-COLUMN($B$79)+1)</f>
        <v>2536.625</v>
      </c>
      <c r="F78" s="22">
        <f>+INDEX(Sheet1!$N$59:$N$66,COLUMN()-COLUMN($B$79)+1)</f>
        <v>0</v>
      </c>
      <c r="G78" s="22">
        <f>+INDEX(Sheet1!$N$59:$N$66,COLUMN()-COLUMN($B$79)+1)</f>
        <v>0</v>
      </c>
      <c r="H78" s="22">
        <f>+INDEX(Sheet1!$N$59:$N$66,COLUMN()-COLUMN($B$79)+1)</f>
        <v>0</v>
      </c>
      <c r="I78" s="22">
        <f>+INDEX(Sheet1!$N$59:$N$66,COLUMN()-COLUMN($B$79)+1)</f>
        <v>0</v>
      </c>
    </row>
    <row r="79" spans="1:9">
      <c r="A79" t="s">
        <v>134</v>
      </c>
      <c r="B79" s="22">
        <f>+INDEX(Sheet1!$O$59:$O$66,COLUMN()-COLUMN($B$79)+1)</f>
        <v>-30</v>
      </c>
      <c r="C79" s="22">
        <f>+INDEX(Sheet1!$O$59:$O$66,COLUMN()-COLUMN($B$79)+1)</f>
        <v>30</v>
      </c>
      <c r="D79" s="22">
        <f>+INDEX(Sheet1!$O$59:$O$66,COLUMN()-COLUMN($B$79)+1)</f>
        <v>0</v>
      </c>
      <c r="E79" s="22">
        <f>+INDEX(Sheet1!$O$59:$O$66,COLUMN()-COLUMN($B$79)+1)</f>
        <v>45</v>
      </c>
      <c r="F79" s="22">
        <f>+INDEX(Sheet1!$O$59:$O$66,COLUMN()-COLUMN($B$79)+1)</f>
        <v>0</v>
      </c>
      <c r="G79" s="22">
        <f>+INDEX(Sheet1!$O$59:$O$66,COLUMN()-COLUMN($B$79)+1)</f>
        <v>0</v>
      </c>
      <c r="H79" s="22">
        <f>+INDEX(Sheet1!$O$59:$O$66,COLUMN()-COLUMN($B$79)+1)</f>
        <v>0</v>
      </c>
      <c r="I79" s="22">
        <f>+INDEX(Sheet1!$O$59:$O$66,COLUMN()-COLUMN($B$79)+1)</f>
        <v>0</v>
      </c>
    </row>
    <row r="80" spans="1:9">
      <c r="A80" t="s">
        <v>135</v>
      </c>
      <c r="B80" s="22">
        <f>+INDEX(Sheet1!$P$59:$P$66,COLUMN()-COLUMN($B$79)+1)</f>
        <v>10</v>
      </c>
      <c r="C80" s="22">
        <f>+INDEX(Sheet1!$P$59:$P$66,COLUMN()-COLUMN($B$79)+1)</f>
        <v>10</v>
      </c>
      <c r="D80" s="22">
        <f>+INDEX(Sheet1!$P$59:$P$66,COLUMN()-COLUMN($B$79)+1)</f>
        <v>10</v>
      </c>
      <c r="E80" s="22">
        <f>+INDEX(Sheet1!$P$59:$P$66,COLUMN()-COLUMN($B$79)+1)</f>
        <v>10</v>
      </c>
      <c r="F80" s="22">
        <f>+INDEX(Sheet1!$P$59:$P$66,COLUMN()-COLUMN($B$79)+1)</f>
        <v>30</v>
      </c>
      <c r="G80" s="22">
        <f>+INDEX(Sheet1!$P$59:$P$66,COLUMN()-COLUMN($B$79)+1)</f>
        <v>30</v>
      </c>
      <c r="H80" s="22">
        <f>+INDEX(Sheet1!$P$59:$P$66,COLUMN()-COLUMN($B$79)+1)</f>
        <v>30</v>
      </c>
      <c r="I80" s="22">
        <f>+INDEX(Sheet1!$P$59:$P$66,COLUMN()-COLUMN($B$79)+1)</f>
        <v>100</v>
      </c>
    </row>
    <row r="82" spans="1:9">
      <c r="A82" t="s">
        <v>136</v>
      </c>
    </row>
    <row r="83" spans="1:9">
      <c r="A83" t="s">
        <v>226</v>
      </c>
      <c r="B83">
        <v>0</v>
      </c>
      <c r="C83">
        <v>1</v>
      </c>
      <c r="D83">
        <v>2</v>
      </c>
      <c r="E83">
        <v>3</v>
      </c>
      <c r="F83">
        <v>4</v>
      </c>
      <c r="G83">
        <v>5</v>
      </c>
      <c r="H83">
        <v>6</v>
      </c>
      <c r="I83">
        <v>7</v>
      </c>
    </row>
    <row r="84" spans="1:9">
      <c r="A84" t="s">
        <v>137</v>
      </c>
      <c r="B84" s="22">
        <f>+INDEX(Sheet1!$Q$59:$Q$66,COLUMN()-COLUMN($B$79)+1)</f>
        <v>-30</v>
      </c>
      <c r="C84" s="22">
        <f>+INDEX(Sheet1!$Q$59:$Q$66,COLUMN()-COLUMN($B$79)+1)</f>
        <v>30</v>
      </c>
      <c r="D84" s="22">
        <f>+INDEX(Sheet1!$Q$59:$Q$66,COLUMN()-COLUMN($B$79)+1)</f>
        <v>0</v>
      </c>
      <c r="E84" s="22">
        <f>+INDEX(Sheet1!$Q$59:$Q$66,COLUMN()-COLUMN($B$79)+1)</f>
        <v>45</v>
      </c>
      <c r="F84" s="22">
        <f>+INDEX(Sheet1!$Q$59:$Q$66,COLUMN()-COLUMN($B$79)+1)</f>
        <v>0</v>
      </c>
      <c r="G84" s="22">
        <f>+INDEX(Sheet1!$Q$59:$Q$66,COLUMN()-COLUMN($B$79)+1)</f>
        <v>0</v>
      </c>
      <c r="H84" s="22">
        <f>+INDEX(Sheet1!$Q$59:$Q$66,COLUMN()-COLUMN($B$79)+1)</f>
        <v>40</v>
      </c>
      <c r="I84" s="22">
        <f>+INDEX(Sheet1!$Q$59:$Q$66,COLUMN()-COLUMN($B$79)+1)</f>
        <v>0</v>
      </c>
    </row>
    <row r="85" spans="1:9">
      <c r="A85" t="s">
        <v>138</v>
      </c>
      <c r="B85" s="22">
        <f>+INDEX(Sheet1!$R$59:$R$66,COLUMN()-COLUMN($B$79)+1)</f>
        <v>10</v>
      </c>
      <c r="C85" s="22">
        <f>+INDEX(Sheet1!$R$59:$R$66,COLUMN()-COLUMN($B$79)+1)</f>
        <v>10</v>
      </c>
      <c r="D85" s="22">
        <f>+INDEX(Sheet1!$R$59:$R$66,COLUMN()-COLUMN($B$79)+1)</f>
        <v>10</v>
      </c>
      <c r="E85" s="22">
        <f>+INDEX(Sheet1!$R$59:$R$66,COLUMN()-COLUMN($B$79)+1)</f>
        <v>10</v>
      </c>
      <c r="F85" s="22">
        <f>+INDEX(Sheet1!$R$59:$R$66,COLUMN()-COLUMN($B$79)+1)</f>
        <v>30</v>
      </c>
      <c r="G85" s="22">
        <f>+INDEX(Sheet1!$R$59:$R$66,COLUMN()-COLUMN($B$79)+1)</f>
        <v>30</v>
      </c>
      <c r="H85" s="22">
        <f>+INDEX(Sheet1!$R$59:$R$66,COLUMN()-COLUMN($B$79)+1)</f>
        <v>30</v>
      </c>
      <c r="I85" s="22">
        <f>+INDEX(Sheet1!$R$59:$R$66,COLUMN()-COLUMN($B$79)+1)</f>
        <v>100</v>
      </c>
    </row>
    <row r="86" spans="1:9">
      <c r="A86" t="s">
        <v>105</v>
      </c>
    </row>
    <row r="87" spans="1:9">
      <c r="A8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88"/>
  <sheetViews>
    <sheetView topLeftCell="A27" zoomScale="75" zoomScaleNormal="75" workbookViewId="0">
      <selection activeCell="A38" sqref="A38:P4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272</v>
      </c>
    </row>
    <row r="33" spans="1:9">
      <c r="A33" t="s">
        <v>262</v>
      </c>
    </row>
    <row r="34" spans="1:9">
      <c r="A34" t="s">
        <v>267</v>
      </c>
    </row>
    <row r="35" spans="1:9">
      <c r="A35" t="s">
        <v>268</v>
      </c>
    </row>
    <row r="36" spans="1:9">
      <c r="A36" t="s">
        <v>269</v>
      </c>
    </row>
    <row r="38" spans="1:9">
      <c r="A38" t="s">
        <v>102</v>
      </c>
    </row>
    <row r="39" spans="1:9">
      <c r="A39" t="s">
        <v>103</v>
      </c>
      <c r="B39">
        <v>8</v>
      </c>
      <c r="C39" t="s">
        <v>104</v>
      </c>
    </row>
    <row r="40" spans="1:9">
      <c r="A40" t="s">
        <v>239</v>
      </c>
      <c r="B40">
        <v>0</v>
      </c>
      <c r="C40">
        <v>1</v>
      </c>
      <c r="D40">
        <v>2</v>
      </c>
      <c r="E40">
        <v>3</v>
      </c>
      <c r="F40">
        <v>4</v>
      </c>
      <c r="G40">
        <v>5</v>
      </c>
      <c r="H40">
        <v>6</v>
      </c>
      <c r="I40">
        <v>7</v>
      </c>
    </row>
    <row r="41" spans="1:9">
      <c r="A41" t="s">
        <v>238</v>
      </c>
      <c r="B41">
        <v>100</v>
      </c>
      <c r="C41">
        <v>100</v>
      </c>
      <c r="D41">
        <v>100</v>
      </c>
      <c r="E41">
        <v>100</v>
      </c>
      <c r="F41">
        <v>100</v>
      </c>
      <c r="G41">
        <v>100</v>
      </c>
      <c r="H41">
        <v>100</v>
      </c>
      <c r="I41">
        <v>100</v>
      </c>
    </row>
    <row r="42" spans="1:9">
      <c r="A42" t="s">
        <v>105</v>
      </c>
    </row>
    <row r="43" spans="1:9">
      <c r="A43" t="s">
        <v>227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216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6" spans="1:9">
      <c r="A46" t="s">
        <v>237</v>
      </c>
      <c r="B46" s="40">
        <f>+INDEX(Sheet1!$K$70:$K$77,COLUMN()-COLUMN($B$77)+1)</f>
        <v>13.62</v>
      </c>
      <c r="C46" s="40">
        <f>+INDEX(Sheet1!$K$70:$K$77,COLUMN()-COLUMN($B$77)+1)</f>
        <v>-2.4444444444444446</v>
      </c>
      <c r="D46" s="40">
        <f>+INDEX(Sheet1!$K$70:$K$77,COLUMN()-COLUMN($B$77)+1)</f>
        <v>-2.4666666666666668</v>
      </c>
      <c r="E46" s="40">
        <f>+INDEX(Sheet1!$K$70:$K$77,COLUMN()-COLUMN($B$77)+1)</f>
        <v>-2.0555555555555554</v>
      </c>
      <c r="F46" s="40">
        <f>+INDEX(Sheet1!$K$70:$K$77,COLUMN()-COLUMN($B$77)+1)</f>
        <v>-2.6333333333333333</v>
      </c>
      <c r="G46" s="40">
        <f>+INDEX(Sheet1!$K$70:$K$77,COLUMN()-COLUMN($B$77)+1)</f>
        <v>-2.0555555555555554</v>
      </c>
      <c r="H46" s="40">
        <f>+INDEX(Sheet1!$K$70:$K$77,COLUMN()-COLUMN($B$77)+1)</f>
        <v>-2.5277777777777777</v>
      </c>
      <c r="I46" s="40">
        <f>+INDEX(Sheet1!$K$70:$K$77,COLUMN()-COLUMN($B$77)+1)</f>
        <v>-1.962962962962963</v>
      </c>
    </row>
    <row r="47" spans="1:9">
      <c r="A47" t="s">
        <v>224</v>
      </c>
      <c r="B47" s="40">
        <f>+INDEX(Sheet1!$D$70:$D$77,COLUMN()-COLUMN($B$77)+1)</f>
        <v>50.969162995594715</v>
      </c>
      <c r="C47" s="40">
        <f>+INDEX(Sheet1!$D$70:$D$77,COLUMN()-COLUMN($B$77)+1)</f>
        <v>-94.090909090909079</v>
      </c>
      <c r="D47" s="40">
        <f>+INDEX(Sheet1!$D$70:$D$77,COLUMN()-COLUMN($B$77)+1)</f>
        <v>-185.27027027027026</v>
      </c>
      <c r="E47" s="40">
        <f>+INDEX(Sheet1!$D$70:$D$77,COLUMN()-COLUMN($B$77)+1)</f>
        <v>-114.32432432432434</v>
      </c>
      <c r="F47" s="40">
        <f>+INDEX(Sheet1!$D$70:$D$77,COLUMN()-COLUMN($B$77)+1)</f>
        <v>-180</v>
      </c>
      <c r="G47" s="40">
        <f>+INDEX(Sheet1!$D$70:$D$77,COLUMN()-COLUMN($B$77)+1)</f>
        <v>-114.32432432432434</v>
      </c>
      <c r="H47" s="40">
        <f>+INDEX(Sheet1!$D$70:$D$77,COLUMN()-COLUMN($B$77)+1)</f>
        <v>-180</v>
      </c>
      <c r="I47" s="40">
        <f>+INDEX(Sheet1!$D$70:$D$77,COLUMN()-COLUMN($B$77)+1)</f>
        <v>-351.50943396226415</v>
      </c>
    </row>
    <row r="49" spans="1:9">
      <c r="A49" t="s">
        <v>106</v>
      </c>
      <c r="B49">
        <v>0</v>
      </c>
    </row>
    <row r="52" spans="1:9">
      <c r="A52" t="s">
        <v>151</v>
      </c>
    </row>
    <row r="53" spans="1:9">
      <c r="A53" t="s">
        <v>240</v>
      </c>
      <c r="B53">
        <v>8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</row>
    <row r="55" spans="1:9">
      <c r="A55" t="s">
        <v>152</v>
      </c>
    </row>
    <row r="56" spans="1:9">
      <c r="A56" t="s">
        <v>241</v>
      </c>
      <c r="B56">
        <v>0</v>
      </c>
      <c r="C56">
        <v>1</v>
      </c>
      <c r="D56">
        <v>2</v>
      </c>
      <c r="E56">
        <v>3</v>
      </c>
      <c r="F56">
        <v>4</v>
      </c>
      <c r="G56">
        <v>5</v>
      </c>
      <c r="H56">
        <v>6</v>
      </c>
      <c r="I56">
        <v>7</v>
      </c>
    </row>
    <row r="57" spans="1:9">
      <c r="A57" t="s">
        <v>233</v>
      </c>
      <c r="B57" s="22">
        <f>+INDEX([1]Sheet1!$H$70:$H$77,COLUMN()-COLUMN($B$77)+1)</f>
        <v>90</v>
      </c>
      <c r="C57" s="22">
        <f>+INDEX([1]Sheet1!$H$70:$H$77,COLUMN()-COLUMN($B$77)+1)</f>
        <v>90</v>
      </c>
      <c r="D57" s="22">
        <f>+INDEX([1]Sheet1!$H$70:$H$77,COLUMN()-COLUMN($B$77)+1)</f>
        <v>180</v>
      </c>
      <c r="E57" s="22">
        <f>+INDEX([1]Sheet1!$H$70:$H$77,COLUMN()-COLUMN($B$77)+1)</f>
        <v>90</v>
      </c>
      <c r="F57" s="22">
        <f>+INDEX([1]Sheet1!$H$70:$H$77,COLUMN()-COLUMN($B$77)+1)</f>
        <v>180</v>
      </c>
      <c r="G57" s="22">
        <f>+INDEX([1]Sheet1!$H$70:$H$77,COLUMN()-COLUMN($B$77)+1)</f>
        <v>90</v>
      </c>
      <c r="H57" s="22">
        <f>+INDEX([1]Sheet1!$H$70:$H$77,COLUMN()-COLUMN($B$77)+1)</f>
        <v>180</v>
      </c>
      <c r="I57" s="22">
        <f>+INDEX([1]Sheet1!$H$70:$H$77,COLUMN()-COLUMN($B$77)+1)</f>
        <v>270</v>
      </c>
    </row>
    <row r="58" spans="1:9">
      <c r="A58" t="s">
        <v>234</v>
      </c>
      <c r="B58" s="22">
        <f>+INDEX([1]Sheet1!$G$70:$G$77,COLUMN()-COLUMN($B$77)+1)</f>
        <v>-10</v>
      </c>
      <c r="C58" s="22">
        <f>+INDEX([1]Sheet1!$G$70:$G$77,COLUMN()-COLUMN($B$77)+1)</f>
        <v>0</v>
      </c>
      <c r="D58" s="22">
        <f>+INDEX([1]Sheet1!$G$70:$G$77,COLUMN()-COLUMN($B$77)+1)</f>
        <v>0</v>
      </c>
      <c r="E58" s="22">
        <f>+INDEX([1]Sheet1!$G$70:$G$77,COLUMN()-COLUMN($B$77)+1)</f>
        <v>0</v>
      </c>
      <c r="F58" s="22">
        <f>+INDEX([1]Sheet1!$G$70:$G$77,COLUMN()-COLUMN($B$77)+1)</f>
        <v>0</v>
      </c>
      <c r="G58" s="22">
        <f>+INDEX([1]Sheet1!$G$70:$G$77,COLUMN()-COLUMN($B$77)+1)</f>
        <v>0</v>
      </c>
      <c r="H58" s="22">
        <f>+INDEX([1]Sheet1!$G$70:$G$77,COLUMN()-COLUMN($B$77)+1)</f>
        <v>0</v>
      </c>
      <c r="I58" s="22">
        <f>+INDEX([1]Sheet1!$G$70:$G$77,COLUMN()-COLUMN($B$77)+1)</f>
        <v>0</v>
      </c>
    </row>
    <row r="60" spans="1:9">
      <c r="A60" t="s">
        <v>235</v>
      </c>
      <c r="B60">
        <v>485</v>
      </c>
      <c r="C60">
        <v>485</v>
      </c>
      <c r="D60">
        <v>485</v>
      </c>
      <c r="E60">
        <v>485</v>
      </c>
      <c r="F60">
        <v>485</v>
      </c>
      <c r="G60">
        <v>485</v>
      </c>
      <c r="H60">
        <v>485</v>
      </c>
      <c r="I60">
        <v>485</v>
      </c>
    </row>
    <row r="62" spans="1:9">
      <c r="A62" t="s">
        <v>116</v>
      </c>
    </row>
    <row r="63" spans="1:9">
      <c r="A63" t="s">
        <v>108</v>
      </c>
      <c r="B63" t="s">
        <v>109</v>
      </c>
      <c r="C63" t="s">
        <v>110</v>
      </c>
      <c r="D63" t="s">
        <v>111</v>
      </c>
      <c r="E63" t="s">
        <v>112</v>
      </c>
      <c r="F63" t="s">
        <v>113</v>
      </c>
      <c r="G63" t="s">
        <v>114</v>
      </c>
      <c r="H63" t="s">
        <v>115</v>
      </c>
    </row>
    <row r="64" spans="1:9">
      <c r="A64" t="s">
        <v>116</v>
      </c>
    </row>
    <row r="65" spans="1:9">
      <c r="A65" t="s">
        <v>117</v>
      </c>
      <c r="B65">
        <v>-8000</v>
      </c>
      <c r="C65">
        <v>-32000</v>
      </c>
      <c r="D65">
        <v>-5</v>
      </c>
      <c r="E65" s="22">
        <f t="shared" ref="E65:F72" si="0">+$B$4</f>
        <v>1333</v>
      </c>
      <c r="F65" s="22">
        <f t="shared" si="0"/>
        <v>1333</v>
      </c>
      <c r="G65">
        <v>10</v>
      </c>
      <c r="H65">
        <v>0</v>
      </c>
    </row>
    <row r="66" spans="1:9">
      <c r="A66" t="s">
        <v>118</v>
      </c>
      <c r="B66">
        <v>-8000</v>
      </c>
      <c r="C66">
        <v>-32000</v>
      </c>
      <c r="D66">
        <v>-5</v>
      </c>
      <c r="E66" s="22">
        <f t="shared" si="0"/>
        <v>1333</v>
      </c>
      <c r="F66" s="22">
        <f t="shared" si="0"/>
        <v>1333</v>
      </c>
      <c r="G66">
        <v>10</v>
      </c>
      <c r="H66">
        <v>0</v>
      </c>
    </row>
    <row r="67" spans="1:9">
      <c r="A67" t="s">
        <v>119</v>
      </c>
      <c r="B67">
        <v>8000</v>
      </c>
      <c r="C67">
        <v>32000</v>
      </c>
      <c r="D67">
        <v>5</v>
      </c>
      <c r="E67" s="22">
        <f t="shared" si="0"/>
        <v>1333</v>
      </c>
      <c r="F67" s="22">
        <f t="shared" si="0"/>
        <v>1333</v>
      </c>
      <c r="G67">
        <v>10</v>
      </c>
      <c r="H67">
        <v>0</v>
      </c>
    </row>
    <row r="68" spans="1:9">
      <c r="A68" t="s">
        <v>120</v>
      </c>
      <c r="B68">
        <v>-8000</v>
      </c>
      <c r="C68">
        <v>-32000</v>
      </c>
      <c r="D68">
        <v>-5</v>
      </c>
      <c r="E68" s="22">
        <f t="shared" si="0"/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121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122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123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124</v>
      </c>
      <c r="B72">
        <v>-120</v>
      </c>
      <c r="C72">
        <v>-1250</v>
      </c>
      <c r="D72">
        <v>0</v>
      </c>
      <c r="E72" s="22">
        <f t="shared" si="0"/>
        <v>1333</v>
      </c>
      <c r="F72" s="22">
        <f t="shared" si="0"/>
        <v>1333</v>
      </c>
      <c r="G72">
        <v>5</v>
      </c>
      <c r="H72">
        <v>0</v>
      </c>
    </row>
    <row r="74" spans="1:9">
      <c r="A74" t="s">
        <v>129</v>
      </c>
    </row>
    <row r="75" spans="1:9">
      <c r="A75" t="s">
        <v>236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130</v>
      </c>
      <c r="B76">
        <v>3</v>
      </c>
      <c r="C76">
        <v>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</row>
    <row r="77" spans="1:9">
      <c r="A77" t="s">
        <v>131</v>
      </c>
      <c r="B77" s="22">
        <f>+INDEX(Sheet1!$L$70:$L$77,COLUMN()-COLUMN($B$75)+1)</f>
        <v>694.19999999999993</v>
      </c>
      <c r="C77" s="22">
        <f>+INDEX(Sheet1!$L$70:$L$77,COLUMN()-COLUMN($B$75)+1)</f>
        <v>230</v>
      </c>
      <c r="D77" s="22">
        <f>+INDEX(Sheet1!$L$70:$L$77,COLUMN()-COLUMN($B$75)+1)</f>
        <v>13</v>
      </c>
      <c r="E77" s="22">
        <f>+INDEX(Sheet1!$L$70:$L$77,COLUMN()-COLUMN($B$75)+1)</f>
        <v>235</v>
      </c>
      <c r="F77" s="22">
        <f>+INDEX(Sheet1!$L$70:$L$77,COLUMN()-COLUMN($B$75)+1)</f>
        <v>0</v>
      </c>
      <c r="G77" s="22">
        <f>+INDEX(Sheet1!$L$70:$L$77,COLUMN()-COLUMN($B$75)+1)</f>
        <v>235</v>
      </c>
      <c r="H77" s="22">
        <f>+INDEX(Sheet1!$L$70:$L$77,COLUMN()-COLUMN($B$75)+1)</f>
        <v>0</v>
      </c>
      <c r="I77" s="22">
        <f>+INDEX(Sheet1!$L$70:$L$77,COLUMN()-COLUMN($B$75)+1)</f>
        <v>738</v>
      </c>
    </row>
    <row r="78" spans="1:9">
      <c r="A78" t="s">
        <v>132</v>
      </c>
      <c r="B78" s="22">
        <f>+INDEX(Sheet1!$M$70:$M$77,COLUMN()-COLUMN($B$75)+1)</f>
        <v>10</v>
      </c>
      <c r="C78" s="22">
        <f>+INDEX(Sheet1!$M$70:$M$77,COLUMN()-COLUMN($B$75)+1)</f>
        <v>10</v>
      </c>
      <c r="D78" s="22">
        <f>+INDEX(Sheet1!$M$70:$M$77,COLUMN()-COLUMN($B$75)+1)</f>
        <v>10</v>
      </c>
      <c r="E78" s="22">
        <f>+INDEX(Sheet1!$M$70:$M$77,COLUMN()-COLUMN($B$75)+1)</f>
        <v>10</v>
      </c>
      <c r="F78" s="22">
        <f>+INDEX(Sheet1!$M$70:$M$77,COLUMN()-COLUMN($B$75)+1)</f>
        <v>10</v>
      </c>
      <c r="G78" s="22">
        <f>+INDEX(Sheet1!$M$70:$M$77,COLUMN()-COLUMN($B$75)+1)</f>
        <v>10</v>
      </c>
      <c r="H78" s="22">
        <f>+INDEX(Sheet1!$M$70:$M$77,COLUMN()-COLUMN($B$75)+1)</f>
        <v>10</v>
      </c>
      <c r="I78" s="22">
        <f>+INDEX(Sheet1!$M$70:$M$77,COLUMN()-COLUMN($B$75)+1)</f>
        <v>10</v>
      </c>
    </row>
    <row r="79" spans="1:9">
      <c r="A79" t="s">
        <v>133</v>
      </c>
      <c r="B79" s="22">
        <f>+INDEX(Sheet1!$N$70:$N$77,COLUMN()-COLUMN($B$75)+1)</f>
        <v>0</v>
      </c>
      <c r="C79" s="22">
        <f>+INDEX(Sheet1!$N$70:$N$77,COLUMN()-COLUMN($B$75)+1)</f>
        <v>6000</v>
      </c>
      <c r="D79" s="22">
        <f>+INDEX(Sheet1!$N$70:$N$77,COLUMN()-COLUMN($B$75)+1)</f>
        <v>6600</v>
      </c>
      <c r="E79" s="22">
        <f>+INDEX(Sheet1!$N$70:$N$77,COLUMN()-COLUMN($B$75)+1)</f>
        <v>6000</v>
      </c>
      <c r="F79" s="22">
        <f>+INDEX(Sheet1!$N$70:$N$77,COLUMN()-COLUMN($B$75)+1)</f>
        <v>-6600</v>
      </c>
      <c r="G79" s="22">
        <f>+INDEX(Sheet1!$N$70:$N$77,COLUMN()-COLUMN($B$75)+1)</f>
        <v>6000</v>
      </c>
      <c r="H79" s="22">
        <f>+INDEX(Sheet1!$N$70:$N$77,COLUMN()-COLUMN($B$75)+1)</f>
        <v>6500</v>
      </c>
      <c r="I79" s="22">
        <f>+INDEX(Sheet1!$N$70:$N$77,COLUMN()-COLUMN($B$75)+1)</f>
        <v>26000</v>
      </c>
    </row>
    <row r="80" spans="1:9">
      <c r="A80" t="s">
        <v>134</v>
      </c>
      <c r="B80" s="22">
        <f>+INDEX(Sheet1!$O$70:$O$77,COLUMN()-COLUMN($B$75)+1)</f>
        <v>0</v>
      </c>
      <c r="C80" s="22">
        <f>+INDEX(Sheet1!$O$70:$O$77,COLUMN()-COLUMN($B$75)+1)</f>
        <v>0</v>
      </c>
      <c r="D80" s="22">
        <f>+INDEX(Sheet1!$O$70:$O$77,COLUMN()-COLUMN($B$75)+1)</f>
        <v>0</v>
      </c>
      <c r="E80" s="22">
        <f>+INDEX(Sheet1!$O$70:$O$77,COLUMN()-COLUMN($B$75)+1)</f>
        <v>0</v>
      </c>
      <c r="F80" s="22">
        <f>+INDEX(Sheet1!$O$70:$O$77,COLUMN()-COLUMN($B$75)+1)</f>
        <v>0</v>
      </c>
      <c r="G80" s="22">
        <f>+INDEX(Sheet1!$O$70:$O$77,COLUMN()-COLUMN($B$75)+1)</f>
        <v>0</v>
      </c>
      <c r="H80" s="22">
        <f>+INDEX(Sheet1!$O$70:$O$77,COLUMN()-COLUMN($B$75)+1)</f>
        <v>0</v>
      </c>
      <c r="I80" s="22">
        <f>+INDEX(Sheet1!$O$70:$O$77,COLUMN()-COLUMN($B$75)+1)</f>
        <v>0</v>
      </c>
    </row>
    <row r="81" spans="1:9">
      <c r="A81" t="s">
        <v>135</v>
      </c>
      <c r="B81" s="22">
        <f>+INDEX(Sheet1!$P$70:$P$77,COLUMN()-COLUMN($B$75)+1)</f>
        <v>100</v>
      </c>
      <c r="C81" s="22">
        <f>+INDEX(Sheet1!$P$70:$P$77,COLUMN()-COLUMN($B$75)+1)</f>
        <v>100</v>
      </c>
      <c r="D81" s="22">
        <f>+INDEX(Sheet1!$P$70:$P$77,COLUMN()-COLUMN($B$75)+1)</f>
        <v>100</v>
      </c>
      <c r="E81" s="22">
        <f>+INDEX(Sheet1!$P$70:$P$77,COLUMN()-COLUMN($B$75)+1)</f>
        <v>100</v>
      </c>
      <c r="F81" s="22">
        <f>+INDEX(Sheet1!$P$70:$P$77,COLUMN()-COLUMN($B$75)+1)</f>
        <v>100</v>
      </c>
      <c r="G81" s="22">
        <f>+INDEX(Sheet1!$P$70:$P$77,COLUMN()-COLUMN($B$75)+1)</f>
        <v>100</v>
      </c>
      <c r="H81" s="22">
        <f>+INDEX(Sheet1!$P$70:$P$77,COLUMN()-COLUMN($B$75)+1)</f>
        <v>100</v>
      </c>
      <c r="I81" s="22">
        <f>+INDEX(Sheet1!$P$70:$P$77,COLUMN()-COLUMN($B$75)+1)</f>
        <v>100</v>
      </c>
    </row>
    <row r="83" spans="1:9">
      <c r="A83" t="s">
        <v>136</v>
      </c>
    </row>
    <row r="84" spans="1:9">
      <c r="A84" t="s">
        <v>236</v>
      </c>
      <c r="B84">
        <v>0</v>
      </c>
      <c r="C84">
        <v>1</v>
      </c>
      <c r="D84">
        <v>2</v>
      </c>
      <c r="E84">
        <v>3</v>
      </c>
      <c r="F84">
        <v>4</v>
      </c>
      <c r="G84">
        <v>5</v>
      </c>
      <c r="H84">
        <v>6</v>
      </c>
      <c r="I84">
        <v>7</v>
      </c>
    </row>
    <row r="85" spans="1:9">
      <c r="A85" t="s">
        <v>137</v>
      </c>
      <c r="B85" s="22">
        <f>+INDEX(Sheet1!$Q$70:$Q$77,COLUMN()-COLUMN($B$75)+1)</f>
        <v>0</v>
      </c>
      <c r="C85" s="22">
        <f>+INDEX(Sheet1!$Q$70:$Q$77,COLUMN()-COLUMN($B$75)+1)</f>
        <v>0</v>
      </c>
      <c r="D85" s="22">
        <f>+INDEX(Sheet1!$Q$70:$Q$77,COLUMN()-COLUMN($B$75)+1)</f>
        <v>0</v>
      </c>
      <c r="E85" s="22">
        <f>+INDEX(Sheet1!$Q$70:$Q$77,COLUMN()-COLUMN($B$75)+1)</f>
        <v>0</v>
      </c>
      <c r="F85" s="22">
        <f>+INDEX(Sheet1!$Q$70:$Q$77,COLUMN()-COLUMN($B$75)+1)</f>
        <v>0</v>
      </c>
      <c r="G85" s="22">
        <f>+INDEX(Sheet1!$Q$70:$Q$77,COLUMN()-COLUMN($B$75)+1)</f>
        <v>0</v>
      </c>
      <c r="H85" s="22">
        <f>+INDEX(Sheet1!$Q$70:$Q$77,COLUMN()-COLUMN($B$75)+1)</f>
        <v>0</v>
      </c>
      <c r="I85" s="22">
        <f>+INDEX(Sheet1!$Q$70:$Q$77,COLUMN()-COLUMN($B$75)+1)</f>
        <v>0</v>
      </c>
    </row>
    <row r="86" spans="1:9">
      <c r="A86" t="s">
        <v>138</v>
      </c>
      <c r="B86" s="22">
        <f>+INDEX(Sheet1!$R$70:$R$77,COLUMN()-COLUMN($B$75)+1)</f>
        <v>10</v>
      </c>
      <c r="C86" s="22">
        <f>+INDEX(Sheet1!$R$70:$R$77,COLUMN()-COLUMN($B$75)+1)</f>
        <v>10</v>
      </c>
      <c r="D86" s="22">
        <f>+INDEX(Sheet1!$R$70:$R$77,COLUMN()-COLUMN($B$75)+1)</f>
        <v>10</v>
      </c>
      <c r="E86" s="22">
        <f>+INDEX(Sheet1!$R$70:$R$77,COLUMN()-COLUMN($B$75)+1)</f>
        <v>10</v>
      </c>
      <c r="F86" s="22">
        <f>+INDEX(Sheet1!$R$70:$R$77,COLUMN()-COLUMN($B$75)+1)</f>
        <v>10</v>
      </c>
      <c r="G86" s="22">
        <f>+INDEX(Sheet1!$R$70:$R$77,COLUMN()-COLUMN($B$75)+1)</f>
        <v>10</v>
      </c>
      <c r="H86" s="22">
        <f>+INDEX(Sheet1!$R$70:$R$77,COLUMN()-COLUMN($B$75)+1)</f>
        <v>10</v>
      </c>
      <c r="I86" s="22">
        <f>+INDEX(Sheet1!$R$70:$R$77,COLUMN()-COLUMN($B$75)+1)</f>
        <v>10</v>
      </c>
    </row>
    <row r="87" spans="1:9">
      <c r="A87" t="s">
        <v>105</v>
      </c>
    </row>
    <row r="88" spans="1:9">
      <c r="A8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Left_arm!B74</f>
        <v>3</v>
      </c>
      <c r="C35">
        <f>Left_arm!C74</f>
        <v>3</v>
      </c>
      <c r="D35">
        <f>Left_arm!D74</f>
        <v>3</v>
      </c>
      <c r="E35">
        <f>Left_arm!E74</f>
        <v>3</v>
      </c>
      <c r="F35">
        <f>Left_arm!F74</f>
        <v>0</v>
      </c>
      <c r="G35">
        <f>Left_arm!G74</f>
        <v>2</v>
      </c>
      <c r="H35">
        <f>Left_arm!H74</f>
        <v>2</v>
      </c>
      <c r="I35">
        <f>Left_arm!I74</f>
        <v>3</v>
      </c>
      <c r="J35">
        <f>Left_hand!B72</f>
        <v>3</v>
      </c>
      <c r="K35">
        <f>Left_hand!C72</f>
        <v>4</v>
      </c>
      <c r="L35">
        <f>Left_hand!D72</f>
        <v>4</v>
      </c>
      <c r="M35">
        <f>Left_hand!E72</f>
        <v>4</v>
      </c>
      <c r="N35">
        <f>Left_hand!F72</f>
        <v>4</v>
      </c>
      <c r="O35">
        <f>Left_hand!G72</f>
        <v>4</v>
      </c>
      <c r="P35">
        <f>Left_hand!H72</f>
        <v>4</v>
      </c>
      <c r="Q35">
        <f>Left_hand!I72</f>
        <v>4</v>
      </c>
    </row>
    <row r="36" spans="1:17">
      <c r="A36" t="s">
        <v>196</v>
      </c>
      <c r="B36">
        <f>Left_arm!B75</f>
        <v>2388.75</v>
      </c>
      <c r="C36">
        <f>Left_arm!C75</f>
        <v>3241.875</v>
      </c>
      <c r="D36">
        <f>Left_arm!D75</f>
        <v>-275.93269230769238</v>
      </c>
      <c r="E36">
        <f>Left_arm!E75</f>
        <v>1532</v>
      </c>
      <c r="F36">
        <f>Left_arm!F75</f>
        <v>550</v>
      </c>
      <c r="G36">
        <f>Left_arm!G75</f>
        <v>650</v>
      </c>
      <c r="H36">
        <f>Left_arm!H75</f>
        <v>650</v>
      </c>
      <c r="I36">
        <f>Left_arm!I75</f>
        <v>2080</v>
      </c>
      <c r="J36">
        <f>Left_hand!B73</f>
        <v>3489.6000000000004</v>
      </c>
      <c r="K36">
        <f>Left_hand!C73</f>
        <v>235</v>
      </c>
      <c r="L36">
        <f>Left_hand!D73</f>
        <v>30</v>
      </c>
      <c r="M36">
        <f>Left_hand!E73</f>
        <v>235</v>
      </c>
      <c r="N36">
        <f>Left_hand!F73</f>
        <v>10</v>
      </c>
      <c r="O36">
        <f>Left_hand!G73</f>
        <v>228</v>
      </c>
      <c r="P36">
        <f>Left_hand!H73</f>
        <v>6</v>
      </c>
      <c r="Q36">
        <f>Left_hand!I73</f>
        <v>699</v>
      </c>
    </row>
    <row r="37" spans="1:17">
      <c r="A37" t="s">
        <v>197</v>
      </c>
      <c r="B37">
        <f>Left_arm!B76</f>
        <v>10</v>
      </c>
      <c r="C37">
        <f>Left_arm!C76</f>
        <v>10</v>
      </c>
      <c r="D37">
        <f>Left_arm!D76</f>
        <v>10</v>
      </c>
      <c r="E37">
        <f>Left_arm!E76</f>
        <v>10</v>
      </c>
      <c r="F37">
        <f>Left_arm!F76</f>
        <v>20</v>
      </c>
      <c r="G37">
        <f>Left_arm!G76</f>
        <v>-10</v>
      </c>
      <c r="H37">
        <f>Left_arm!H76</f>
        <v>-10</v>
      </c>
      <c r="I37">
        <f>Left_arm!I76</f>
        <v>100</v>
      </c>
      <c r="J37">
        <f>Left_hand!B74</f>
        <v>10</v>
      </c>
      <c r="K37">
        <f>Left_hand!C74</f>
        <v>10</v>
      </c>
      <c r="L37">
        <f>Left_hand!D74</f>
        <v>10</v>
      </c>
      <c r="M37">
        <f>Left_hand!E74</f>
        <v>10</v>
      </c>
      <c r="N37">
        <f>Left_hand!F74</f>
        <v>10</v>
      </c>
      <c r="O37">
        <f>Left_hand!G74</f>
        <v>10</v>
      </c>
      <c r="P37">
        <f>Left_hand!H74</f>
        <v>10</v>
      </c>
      <c r="Q37">
        <f>Left_hand!I74</f>
        <v>10</v>
      </c>
    </row>
    <row r="38" spans="1:17">
      <c r="A38" t="s">
        <v>194</v>
      </c>
      <c r="B38">
        <f>Left_arm!B77</f>
        <v>641.55000000000007</v>
      </c>
      <c r="C38">
        <f>Left_arm!C77</f>
        <v>2482.0250000000001</v>
      </c>
      <c r="D38">
        <f>Left_arm!D77</f>
        <v>998.72499999999945</v>
      </c>
      <c r="E38">
        <f>Left_arm!E77</f>
        <v>341.25</v>
      </c>
      <c r="F38">
        <f>Left_arm!F77</f>
        <v>0</v>
      </c>
      <c r="G38">
        <f>Left_arm!G77</f>
        <v>0</v>
      </c>
      <c r="H38">
        <f>Left_arm!H77</f>
        <v>0</v>
      </c>
      <c r="I38">
        <f>Left_arm!I77</f>
        <v>0</v>
      </c>
      <c r="J38">
        <f>Left_hand!B75</f>
        <v>0</v>
      </c>
      <c r="K38">
        <f>Left_hand!C75</f>
        <v>6000</v>
      </c>
      <c r="L38">
        <f>Left_hand!D75</f>
        <v>6600</v>
      </c>
      <c r="M38">
        <f>Left_hand!E75</f>
        <v>6000</v>
      </c>
      <c r="N38">
        <f>Left_hand!F75</f>
        <v>6600</v>
      </c>
      <c r="O38">
        <f>Left_hand!G75</f>
        <v>6000</v>
      </c>
      <c r="P38">
        <f>Left_hand!H75</f>
        <v>-6600</v>
      </c>
      <c r="Q38">
        <f>Left_hand!I75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Left_arm!B78</f>
        <v>-30</v>
      </c>
      <c r="C42">
        <f>Left_arm!C78</f>
        <v>30</v>
      </c>
      <c r="D42">
        <f>Left_arm!D78</f>
        <v>0</v>
      </c>
      <c r="E42">
        <f>Left_arm!E78</f>
        <v>45</v>
      </c>
      <c r="F42">
        <f>Left_arm!F78</f>
        <v>0</v>
      </c>
      <c r="G42">
        <f>Left_arm!G78</f>
        <v>0</v>
      </c>
      <c r="H42">
        <f>Left_arm!H78</f>
        <v>0</v>
      </c>
      <c r="I42">
        <f>Left_arm!I78</f>
        <v>0</v>
      </c>
      <c r="J42">
        <f>Left_hand!B76</f>
        <v>0</v>
      </c>
      <c r="K42">
        <f>Left_hand!C76</f>
        <v>0</v>
      </c>
      <c r="L42">
        <f>Left_hand!D76</f>
        <v>0</v>
      </c>
      <c r="M42">
        <f>Left_hand!E76</f>
        <v>0</v>
      </c>
      <c r="N42">
        <f>Left_hand!F76</f>
        <v>0</v>
      </c>
      <c r="O42">
        <f>Left_hand!G76</f>
        <v>0</v>
      </c>
      <c r="P42">
        <f>Left_hand!H76</f>
        <v>0</v>
      </c>
      <c r="Q42">
        <f>Left_hand!I76</f>
        <v>0</v>
      </c>
    </row>
    <row r="43" spans="1:17">
      <c r="A43" t="s">
        <v>135</v>
      </c>
      <c r="B43">
        <f>Left_arm!B79</f>
        <v>10</v>
      </c>
      <c r="C43">
        <f>Left_arm!C79</f>
        <v>10</v>
      </c>
      <c r="D43">
        <f>Left_arm!D79</f>
        <v>10</v>
      </c>
      <c r="E43">
        <f>Left_arm!E79</f>
        <v>10</v>
      </c>
      <c r="F43">
        <f>Left_arm!F79</f>
        <v>30</v>
      </c>
      <c r="G43">
        <f>Left_arm!G79</f>
        <v>30</v>
      </c>
      <c r="H43">
        <f>Left_arm!H79</f>
        <v>30</v>
      </c>
      <c r="I43">
        <f>Left_arm!I79</f>
        <v>100</v>
      </c>
      <c r="J43">
        <f>Left_hand!B77</f>
        <v>100</v>
      </c>
      <c r="K43">
        <f>Left_hand!C77</f>
        <v>100</v>
      </c>
      <c r="L43">
        <f>Left_hand!D77</f>
        <v>100</v>
      </c>
      <c r="M43">
        <f>Left_hand!E77</f>
        <v>100</v>
      </c>
      <c r="N43">
        <f>Left_hand!F77</f>
        <v>100</v>
      </c>
      <c r="O43">
        <f>Left_hand!G77</f>
        <v>100</v>
      </c>
      <c r="P43">
        <f>Left_hand!H77</f>
        <v>100</v>
      </c>
      <c r="Q43">
        <f>Left_hand!I77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Right_arm!B75</f>
        <v>3</v>
      </c>
      <c r="C48">
        <f>Right_arm!C75</f>
        <v>3</v>
      </c>
      <c r="D48">
        <f>Right_arm!D75</f>
        <v>3</v>
      </c>
      <c r="E48">
        <f>Right_arm!E75</f>
        <v>3</v>
      </c>
      <c r="F48">
        <f>Right_arm!F75</f>
        <v>0</v>
      </c>
      <c r="G48">
        <f>Right_arm!G75</f>
        <v>2</v>
      </c>
      <c r="H48">
        <f>Right_arm!H75</f>
        <v>2</v>
      </c>
      <c r="I48">
        <f>Right_arm!I75</f>
        <v>3</v>
      </c>
      <c r="J48">
        <f>Right_hand!B76</f>
        <v>3</v>
      </c>
      <c r="K48">
        <f>Right_hand!C76</f>
        <v>4</v>
      </c>
      <c r="L48">
        <f>Right_hand!D76</f>
        <v>4</v>
      </c>
      <c r="M48">
        <f>Right_hand!E76</f>
        <v>4</v>
      </c>
      <c r="N48">
        <f>Right_hand!F76</f>
        <v>4</v>
      </c>
      <c r="O48">
        <f>Right_hand!G76</f>
        <v>4</v>
      </c>
      <c r="P48">
        <f>Right_hand!H76</f>
        <v>4</v>
      </c>
      <c r="Q48">
        <f>Right_hand!I76</f>
        <v>4</v>
      </c>
    </row>
    <row r="49" spans="1:17">
      <c r="A49" t="s">
        <v>187</v>
      </c>
      <c r="B49">
        <f>Right_arm!B76</f>
        <v>1706.25</v>
      </c>
      <c r="C49">
        <f>Right_arm!C76</f>
        <v>853.125</v>
      </c>
      <c r="D49">
        <f>Right_arm!D76</f>
        <v>2795.3173076923076</v>
      </c>
      <c r="E49">
        <f>Right_arm!E76</f>
        <v>2558</v>
      </c>
      <c r="F49">
        <f>Right_arm!F76</f>
        <v>550</v>
      </c>
      <c r="G49">
        <f>Right_arm!G76</f>
        <v>650</v>
      </c>
      <c r="H49">
        <f>Right_arm!H76</f>
        <v>650</v>
      </c>
      <c r="I49">
        <f>Right_arm!I76</f>
        <v>1860</v>
      </c>
      <c r="J49">
        <f>Right_hand!B77</f>
        <v>694.19999999999993</v>
      </c>
      <c r="K49">
        <f>Right_hand!C77</f>
        <v>230</v>
      </c>
      <c r="L49">
        <f>Right_hand!D77</f>
        <v>13</v>
      </c>
      <c r="M49">
        <f>Right_hand!E77</f>
        <v>235</v>
      </c>
      <c r="N49">
        <f>Right_hand!F77</f>
        <v>0</v>
      </c>
      <c r="O49">
        <f>Right_hand!G77</f>
        <v>235</v>
      </c>
      <c r="P49">
        <f>Right_hand!H77</f>
        <v>0</v>
      </c>
      <c r="Q49">
        <f>Right_hand!I77</f>
        <v>738</v>
      </c>
    </row>
    <row r="50" spans="1:17">
      <c r="A50" t="s">
        <v>190</v>
      </c>
      <c r="B50">
        <f>Right_arm!B77</f>
        <v>10</v>
      </c>
      <c r="C50">
        <f>Right_arm!C77</f>
        <v>10</v>
      </c>
      <c r="D50">
        <f>Right_arm!D77</f>
        <v>10</v>
      </c>
      <c r="E50">
        <f>Right_arm!E77</f>
        <v>10</v>
      </c>
      <c r="F50">
        <f>Right_arm!F77</f>
        <v>-20</v>
      </c>
      <c r="G50">
        <f>Right_arm!G77</f>
        <v>10</v>
      </c>
      <c r="H50">
        <f>Right_arm!H77</f>
        <v>10</v>
      </c>
      <c r="I50">
        <f>Right_arm!I77</f>
        <v>100</v>
      </c>
      <c r="J50">
        <f>Right_hand!B78</f>
        <v>10</v>
      </c>
      <c r="K50">
        <f>Right_hand!C78</f>
        <v>10</v>
      </c>
      <c r="L50">
        <f>Right_hand!D78</f>
        <v>10</v>
      </c>
      <c r="M50">
        <f>Right_hand!E78</f>
        <v>10</v>
      </c>
      <c r="N50">
        <f>Right_hand!F78</f>
        <v>10</v>
      </c>
      <c r="O50">
        <f>Right_hand!G78</f>
        <v>10</v>
      </c>
      <c r="P50">
        <f>Right_hand!H78</f>
        <v>10</v>
      </c>
      <c r="Q50">
        <f>Right_hand!I78</f>
        <v>10</v>
      </c>
    </row>
    <row r="51" spans="1:17">
      <c r="A51" t="s">
        <v>189</v>
      </c>
      <c r="B51">
        <f>Right_arm!B78</f>
        <v>3412.5</v>
      </c>
      <c r="C51">
        <f>Right_arm!C78</f>
        <v>2711.7999999999997</v>
      </c>
      <c r="D51">
        <f>Right_arm!D78</f>
        <v>695.58124999999905</v>
      </c>
      <c r="E51">
        <f>Right_arm!E78</f>
        <v>2536.625</v>
      </c>
      <c r="F51">
        <f>Right_arm!F78</f>
        <v>0</v>
      </c>
      <c r="G51">
        <f>Right_arm!G78</f>
        <v>0</v>
      </c>
      <c r="H51">
        <f>Right_arm!H78</f>
        <v>0</v>
      </c>
      <c r="I51">
        <f>Right_arm!I78</f>
        <v>0</v>
      </c>
      <c r="J51">
        <f>Right_hand!B79</f>
        <v>0</v>
      </c>
      <c r="K51">
        <f>Right_hand!C79</f>
        <v>6000</v>
      </c>
      <c r="L51">
        <f>Right_hand!D79</f>
        <v>6600</v>
      </c>
      <c r="M51">
        <f>Right_hand!E79</f>
        <v>6000</v>
      </c>
      <c r="N51">
        <f>Right_hand!F79</f>
        <v>-6600</v>
      </c>
      <c r="O51">
        <f>Right_hand!G79</f>
        <v>6000</v>
      </c>
      <c r="P51">
        <f>Right_hand!H79</f>
        <v>6500</v>
      </c>
      <c r="Q51">
        <f>Right_hand!I79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Right_arm!B79</f>
        <v>-30</v>
      </c>
      <c r="C55">
        <f>Right_arm!C79</f>
        <v>30</v>
      </c>
      <c r="D55">
        <f>Right_arm!D79</f>
        <v>0</v>
      </c>
      <c r="E55">
        <f>Right_arm!E79</f>
        <v>45</v>
      </c>
      <c r="F55">
        <f>Right_arm!F79</f>
        <v>0</v>
      </c>
      <c r="G55">
        <f>Right_arm!G79</f>
        <v>0</v>
      </c>
      <c r="H55">
        <f>Right_arm!H79</f>
        <v>0</v>
      </c>
      <c r="I55">
        <f>Right_arm!I79</f>
        <v>0</v>
      </c>
      <c r="J55">
        <f>Right_hand!B80</f>
        <v>0</v>
      </c>
      <c r="K55">
        <f>Right_hand!C80</f>
        <v>0</v>
      </c>
      <c r="L55">
        <f>Right_hand!D80</f>
        <v>0</v>
      </c>
      <c r="M55">
        <f>Right_hand!E80</f>
        <v>0</v>
      </c>
      <c r="N55">
        <f>Right_hand!F80</f>
        <v>0</v>
      </c>
      <c r="O55">
        <f>Right_hand!G80</f>
        <v>0</v>
      </c>
      <c r="P55">
        <f>Right_hand!H80</f>
        <v>0</v>
      </c>
      <c r="Q55">
        <f>Right_hand!I80</f>
        <v>0</v>
      </c>
    </row>
    <row r="56" spans="1:17">
      <c r="A56" t="s">
        <v>135</v>
      </c>
      <c r="B56">
        <f>Right_arm!B80</f>
        <v>10</v>
      </c>
      <c r="C56">
        <f>Right_arm!C80</f>
        <v>10</v>
      </c>
      <c r="D56">
        <f>Right_arm!D80</f>
        <v>10</v>
      </c>
      <c r="E56">
        <f>Right_arm!E80</f>
        <v>10</v>
      </c>
      <c r="F56">
        <f>Right_arm!F80</f>
        <v>30</v>
      </c>
      <c r="G56">
        <f>Right_arm!G80</f>
        <v>30</v>
      </c>
      <c r="H56">
        <f>Right_arm!H80</f>
        <v>30</v>
      </c>
      <c r="I56">
        <f>Right_arm!I80</f>
        <v>100</v>
      </c>
      <c r="J56">
        <f>Right_hand!B81</f>
        <v>100</v>
      </c>
      <c r="K56">
        <f>Right_hand!C81</f>
        <v>100</v>
      </c>
      <c r="L56">
        <f>Right_hand!D81</f>
        <v>100</v>
      </c>
      <c r="M56">
        <f>Right_hand!E81</f>
        <v>100</v>
      </c>
      <c r="N56">
        <f>Right_hand!F81</f>
        <v>100</v>
      </c>
      <c r="O56">
        <f>Right_hand!G81</f>
        <v>100</v>
      </c>
      <c r="P56">
        <f>Right_hand!H81</f>
        <v>100</v>
      </c>
      <c r="Q56">
        <f>Right_hand!I81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Legs!H83</f>
        <v>3</v>
      </c>
      <c r="C61">
        <f>Legs!I83</f>
        <v>3</v>
      </c>
      <c r="D61">
        <f>Legs!J83</f>
        <v>3</v>
      </c>
      <c r="E61">
        <f>Legs!K83</f>
        <v>3</v>
      </c>
      <c r="F61">
        <f>Legs!L83</f>
        <v>3</v>
      </c>
      <c r="G61">
        <f>Legs!M83</f>
        <v>3</v>
      </c>
    </row>
    <row r="62" spans="1:17">
      <c r="A62" t="s">
        <v>131</v>
      </c>
      <c r="B62">
        <f>Legs!H84</f>
        <v>2047.5</v>
      </c>
      <c r="C62">
        <f>Legs!I84</f>
        <v>2047.5</v>
      </c>
      <c r="D62">
        <f>Legs!J84</f>
        <v>2047.5</v>
      </c>
      <c r="E62">
        <f>Legs!K84</f>
        <v>2047.5</v>
      </c>
      <c r="F62">
        <f>Legs!L84</f>
        <v>2047.5</v>
      </c>
      <c r="G62">
        <f>Legs!M84</f>
        <v>2047.5</v>
      </c>
    </row>
    <row r="63" spans="1:17">
      <c r="A63" t="s">
        <v>132</v>
      </c>
      <c r="B63">
        <f>Legs!H85</f>
        <v>10</v>
      </c>
      <c r="C63">
        <f>Legs!I85</f>
        <v>10</v>
      </c>
      <c r="D63">
        <f>Legs!J85</f>
        <v>10</v>
      </c>
      <c r="E63">
        <f>Legs!K85</f>
        <v>10</v>
      </c>
      <c r="F63">
        <f>Legs!L85</f>
        <v>10</v>
      </c>
      <c r="G63">
        <f>Legs!M85</f>
        <v>10</v>
      </c>
    </row>
    <row r="64" spans="1:17">
      <c r="A64" t="s">
        <v>202</v>
      </c>
      <c r="B64">
        <f>Legs!H86</f>
        <v>3756.0250000000001</v>
      </c>
      <c r="C64">
        <f>Legs!I86</f>
        <v>393.57499999999993</v>
      </c>
      <c r="D64">
        <f>Legs!J86</f>
        <v>1797.25</v>
      </c>
      <c r="E64">
        <f>Legs!K86</f>
        <v>401.53750000000014</v>
      </c>
      <c r="F64">
        <f>Legs!L86</f>
        <v>2520.6999999999998</v>
      </c>
      <c r="G64">
        <f>Legs!M86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Legs!H87</f>
        <v>0</v>
      </c>
      <c r="C68">
        <f>Legs!I87</f>
        <v>0</v>
      </c>
      <c r="D68">
        <f>Legs!J87</f>
        <v>0</v>
      </c>
      <c r="E68">
        <f>Legs!K87</f>
        <v>0</v>
      </c>
      <c r="F68">
        <f>Legs!L87</f>
        <v>0</v>
      </c>
      <c r="G68">
        <f>Legs!M87</f>
        <v>0</v>
      </c>
    </row>
    <row r="69" spans="1:7">
      <c r="A69" t="s">
        <v>203</v>
      </c>
      <c r="B69">
        <f>Legs!H88</f>
        <v>10</v>
      </c>
      <c r="C69">
        <f>Legs!I88</f>
        <v>10</v>
      </c>
      <c r="D69">
        <f>Legs!J88</f>
        <v>10</v>
      </c>
      <c r="E69">
        <f>Legs!K88</f>
        <v>10</v>
      </c>
      <c r="F69">
        <f>Legs!L88</f>
        <v>10</v>
      </c>
      <c r="G69">
        <f>Legs!M88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Legs!B83</f>
        <v>3</v>
      </c>
      <c r="C73">
        <f>Legs!C83</f>
        <v>3</v>
      </c>
      <c r="D73">
        <f>Legs!D83</f>
        <v>3</v>
      </c>
      <c r="E73">
        <f>Legs!E83</f>
        <v>3</v>
      </c>
      <c r="F73">
        <f>Legs!F83</f>
        <v>3</v>
      </c>
      <c r="G73">
        <f>Legs!G83</f>
        <v>3</v>
      </c>
    </row>
    <row r="74" spans="1:7">
      <c r="A74" t="s">
        <v>131</v>
      </c>
      <c r="B74">
        <f>Legs!B84</f>
        <v>2047.5</v>
      </c>
      <c r="C74">
        <f>Legs!C84</f>
        <v>2047.5</v>
      </c>
      <c r="D74">
        <f>Legs!D84</f>
        <v>2047.5</v>
      </c>
      <c r="E74">
        <f>Legs!E84</f>
        <v>2047.5</v>
      </c>
      <c r="F74">
        <f>Legs!F84</f>
        <v>2047.5</v>
      </c>
      <c r="G74">
        <f>Legs!G84</f>
        <v>2047.5</v>
      </c>
    </row>
    <row r="75" spans="1:7">
      <c r="A75" t="s">
        <v>205</v>
      </c>
      <c r="B75">
        <f>Legs!B85</f>
        <v>10</v>
      </c>
      <c r="C75">
        <f>Legs!C85</f>
        <v>10</v>
      </c>
      <c r="D75">
        <f>Legs!D85</f>
        <v>10</v>
      </c>
      <c r="E75">
        <f>Legs!E85</f>
        <v>10</v>
      </c>
      <c r="F75">
        <f>Legs!F85</f>
        <v>10</v>
      </c>
      <c r="G75">
        <f>Legs!G85</f>
        <v>10</v>
      </c>
    </row>
    <row r="76" spans="1:7">
      <c r="A76" t="s">
        <v>194</v>
      </c>
      <c r="B76">
        <f>Legs!B86</f>
        <v>3068.9749999999999</v>
      </c>
      <c r="C76">
        <f>Legs!C86</f>
        <v>1922.375</v>
      </c>
      <c r="D76">
        <f>Legs!D86</f>
        <v>3042.8125</v>
      </c>
      <c r="E76">
        <f>Legs!E86</f>
        <v>2664.0250000000001</v>
      </c>
      <c r="F76">
        <f>Legs!F86</f>
        <v>1556.1000000000001</v>
      </c>
      <c r="G76">
        <f>Legs!G86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Legs!B87</f>
        <v>0</v>
      </c>
      <c r="C80">
        <f>Legs!C87</f>
        <v>0</v>
      </c>
      <c r="D80">
        <f>Legs!D87</f>
        <v>0</v>
      </c>
      <c r="E80">
        <f>Legs!E87</f>
        <v>0</v>
      </c>
      <c r="F80">
        <f>Legs!F87</f>
        <v>0</v>
      </c>
      <c r="G80">
        <f>Legs!G87</f>
        <v>0</v>
      </c>
    </row>
    <row r="81" spans="1:7">
      <c r="A81" t="s">
        <v>193</v>
      </c>
      <c r="B81">
        <f>Legs!B88</f>
        <v>10</v>
      </c>
      <c r="C81">
        <f>Legs!C88</f>
        <v>10</v>
      </c>
      <c r="D81">
        <f>Legs!D88</f>
        <v>10</v>
      </c>
      <c r="E81">
        <f>Legs!E88</f>
        <v>10</v>
      </c>
      <c r="F81">
        <f>Legs!F88</f>
        <v>10</v>
      </c>
      <c r="G81">
        <f>Legs!G88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2010-08-09T15:28:03Z</dcterms:modified>
</cp:coreProperties>
</file>