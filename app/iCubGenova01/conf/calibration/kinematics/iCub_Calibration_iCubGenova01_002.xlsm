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82" i="4"/>
  <c r="C38" i="7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K48"/>
  <c r="K49"/>
  <c r="D49" s="1"/>
  <c r="C50" i="4" s="1"/>
  <c r="C49"/>
  <c r="L49" i="1"/>
  <c r="C80" i="4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0" i="4" s="1"/>
  <c r="D50" i="1"/>
  <c r="D50" i="4" s="1"/>
  <c r="B49" l="1"/>
  <c r="D48" i="1"/>
  <c r="D50" i="6"/>
  <c r="H50"/>
  <c r="I50"/>
  <c r="I49" i="4"/>
  <c r="I49" i="3"/>
  <c r="B95" i="2"/>
  <c r="B76" i="8" s="1"/>
  <c r="G50" i="6"/>
  <c r="B50" i="4"/>
  <c r="D61" i="1"/>
  <c r="D50" i="5" s="1"/>
  <c r="D50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B51" i="6"/>
  <c r="I49" i="5"/>
  <c r="L66" i="1"/>
  <c r="I80" i="5" s="1"/>
  <c r="I49" i="8" s="1"/>
  <c r="I50" i="5"/>
  <c r="I50" i="3"/>
  <c r="L44" i="1"/>
  <c r="I80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<sst xmlns="http://schemas.openxmlformats.org/spreadsheetml/2006/main" count="750" uniqueCount="286">
  <si>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</si>
  <si>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</si>
  <si>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</si>
  <si>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</si>
  <si>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</si>
  <si>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</si>
  <si>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</si>
  <si>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</si>
  <si>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</si>
  <si>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</si>
  <si>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</si>
  <si>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</si>
  <si>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</si>
  <si>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</si>
  <si>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</si>
  <si>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</si>
  <si>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</si>
  <si>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</si>
  <si>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</si>
  <si>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</si>
  <si>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</si>
  <si>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</si>
  <si>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</si>
  <si>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</si>
  <si>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</si>
  <si>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</si>
  <si>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</si>
  <si>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</si>
  <si>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</si>
  <si>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</si>
  <si>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</si>
  <si>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</si>
  <si>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</si>
  <si>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</si>
  <si>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</si>
  <si>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</si>
  <si>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</si>
  <si>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</si>
  <si>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</si>
  <si>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</si>
  <si>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</si>
  <si>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</si>
  <si>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</si>
  <si>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</si>
  <si>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</si>
  <si>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</si>
  <si>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</si>
  <si>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</si>
  <si>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</si>
  <si>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</si>
  <si>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</si>
  <si>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</si>
  <si>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</si>
  <si>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</si>
  <si>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</si>
  <si>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</si>
  <si>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</si>
  <si>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</si>
  <si>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</si>
  <si>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</si>
  <si>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</si>
  <si>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</si>
  <si>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</si>
  <si>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</si>
  <si>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</si>
  <si>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</si>
  <si>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</si>
  <si>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</si>
  <si>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</si>
  <si>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</si>
  <si>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</si>
  <si>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</si>
  <si>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</si>
  <si>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</si>
  <si>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</si>
  <si>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</si>
  <si>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</si>
  <si>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</si>
  <si>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</si>
  <si>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</si>
  <si>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</si>
  <si>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</si>
  <si>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</si>
  <si>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</si>
  <si>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</si>
  <si>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</si>
  <si>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</si>
  <si>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</si>
  <si>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</si>
  <si>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</si>
  <si>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</si>
  <si>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</si>
  <si>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</si>
  <si>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</si>
  <si>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</si>
  <si>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</si>
  <si>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</si>
  <si>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</si>
  <si>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</si>
  <si>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</si>
  <si>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</si>
  <si>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</si>
  <si>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</si>
  <si>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</si>
  <si>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</si>
  <si>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</si>
  <si>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</si>
  <si>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</si>
  <si>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</si>
  <si>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</si>
  <si>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</si>
  <si>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</si>
  <si>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</si>
  <si>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</si>
  <si>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</si>
  <si>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</si>
  <si>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</si>
  <si>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</si>
  <si>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</si>
  <si>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</si>
  <si>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</si>
  <si>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</si>
  <si>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</si>
  <si>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</si>
  <si>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</si>
  <si>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</si>
  <si>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</si>
  <si>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</si>
  <si>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</si>
  <si>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</si>
  <si>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</si>
  <si>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</si>
  <si>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</si>
  <si>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</si>
  <si>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</si>
  <si>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</si>
  <si>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</si>
  <si>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</si>
  <si>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</si>
  <si>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</si>
  <si>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</si>
  <si>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</si>
  <si>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</si>
  <si>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</si>
  <si>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</si>
  <si>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</si>
  <si>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</si>
  <si>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</si>
  <si>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</si>
  <si>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</si>
  <si>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</si>
  <si>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</si>
  <si>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</si>
  <si>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</si>
  <si>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</si>
  <si>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</si>
  <si>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</si>
  <si>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</si>
  <si>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</si>
  <si>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</si>
  <si>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</si>
  <si>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</si>
  <si>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</si>
  <si>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</si>
  <si>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</si>
  <si>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</si>
  <si>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</si>
  <si>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</si>
  <si>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</si>
  <si>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</si>
  <si>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</si>
  <si>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</si>
  <si>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</si>
  <si>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</si>
  <si>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</si>
  <si>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</si>
  <si>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</si>
  <si>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</si>
  <si>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</si>
  <si>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</si>
  <si>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</si>
  <si>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</si>
  <si>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</si>
  <si>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</si>
  <si>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</si>
  <si>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</si>
  <si>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</si>
  <si>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</si>
  <si>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</si>
  <si>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</si>
  <si>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</si>
  <si>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</si>
  <si>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</si>
  <si>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</si>
  <si>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</si>
  <si>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</si>
  <si>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</si>
  <si>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</si>
  <si>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</si>
  <si>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</si>
  <si>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</si>
  <si>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</si>
  <si>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</si>
  <si>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</si>
  <si>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</si>
  <si>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</si>
  <si>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</si>
  <si>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</si>
  <si>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</si>
  <si>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</si>
  <si>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</si>
  <si>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</si>
  <si>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</si>
  <si>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</si>
  <si>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</si>
  <si>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</si>
  <si>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</si>
  <si>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</si>
  <si>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</si>
  <si>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</si>
  <si>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</si>
  <si>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</si>
  <si>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</si>
  <si>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</si>
  <si>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</si>
  <si>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</si>
  <si>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</si>
  <si>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</si>
  <si>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</si>
  <si>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</si>
  <si>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</si>
  <si>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</si>
  <si>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</si>
  <si>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</si>
  <si>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</si>
  <si>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</si>
  <si>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</si>
  <si>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</si>
  <si>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</si>
  <si>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</si>
  <si>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</si>
  <si>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</si>
  <si>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</si>
  <si>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</si>
  <si>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</si>
  <si>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</si>
  <si>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</si>
  <si>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</si>
  <si>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</si>
  <si>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</si>
  <si>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</si>
  <si>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</si>
  <si>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</si>
  <si>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</si>
  <si>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</si>
  <si>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</si>
  <si>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</si>
  <si>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</si>
  <si>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</si>
  <si>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</si>
  <si>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</si>
  <si>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</si>
  <si>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</si>
  <si>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</si>
  <si>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</si>
  <si>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</si>
  <si>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</si>
  <si>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</si>
  <si>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</si>
  <si>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</si>
  <si>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</si>
  <si>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</si>
  <si>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</si>
  <si>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</si>
  <si>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</si>
  <si>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</si>
  <si>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</si>
  <si>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</si>
  <si>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</si>
  <si>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</si>
  <si>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</si>
  <si>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</si>
  <si>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</si>
  <si>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</si>
  <si>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</si>
  <si>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D:\icub\app\iCubGenova01\conf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</si>
</sst>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topLeftCell="A74" zoomScale="70" zoomScaleNormal="70" workbookViewId="0">
      <selection activeCell="F93" sqref="F93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4">
        <v>53.2</v>
      </c>
      <c r="D7" s="25">
        <v>180</v>
      </c>
      <c r="E7" s="26">
        <f>(ABS(C7)-ABS(D7))</f>
        <v>-126.8</v>
      </c>
      <c r="F7" s="26">
        <f>IF(E7&gt;=0,(E7*11.375),(360+E7)*11.375)</f>
        <v>2652.65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2652.65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4">
        <v>78.8</v>
      </c>
      <c r="D8" s="25">
        <v>180</v>
      </c>
      <c r="E8" s="26">
        <f t="shared" ref="E8:E18" si="0">(ABS(C8)-ABS(D8))</f>
        <v>-101.2</v>
      </c>
      <c r="F8" s="26">
        <f t="shared" ref="F8:F18" si="1">IF(E8&gt;=0,(E8*11.375),(360+E8)*11.375)</f>
        <v>2943.85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2943.85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4">
        <v>353.8</v>
      </c>
      <c r="D9" s="25">
        <v>180</v>
      </c>
      <c r="E9" s="26">
        <f t="shared" si="0"/>
        <v>173.8</v>
      </c>
      <c r="F9" s="26">
        <f t="shared" si="1"/>
        <v>1976.9750000000001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1976.9750000000001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4">
        <v>324.60000000000002</v>
      </c>
      <c r="D10" s="25">
        <v>180</v>
      </c>
      <c r="E10" s="26">
        <f t="shared" si="0"/>
        <v>144.60000000000002</v>
      </c>
      <c r="F10" s="26">
        <f t="shared" si="1"/>
        <v>1644.8250000000003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1644.8250000000003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4">
        <v>30.7</v>
      </c>
      <c r="D11" s="25">
        <v>180</v>
      </c>
      <c r="E11" s="26">
        <f t="shared" si="0"/>
        <v>-149.30000000000001</v>
      </c>
      <c r="F11" s="26">
        <f t="shared" si="1"/>
        <v>2396.7125000000001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2396.7125000000001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4">
        <v>332.1</v>
      </c>
      <c r="D12" s="25">
        <v>180</v>
      </c>
      <c r="E12" s="26">
        <f t="shared" si="0"/>
        <v>152.10000000000002</v>
      </c>
      <c r="F12" s="26">
        <f t="shared" si="1"/>
        <v>1730.1375000000003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1730.1375000000003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4">
        <v>-165.6</v>
      </c>
      <c r="D13" s="25">
        <v>-180</v>
      </c>
      <c r="E13" s="26">
        <f t="shared" si="0"/>
        <v>-14.400000000000006</v>
      </c>
      <c r="F13" s="26">
        <f t="shared" si="1"/>
        <v>3931.2000000000003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3931.2000000000003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4">
        <v>-94.7</v>
      </c>
      <c r="D14" s="25">
        <v>-180</v>
      </c>
      <c r="E14" s="26">
        <f t="shared" si="0"/>
        <v>-85.3</v>
      </c>
      <c r="F14" s="26">
        <f t="shared" si="1"/>
        <v>3124.7125000000001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3124.7125000000001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4">
        <v>289.8</v>
      </c>
      <c r="D15" s="25">
        <v>-180</v>
      </c>
      <c r="E15" s="26">
        <f t="shared" si="0"/>
        <v>109.80000000000001</v>
      </c>
      <c r="F15" s="26">
        <f t="shared" si="1"/>
        <v>1248.9750000000001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1248.9750000000001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4">
        <v>-169.4</v>
      </c>
      <c r="D16" s="25">
        <v>-180</v>
      </c>
      <c r="E16" s="26">
        <f t="shared" si="0"/>
        <v>-10.599999999999994</v>
      </c>
      <c r="F16" s="26">
        <f t="shared" si="1"/>
        <v>3974.4249999999997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3974.4249999999997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4">
        <v>-36.700000000000003</v>
      </c>
      <c r="D17" s="25">
        <v>-180</v>
      </c>
      <c r="E17" s="26">
        <f t="shared" si="0"/>
        <v>-143.30000000000001</v>
      </c>
      <c r="F17" s="26">
        <f t="shared" si="1"/>
        <v>2464.9625000000001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2464.9625000000001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4">
        <v>-218.9</v>
      </c>
      <c r="D18" s="25">
        <v>-180</v>
      </c>
      <c r="E18" s="26">
        <f t="shared" si="0"/>
        <v>38.900000000000006</v>
      </c>
      <c r="F18" s="26">
        <f t="shared" si="1"/>
        <v>442.48750000000007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442.48750000000007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146.6</v>
      </c>
      <c r="D30" s="25">
        <v>180</v>
      </c>
      <c r="E30" s="26">
        <f>(C30-D30)</f>
        <v>-33.400000000000006</v>
      </c>
      <c r="F30" s="26">
        <f>IF(E30&gt;=0,(E30*11.375),(360+E30)*11.375)</f>
        <v>3715.0750000000003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3715.0750000000003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52.7</v>
      </c>
      <c r="D31" s="25">
        <v>180</v>
      </c>
      <c r="E31" s="26">
        <f>(C31-D31)</f>
        <v>-127.3</v>
      </c>
      <c r="F31" s="26">
        <f>IF(E31&gt;=0,(E31*11.375),(360+E31)*11.375)</f>
        <v>2646.9625000000001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2646.9625000000001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133</v>
      </c>
      <c r="D32" s="25">
        <v>180</v>
      </c>
      <c r="E32" s="26">
        <f>(C32-D32)</f>
        <v>-47</v>
      </c>
      <c r="F32" s="26">
        <f>IF(E32&gt;=0,(E32*11.375),(360+E32)*11.375)</f>
        <v>3560.375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3560.375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-39</v>
      </c>
      <c r="D37" s="25">
        <v>-180</v>
      </c>
      <c r="E37" s="26">
        <f>(ABS(C37)-ABS(D37))</f>
        <v>-141</v>
      </c>
      <c r="F37" s="26">
        <f>IF(E37&gt;=0,(E37*11.375),(360+E37)*11.375)</f>
        <v>2491.125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2491.125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-271.10000000000002</v>
      </c>
      <c r="D38" s="25">
        <v>-315</v>
      </c>
      <c r="E38" s="26">
        <f>(ABS(C38)-ABS(D38))</f>
        <v>-43.899999999999977</v>
      </c>
      <c r="F38" s="26">
        <f>IF(E38&gt;=0,(E38*11.375),(360+E38)*11.375)</f>
        <v>3595.6375000000003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3595.6375000000003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153</v>
      </c>
      <c r="D39" s="25">
        <f>-L39/-K39</f>
        <v>24.257819103972956</v>
      </c>
      <c r="E39" s="45">
        <f>ABS((+C39/(40/65)-(C37-C38)/(40/65)))-ABS(180)</f>
        <v>-51.462499999999977</v>
      </c>
      <c r="F39" s="45">
        <f>IF(E39&gt;=0,(E39*11.375),(360+E39)*11.375)</f>
        <v>3509.6140625000003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3509.6140625000003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0.7</v>
      </c>
      <c r="D40" s="25">
        <v>-180</v>
      </c>
      <c r="E40" s="26">
        <f>(ABS(C40)-ABS(D40))</f>
        <v>-179.3</v>
      </c>
      <c r="F40" s="26">
        <f>IF(E40&gt;=0,(E40*11.375),(360+E40)*11.375)</f>
        <v>2055.4625000000001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2055.4625000000001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28.480360592401805</v>
      </c>
      <c r="E48" s="34"/>
      <c r="F48" s="34"/>
      <c r="G48" s="27">
        <v>-10</v>
      </c>
      <c r="H48" s="27">
        <v>90</v>
      </c>
      <c r="I48" s="47">
        <v>287</v>
      </c>
      <c r="J48" s="47">
        <v>1840</v>
      </c>
      <c r="K48" s="30">
        <f t="shared" ref="K48:K55" si="5">(J48-I48)/(H48-G48)</f>
        <v>15.53</v>
      </c>
      <c r="L48" s="27">
        <f>ABS(D48*K48)</f>
        <v>442.3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-182.27848101265823</v>
      </c>
      <c r="E54" s="34"/>
      <c r="F54" s="34"/>
      <c r="G54" s="27">
        <v>0</v>
      </c>
      <c r="H54" s="27">
        <v>180</v>
      </c>
      <c r="I54" s="75">
        <v>480</v>
      </c>
      <c r="J54" s="75">
        <v>6</v>
      </c>
      <c r="K54" s="30">
        <f t="shared" si="5"/>
        <v>-2.6333333333333333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197.2</v>
      </c>
      <c r="D59" s="25">
        <v>180</v>
      </c>
      <c r="E59" s="26">
        <f>(ABS(C59)-ABS(D59))</f>
        <v>17.199999999999989</v>
      </c>
      <c r="F59" s="26">
        <f>IF(E59&gt;=0,(E59*11.375),(360+E59)*11.375)</f>
        <v>195.64999999999986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195.64999999999986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83.4</v>
      </c>
      <c r="D60" s="25">
        <f>45</f>
        <v>45</v>
      </c>
      <c r="E60" s="26">
        <f>(ABS(C60)-ABS(D60))</f>
        <v>38.400000000000006</v>
      </c>
      <c r="F60" s="26">
        <f>IF(E60&gt;=0,(E60*11.375),(360+E60)*11.375)</f>
        <v>436.80000000000007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436.80000000000007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318.10000000000002</v>
      </c>
      <c r="D61" s="25">
        <f>L61/K61</f>
        <v>245.74218089602704</v>
      </c>
      <c r="E61" s="45">
        <f>ABS((+C61/(40/65)-(C59-C60)/(40/65)))-ABS(180)</f>
        <v>151.98750000000007</v>
      </c>
      <c r="F61" s="45">
        <f>IF(E61&gt;=0,(E61*11.375),(360+E61)*11.375)</f>
        <v>1728.8578125000008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1728.8578125000008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40.9</v>
      </c>
      <c r="D62" s="25">
        <v>180</v>
      </c>
      <c r="E62" s="26">
        <f>(ABS(C62)-ABS(D62))</f>
        <v>-139.1</v>
      </c>
      <c r="F62" s="26">
        <f>IF(E62&gt;=0,(E62*11.375),(360+E62)*11.375)</f>
        <v>2512.7375000000002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2512.7375000000002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603.15789473684208</v>
      </c>
      <c r="E66" s="34"/>
      <c r="F66" s="34"/>
      <c r="G66" s="25">
        <v>0</v>
      </c>
      <c r="H66" s="25">
        <v>60</v>
      </c>
      <c r="I66" s="29">
        <v>1910</v>
      </c>
      <c r="J66" s="29">
        <v>2100</v>
      </c>
      <c r="K66" s="65">
        <f>(J66-I66)/(H66-G66)</f>
        <v>3.1666666666666665</v>
      </c>
      <c r="L66" s="25">
        <f>ABS(+D66*K66)</f>
        <v>1909.9999999999998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230</v>
      </c>
      <c r="J71" s="75">
        <v>0</v>
      </c>
      <c r="K71" s="30">
        <f t="shared" si="7"/>
        <v>-2.5555555555555554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-194.48275862068968</v>
      </c>
      <c r="E72" s="34"/>
      <c r="F72" s="34"/>
      <c r="G72" s="27">
        <v>0</v>
      </c>
      <c r="H72" s="27">
        <v>180</v>
      </c>
      <c r="I72" s="75">
        <v>470</v>
      </c>
      <c r="J72" s="75">
        <v>35</v>
      </c>
      <c r="K72" s="30">
        <f t="shared" si="7"/>
        <v>-2.4166666666666665</v>
      </c>
      <c r="L72" s="27">
        <f>+J72</f>
        <v>35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-90</v>
      </c>
      <c r="E73" s="34"/>
      <c r="F73" s="34"/>
      <c r="G73" s="27">
        <v>0</v>
      </c>
      <c r="H73" s="27">
        <v>90</v>
      </c>
      <c r="I73" s="75">
        <v>224</v>
      </c>
      <c r="J73" s="75">
        <v>0</v>
      </c>
      <c r="K73" s="30">
        <f t="shared" si="7"/>
        <v>-2.4888888888888889</v>
      </c>
      <c r="L73" s="27">
        <f>I73</f>
        <v>224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-187.67590618336885</v>
      </c>
      <c r="E74" s="34"/>
      <c r="F74" s="34"/>
      <c r="G74" s="27">
        <v>0</v>
      </c>
      <c r="H74" s="27">
        <v>180</v>
      </c>
      <c r="I74" s="75">
        <v>489</v>
      </c>
      <c r="J74" s="75">
        <v>20</v>
      </c>
      <c r="K74" s="30">
        <f t="shared" si="7"/>
        <v>-2.6055555555555556</v>
      </c>
      <c r="L74" s="27">
        <f>+J74</f>
        <v>20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-92.027027027027017</v>
      </c>
      <c r="E75" s="34"/>
      <c r="F75" s="34"/>
      <c r="G75" s="27">
        <v>0</v>
      </c>
      <c r="H75" s="27">
        <v>90</v>
      </c>
      <c r="I75" s="75">
        <v>227</v>
      </c>
      <c r="J75" s="75">
        <v>5</v>
      </c>
      <c r="K75" s="30">
        <f t="shared" si="7"/>
        <v>-2.4666666666666668</v>
      </c>
      <c r="L75" s="27">
        <f>I75</f>
        <v>227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-202.85714285714283</v>
      </c>
      <c r="E76" s="34"/>
      <c r="F76" s="34"/>
      <c r="G76" s="27">
        <v>0</v>
      </c>
      <c r="H76" s="27">
        <v>180</v>
      </c>
      <c r="I76" s="75">
        <v>497</v>
      </c>
      <c r="J76" s="75">
        <v>56</v>
      </c>
      <c r="K76" s="30">
        <f t="shared" si="7"/>
        <v>-2.4500000000000002</v>
      </c>
      <c r="L76" s="27">
        <f>J76</f>
        <v>56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-300.54298642533934</v>
      </c>
      <c r="E77" s="34"/>
      <c r="F77" s="34"/>
      <c r="G77" s="27">
        <v>0</v>
      </c>
      <c r="H77" s="27">
        <v>270</v>
      </c>
      <c r="I77" s="75">
        <v>738</v>
      </c>
      <c r="J77" s="75">
        <v>75</v>
      </c>
      <c r="K77" s="30">
        <f t="shared" si="7"/>
        <v>-2.4555555555555557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zoomScaleNormal="100" workbookViewId="0">
      <selection activeCell="A105" sqref="A10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2652.65</v>
      </c>
      <c r="C95" s="76">
        <f>+INDEX(Sheet1!$N$7:$N20,COLUMN()-COLUMN($B$91)+1)</f>
        <v>2943.85</v>
      </c>
      <c r="D95" s="76">
        <f>+INDEX(Sheet1!$N$7:$N20,COLUMN()-COLUMN($B$91)+1)</f>
        <v>1976.9750000000001</v>
      </c>
      <c r="E95" s="76">
        <f>+INDEX(Sheet1!$N$7:$N20,COLUMN()-COLUMN($B$91)+1)</f>
        <v>1644.8250000000003</v>
      </c>
      <c r="F95" s="76">
        <f>+INDEX(Sheet1!$N$7:$N20,COLUMN()-COLUMN($B$91)+1)</f>
        <v>2396.7125000000001</v>
      </c>
      <c r="G95" s="76">
        <f>+INDEX(Sheet1!$N$7:$N20,COLUMN()-COLUMN($B$91)+1)</f>
        <v>1730.1375000000003</v>
      </c>
      <c r="H95" s="76">
        <f>+INDEX(Sheet1!$N$7:$N20,COLUMN()-COLUMN($B$91)+1)</f>
        <v>3931.2000000000003</v>
      </c>
      <c r="I95" s="76">
        <f>+INDEX(Sheet1!$N$7:$N20,COLUMN()-COLUMN($B$91)+1)</f>
        <v>3124.7125000000001</v>
      </c>
      <c r="J95" s="76">
        <f>+INDEX(Sheet1!$N$7:$N20,COLUMN()-COLUMN($B$91)+1)</f>
        <v>1248.9750000000001</v>
      </c>
      <c r="K95" s="76">
        <f>+INDEX(Sheet1!$N$7:$N20,COLUMN()-COLUMN($B$91)+1)</f>
        <v>3974.4249999999997</v>
      </c>
      <c r="L95" s="76">
        <f>+INDEX(Sheet1!$N$7:$N20,COLUMN()-COLUMN($B$91)+1)</f>
        <v>2464.9625000000001</v>
      </c>
      <c r="M95" s="76">
        <f>+INDEX(Sheet1!$N$7:$N20,COLUMN()-COLUMN($B$91)+1)</f>
        <v>442.48750000000007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69" zoomScaleNormal="100" workbookViewId="0">
      <selection activeCell="F80" sqref="F8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5.666666666666667</v>
      </c>
    </row>
    <row r="50" spans="1:9">
      <c r="A50" t="s">
        <v>224</v>
      </c>
      <c r="B50" s="22">
        <f>+INDEX(Sheet1!$D$37:$D$44,COLUMN()-COLUMN($B$82)+1)</f>
        <v>-180</v>
      </c>
      <c r="C50" s="22">
        <f>+INDEX(Sheet1!$D$37:$D$44,COLUMN()-COLUMN($B$82)+1)</f>
        <v>-315</v>
      </c>
      <c r="D50" s="22">
        <f>+INDEX(Sheet1!$D$37:$D$44,COLUMN()-COLUMN($B$82)+1)</f>
        <v>24.257819103972956</v>
      </c>
      <c r="E50" s="22">
        <f>+INDEX(Sheet1!$D$37:$D$44,COLUMN()-COLUMN($B$82)+1)</f>
        <v>-180</v>
      </c>
      <c r="F50" s="22">
        <f>+INDEX(Sheet1!$D$37:$D$44,COLUMN()-COLUMN($B$82)+1)</f>
        <v>90</v>
      </c>
      <c r="G50" s="22">
        <f>+INDEX(Sheet1!$D$37:$D$44,COLUMN()-COLUMN($B$82)+1)</f>
        <v>-20</v>
      </c>
      <c r="H50" s="22">
        <f>+INDEX(Sheet1!$D$37:$D$44,COLUMN()-COLUMN($B$82)+1)</f>
        <v>-52</v>
      </c>
      <c r="I50" s="22">
        <f>+INDEX(Sheet1!$D$37:$D$44,COLUMN()-COLUMN($B$82)+1)</f>
        <v>281.11764705882354</v>
      </c>
    </row>
    <row r="52" spans="1:9">
      <c r="A52" t="s">
        <v>106</v>
      </c>
      <c r="B52">
        <v>0</v>
      </c>
    </row>
    <row r="53" spans="1:9" ht="15.75" customHeight="1"/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231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v>500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1593.0000000000002</v>
      </c>
    </row>
    <row r="81" spans="1:9">
      <c r="A81" t="s">
        <v>132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133</v>
      </c>
      <c r="B82" s="22">
        <f>+INDEX(Sheet1!$N$37:$N$44,COLUMN()-COLUMN($B$82)+1)</f>
        <v>2491.125</v>
      </c>
      <c r="C82" s="22">
        <f>+INDEX(Sheet1!$N$37:$N$44,COLUMN()-COLUMN($B$82)+1)</f>
        <v>3595.6375000000003</v>
      </c>
      <c r="D82" s="22">
        <f>+INDEX(Sheet1!$N$37:$N$44,COLUMN()-COLUMN($B$82)+1)</f>
        <v>3509.6140625000003</v>
      </c>
      <c r="E82" s="22">
        <f>+INDEX(Sheet1!$N$37:$N$44,COLUMN()-COLUMN($B$82)+1)</f>
        <v>2055.4625000000001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134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135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0</v>
      </c>
      <c r="I88" s="22">
        <f>+INDEX(Sheet1!$Q$37:$Q$44,COLUMN()-COLUMN($B$82)+1)</f>
        <v>0</v>
      </c>
    </row>
    <row r="89" spans="1:9">
      <c r="A89" t="s">
        <v>138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62" zoomScale="85" zoomScaleNormal="85" workbookViewId="0">
      <selection activeCell="C69" sqref="C6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250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237</v>
      </c>
      <c r="B49" s="40">
        <f>+INDEX(Sheet1!$K$48:$K$56,COLUMN()-COLUMN($B$83)+1)</f>
        <v>15.53</v>
      </c>
      <c r="C49" s="40">
        <f>+INDEX(Sheet1!$K$48:$K$56,COLUMN()-COLUMN($B$83)+1)</f>
        <v>-2.411111111111111</v>
      </c>
      <c r="D49" s="40">
        <f>+INDEX(Sheet1!$K$48:$K$56,COLUMN()-COLUMN($B$83)+1)</f>
        <v>-2.588888888888889</v>
      </c>
      <c r="E49" s="40">
        <f>+INDEX(Sheet1!$K$48:$K$56,COLUMN()-COLUMN($B$83)+1)</f>
        <v>-2.1333333333333333</v>
      </c>
      <c r="F49" s="40">
        <f>+INDEX(Sheet1!$K$48:$K$56,COLUMN()-COLUMN($B$83)+1)</f>
        <v>-2.3277777777777779</v>
      </c>
      <c r="G49" s="40">
        <f>+INDEX(Sheet1!$K$48:$K$56,COLUMN()-COLUMN($B$83)+1)</f>
        <v>-2.3111111111111109</v>
      </c>
      <c r="H49" s="40">
        <f>+INDEX(Sheet1!$K$48:$K$56,COLUMN()-COLUMN($B$83)+1)</f>
        <v>-2.6333333333333333</v>
      </c>
      <c r="I49" s="40">
        <f>+INDEX(Sheet1!$K$48:$K$56,COLUMN()-COLUMN($B$83)+1)</f>
        <v>-2.162962962962963</v>
      </c>
    </row>
    <row r="50" spans="1:9">
      <c r="A50" t="s">
        <v>224</v>
      </c>
      <c r="B50" s="40">
        <f>+INDEX(Sheet1!$D$48:$D$56,COLUMN()-COLUMN($B$83)+1)</f>
        <v>28.480360592401805</v>
      </c>
      <c r="C50" s="40">
        <f>+INDEX(Sheet1!$D$48:$D$56,COLUMN()-COLUMN($B$83)+1)</f>
        <v>-101.61290322580646</v>
      </c>
      <c r="D50" s="40">
        <f>+INDEX(Sheet1!$D$48:$D$56,COLUMN()-COLUMN($B$83)+1)</f>
        <v>-187.725321888412</v>
      </c>
      <c r="E50" s="40">
        <f>+INDEX(Sheet1!$D$48:$D$56,COLUMN()-COLUMN($B$83)+1)</f>
        <v>-111.09375</v>
      </c>
      <c r="F50" s="40">
        <f>+INDEX(Sheet1!$D$48:$D$56,COLUMN()-COLUMN($B$83)+1)</f>
        <v>-208.78281622911692</v>
      </c>
      <c r="G50" s="40">
        <f>+INDEX(Sheet1!$D$48:$D$56,COLUMN()-COLUMN($B$83)+1)</f>
        <v>-103.84615384615385</v>
      </c>
      <c r="H50" s="40">
        <f>+INDEX(Sheet1!$D$48:$D$56,COLUMN()-COLUMN($B$83)+1)</f>
        <v>-182.27848101265823</v>
      </c>
      <c r="I50" s="40">
        <f>+INDEX(Sheet1!$D$48:$D$56,COLUMN()-COLUMN($B$83)+1)</f>
        <v>-316.23287671232879</v>
      </c>
    </row>
    <row r="52" spans="1:9">
      <c r="A52" t="s">
        <v>106</v>
      </c>
      <c r="B52">
        <v>0</v>
      </c>
    </row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152</v>
      </c>
    </row>
    <row r="59" spans="1:9">
      <c r="A59" t="s">
        <v>241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233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234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5" spans="1:9">
      <c r="A65" t="s">
        <v>116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-250</v>
      </c>
      <c r="C68">
        <v>-32000</v>
      </c>
      <c r="D68">
        <v>0</v>
      </c>
      <c r="E68" s="22">
        <f t="shared" ref="E68:F75" si="0">+$B$3</f>
        <v>1333</v>
      </c>
      <c r="F68" s="22">
        <f t="shared" si="0"/>
        <v>1333</v>
      </c>
      <c r="G68">
        <v>4</v>
      </c>
      <c r="H68">
        <v>0</v>
      </c>
    </row>
    <row r="69" spans="1:9">
      <c r="A69" t="s">
        <v>118</v>
      </c>
      <c r="B69">
        <v>-250</v>
      </c>
      <c r="C69">
        <v>-32000</v>
      </c>
      <c r="D69">
        <v>0</v>
      </c>
      <c r="E69" s="22">
        <f t="shared" si="0"/>
        <v>1333</v>
      </c>
      <c r="F69" s="22">
        <f t="shared" si="0"/>
        <v>1333</v>
      </c>
      <c r="G69">
        <v>4</v>
      </c>
      <c r="H69">
        <v>0</v>
      </c>
    </row>
    <row r="70" spans="1:9">
      <c r="A70" t="s">
        <v>119</v>
      </c>
      <c r="B70">
        <v>250</v>
      </c>
      <c r="C70">
        <v>32000</v>
      </c>
      <c r="D70">
        <v>0</v>
      </c>
      <c r="E70" s="22">
        <f t="shared" si="0"/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120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>+$B$3</f>
        <v>1333</v>
      </c>
      <c r="G71">
        <v>4</v>
      </c>
      <c r="H71">
        <v>0</v>
      </c>
    </row>
    <row r="72" spans="1:9">
      <c r="A72" t="s">
        <v>121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122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4</v>
      </c>
      <c r="H73">
        <v>0</v>
      </c>
    </row>
    <row r="74" spans="1:9">
      <c r="A74" t="s">
        <v>123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124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236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131</v>
      </c>
      <c r="B80" s="22">
        <f>+INDEX(Sheet1!$L$48:$L$56,COLUMN()-COLUMN($B$81)+1)</f>
        <v>442.3</v>
      </c>
      <c r="C80" s="22">
        <f>+INDEX(Sheet1!$L$48:$L$56,COLUMN()-COLUMN($B$81)+1)</f>
        <v>245</v>
      </c>
      <c r="D80" s="22">
        <f>+INDEX(Sheet1!$L$48:$L$56,COLUMN()-COLUMN($B$81)+1)</f>
        <v>20</v>
      </c>
      <c r="E80" s="22">
        <f>+INDEX(Sheet1!$L$48:$L$56,COLUMN()-COLUMN($B$81)+1)</f>
        <v>237</v>
      </c>
      <c r="F80" s="22">
        <f>+INDEX(Sheet1!$L$48:$L$56,COLUMN()-COLUMN($B$81)+1)</f>
        <v>67</v>
      </c>
      <c r="G80" s="22">
        <f>+INDEX(Sheet1!$L$48:$L$56,COLUMN()-COLUMN($B$81)+1)</f>
        <v>240</v>
      </c>
      <c r="H80" s="22">
        <f>+INDEX(Sheet1!$L$48:$L$56,COLUMN()-COLUMN($B$81)+1)</f>
        <v>6</v>
      </c>
      <c r="I80" s="22">
        <f>+INDEX(Sheet1!$L$48:$L$56,COLUMN()-COLUMN($B$81)+1)</f>
        <v>684</v>
      </c>
    </row>
    <row r="81" spans="1:9">
      <c r="A81" t="s">
        <v>132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133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6600</v>
      </c>
      <c r="E82" s="22">
        <f>+INDEX(Sheet1!$N$48:$N$56,COLUMN()-COLUMN($B$81)+1)</f>
        <v>6000</v>
      </c>
      <c r="F82" s="22">
        <f>+INDEX(Sheet1!$N$48:$N$56,COLUMN()-COLUMN($B$81)+1)</f>
        <v>6600</v>
      </c>
      <c r="G82" s="22">
        <f>+INDEX(Sheet1!$N$48:$N$56,COLUMN()-COLUMN($B$81)+1)</f>
        <v>6000</v>
      </c>
      <c r="H82" s="22">
        <f>+INDEX(Sheet1!$N$48:$N$56,COLUMN()-COLUMN($B$81)+1)</f>
        <v>-6600</v>
      </c>
      <c r="I82" s="22">
        <f>+INDEX(Sheet1!$N$48:$N$56,COLUMN()-COLUMN($B$81)+1)</f>
        <v>26000</v>
      </c>
    </row>
    <row r="83" spans="1:9">
      <c r="A83" t="s">
        <v>134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135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136</v>
      </c>
    </row>
    <row r="87" spans="1:9">
      <c r="A87" t="s">
        <v>236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138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61" zoomScale="75" zoomScaleNormal="75" workbookViewId="0">
      <selection activeCell="G75" sqref="G75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3.1666666666666665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603.15789473684208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1909.9999999999998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195.64999999999986</v>
      </c>
      <c r="C82" s="22">
        <f>+INDEX(Sheet1!$N$59:$N$66,COLUMN()-COLUMN($B$83)+1)</f>
        <v>436.80000000000007</v>
      </c>
      <c r="D82" s="22">
        <f>+INDEX(Sheet1!$N$59:$N$66,COLUMN()-COLUMN($B$83)+1)</f>
        <v>1728.8578125000008</v>
      </c>
      <c r="E82" s="22">
        <f>+INDEX(Sheet1!$N$59:$N$66,COLUMN()-COLUMN($B$83)+1)</f>
        <v>2512.7375000000002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7" zoomScale="75" zoomScaleNormal="75" workbookViewId="0">
      <selection activeCell="G77" sqref="G77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12.98</v>
      </c>
      <c r="C50" s="40">
        <f>+INDEX(Sheet1!$K$70:$K$77,COLUMN()-COLUMN($B$81)+1)</f>
        <v>-2.5555555555555554</v>
      </c>
      <c r="D50" s="40">
        <f>+INDEX(Sheet1!$K$70:$K$77,COLUMN()-COLUMN($B$81)+1)</f>
        <v>-2.4166666666666665</v>
      </c>
      <c r="E50" s="40">
        <f>+INDEX(Sheet1!$K$70:$K$77,COLUMN()-COLUMN($B$81)+1)</f>
        <v>-2.4888888888888889</v>
      </c>
      <c r="F50" s="40">
        <f>+INDEX(Sheet1!$K$70:$K$77,COLUMN()-COLUMN($B$81)+1)</f>
        <v>-2.6055555555555556</v>
      </c>
      <c r="G50" s="40">
        <f>+INDEX(Sheet1!$K$70:$K$77,COLUMN()-COLUMN($B$81)+1)</f>
        <v>-2.4666666666666668</v>
      </c>
      <c r="H50" s="40">
        <f>+INDEX(Sheet1!$K$70:$K$77,COLUMN()-COLUMN($B$81)+1)</f>
        <v>-2.4500000000000002</v>
      </c>
      <c r="I50" s="40">
        <f>+INDEX(Sheet1!$K$70:$K$77,COLUMN()-COLUMN($B$81)+1)</f>
        <v>-2.4555555555555557</v>
      </c>
    </row>
    <row r="51" spans="1:9">
      <c r="A51" t="s">
        <v>224</v>
      </c>
      <c r="B51" s="40">
        <f>+INDEX(Sheet1!$D$70:$D$77,COLUMN()-COLUMN($B$81)+1)</f>
        <v>39.429892141756547</v>
      </c>
      <c r="C51" s="40">
        <f>+INDEX(Sheet1!$D$70:$D$77,COLUMN()-COLUMN($B$81)+1)</f>
        <v>-90</v>
      </c>
      <c r="D51" s="40">
        <f>+INDEX(Sheet1!$D$70:$D$77,COLUMN()-COLUMN($B$81)+1)</f>
        <v>-194.48275862068968</v>
      </c>
      <c r="E51" s="40">
        <f>+INDEX(Sheet1!$D$70:$D$77,COLUMN()-COLUMN($B$81)+1)</f>
        <v>-90</v>
      </c>
      <c r="F51" s="40">
        <f>+INDEX(Sheet1!$D$70:$D$77,COLUMN()-COLUMN($B$81)+1)</f>
        <v>-187.67590618336885</v>
      </c>
      <c r="G51" s="40">
        <f>+INDEX(Sheet1!$D$70:$D$77,COLUMN()-COLUMN($B$81)+1)</f>
        <v>-92.027027027027017</v>
      </c>
      <c r="H51" s="40">
        <f>+INDEX(Sheet1!$D$70:$D$77,COLUMN()-COLUMN($B$81)+1)</f>
        <v>-202.85714285714283</v>
      </c>
      <c r="I51" s="40">
        <f>+INDEX(Sheet1!$D$70:$D$77,COLUMN()-COLUMN($B$81)+1)</f>
        <v>-300.54298642533934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4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4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4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511.8</v>
      </c>
      <c r="C81" s="22">
        <f>+INDEX(Sheet1!$L$70:$L$77,COLUMN()-COLUMN($B$79)+1)</f>
        <v>230</v>
      </c>
      <c r="D81" s="22">
        <f>+INDEX(Sheet1!$L$70:$L$77,COLUMN()-COLUMN($B$79)+1)</f>
        <v>35</v>
      </c>
      <c r="E81" s="22">
        <f>+INDEX(Sheet1!$L$70:$L$77,COLUMN()-COLUMN($B$79)+1)</f>
        <v>224</v>
      </c>
      <c r="F81" s="22">
        <f>+INDEX(Sheet1!$L$70:$L$77,COLUMN()-COLUMN($B$79)+1)</f>
        <v>20</v>
      </c>
      <c r="G81" s="22">
        <f>+INDEX(Sheet1!$L$70:$L$77,COLUMN()-COLUMN($B$79)+1)</f>
        <v>227</v>
      </c>
      <c r="H81" s="22">
        <f>+INDEX(Sheet1!$L$70:$L$77,COLUMN()-COLUMN($B$79)+1)</f>
        <v>56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7" zoomScale="85" zoomScaleNormal="85" workbookViewId="0">
      <selection activeCell="M55" sqref="M55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3715.0750000000003</v>
      </c>
      <c r="I70" s="22">
        <f>+INDEX(Sheet1!$N$24:$N34,COLUMN()-COLUMN($B$69)+1)</f>
        <v>2646.9625000000001</v>
      </c>
      <c r="J70" s="22">
        <f>+INDEX(Sheet1!$N$24:$N34,COLUMN()-COLUMN($B$69)+1)</f>
        <v>3560.375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3715.0750000000003</v>
      </c>
      <c r="C25">
        <f>Head_Torso!I70</f>
        <v>2646.9625000000001</v>
      </c>
      <c r="D25">
        <f>Head_Torso!J70</f>
        <v>3560.375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196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Left_hand!B80</f>
        <v>442.3</v>
      </c>
      <c r="K36">
        <f>Left_hand!C80</f>
        <v>245</v>
      </c>
      <c r="L36">
        <f>Left_hand!D80</f>
        <v>20</v>
      </c>
      <c r="M36">
        <f>Left_hand!E80</f>
        <v>237</v>
      </c>
      <c r="N36">
        <f>Left_hand!F80</f>
        <v>67</v>
      </c>
      <c r="O36">
        <f>Left_hand!G80</f>
        <v>240</v>
      </c>
      <c r="P36">
        <f>Left_hand!H80</f>
        <v>6</v>
      </c>
      <c r="Q36">
        <f>Left_hand!I80</f>
        <v>684</v>
      </c>
    </row>
    <row r="37" spans="1:17">
      <c r="A37" t="s">
        <v>197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194</v>
      </c>
      <c r="B38">
        <f>Left_arm!B82</f>
        <v>2491.125</v>
      </c>
      <c r="C38">
        <f>Left_arm!C82</f>
        <v>3595.6375000000003</v>
      </c>
      <c r="D38">
        <f>Left_arm!D82</f>
        <v>3509.6140625000003</v>
      </c>
      <c r="E38">
        <f>Left_arm!E82</f>
        <v>2055.4625000000001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135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1909.9999999999998</v>
      </c>
      <c r="J49">
        <f>Right_hand!B81</f>
        <v>511.8</v>
      </c>
      <c r="K49">
        <f>Right_hand!C81</f>
        <v>230</v>
      </c>
      <c r="L49">
        <f>Right_hand!D81</f>
        <v>35</v>
      </c>
      <c r="M49">
        <f>Right_hand!E81</f>
        <v>224</v>
      </c>
      <c r="N49">
        <f>Right_hand!F81</f>
        <v>20</v>
      </c>
      <c r="O49">
        <f>Right_hand!G81</f>
        <v>227</v>
      </c>
      <c r="P49">
        <f>Right_hand!H81</f>
        <v>56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195.64999999999986</v>
      </c>
      <c r="C51">
        <f>Right_arm!C82</f>
        <v>436.80000000000007</v>
      </c>
      <c r="D51">
        <f>Right_arm!D82</f>
        <v>1728.8578125000008</v>
      </c>
      <c r="E51">
        <f>Right_arm!E82</f>
        <v>2512.7375000000002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3931.2000000000003</v>
      </c>
      <c r="C64">
        <f>Legs!I95</f>
        <v>3124.7125000000001</v>
      </c>
      <c r="D64">
        <f>Legs!J95</f>
        <v>1248.9750000000001</v>
      </c>
      <c r="E64">
        <f>Legs!K95</f>
        <v>3974.4249999999997</v>
      </c>
      <c r="F64">
        <f>Legs!L95</f>
        <v>2464.9625000000001</v>
      </c>
      <c r="G64">
        <f>Legs!M95</f>
        <v>442.48750000000007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2652.65</v>
      </c>
      <c r="C76">
        <f>Legs!C95</f>
        <v>2943.85</v>
      </c>
      <c r="D76">
        <f>Legs!D95</f>
        <v>1976.9750000000001</v>
      </c>
      <c r="E76">
        <f>Legs!E95</f>
        <v>1644.8250000000003</v>
      </c>
      <c r="F76">
        <f>Legs!F95</f>
        <v>2396.7125000000001</v>
      </c>
      <c r="G76">
        <f>Legs!G95</f>
        <v>1730.1375000000003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2010-03-25T11:49:41Z</dcterms:modified>
</cp:coreProperties>
</file>