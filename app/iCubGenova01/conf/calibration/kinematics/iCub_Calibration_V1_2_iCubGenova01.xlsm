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9720" windowHeight="5505" tabRatio="698" activeTab="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F81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2" i="4"/>
  <c r="D62"/>
  <c r="E62"/>
  <c r="F62"/>
  <c r="G62"/>
  <c r="H62"/>
  <c r="I62"/>
  <c r="B62"/>
  <c r="C61"/>
  <c r="D61"/>
  <c r="E61"/>
  <c r="F61"/>
  <c r="G61"/>
  <c r="H61"/>
  <c r="I61"/>
  <c r="B61"/>
  <c r="C63" i="6"/>
  <c r="D63"/>
  <c r="E63"/>
  <c r="F63"/>
  <c r="G63"/>
  <c r="H63"/>
  <c r="I63"/>
  <c r="B63"/>
  <c r="C62"/>
  <c r="D62"/>
  <c r="E62"/>
  <c r="F62"/>
  <c r="G62"/>
  <c r="H62"/>
  <c r="I62"/>
  <c r="B62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3" i="4"/>
  <c r="C77" i="7"/>
  <c r="D77"/>
  <c r="E77"/>
  <c r="F77"/>
  <c r="G77"/>
  <c r="H77"/>
  <c r="I77"/>
  <c r="J77"/>
  <c r="K77"/>
  <c r="C78"/>
  <c r="D78"/>
  <c r="E78"/>
  <c r="F78"/>
  <c r="G78"/>
  <c r="H78"/>
  <c r="I78"/>
  <c r="J78"/>
  <c r="K78"/>
  <c r="B78"/>
  <c r="B77"/>
  <c r="C90" i="6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5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4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3" i="7"/>
  <c r="D73"/>
  <c r="E73"/>
  <c r="F73"/>
  <c r="G73"/>
  <c r="H73"/>
  <c r="I73"/>
  <c r="J73"/>
  <c r="K73"/>
  <c r="B73"/>
  <c r="C72"/>
  <c r="D72"/>
  <c r="E72"/>
  <c r="F72"/>
  <c r="G72"/>
  <c r="H72"/>
  <c r="I72"/>
  <c r="J72"/>
  <c r="K72"/>
  <c r="B72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2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2" i="6" s="1"/>
  <c r="N49" i="8" s="1"/>
  <c r="I60" i="5"/>
  <c r="I61"/>
  <c r="D60"/>
  <c r="E60"/>
  <c r="F60"/>
  <c r="G60"/>
  <c r="H60"/>
  <c r="D61"/>
  <c r="E61"/>
  <c r="F61"/>
  <c r="G61"/>
  <c r="H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8" i="7"/>
  <c r="D48"/>
  <c r="E48"/>
  <c r="F48"/>
  <c r="G48"/>
  <c r="H48"/>
  <c r="I48"/>
  <c r="J48"/>
  <c r="C49"/>
  <c r="D49"/>
  <c r="E49"/>
  <c r="F49"/>
  <c r="G49"/>
  <c r="H49"/>
  <c r="I49"/>
  <c r="J49"/>
  <c r="B48"/>
  <c r="B49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1"/>
  <c r="I51"/>
  <c r="J51"/>
  <c r="K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B69"/>
  <c r="E69"/>
  <c r="F69"/>
  <c r="G69"/>
  <c r="K69"/>
  <c r="B70"/>
  <c r="C70"/>
  <c r="C11" i="8" s="1"/>
  <c r="D70" i="7"/>
  <c r="E70"/>
  <c r="E11" i="8" s="1"/>
  <c r="F70" i="7"/>
  <c r="G70"/>
  <c r="G11" i="8" s="1"/>
  <c r="H70" i="7"/>
  <c r="I70"/>
  <c r="C24" i="8" s="1"/>
  <c r="J70" i="7"/>
  <c r="D24" i="8" s="1"/>
  <c r="K70" i="7"/>
  <c r="B71"/>
  <c r="K71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9" i="4"/>
  <c r="F69"/>
  <c r="E70"/>
  <c r="F70"/>
  <c r="E71"/>
  <c r="F71"/>
  <c r="E72"/>
  <c r="F72"/>
  <c r="E73"/>
  <c r="F73"/>
  <c r="E74"/>
  <c r="F74"/>
  <c r="E75"/>
  <c r="F75"/>
  <c r="E76"/>
  <c r="F76"/>
  <c r="B82"/>
  <c r="J37" i="8" s="1"/>
  <c r="C82" i="4"/>
  <c r="K37" i="8" s="1"/>
  <c r="D82" i="4"/>
  <c r="L37" i="8" s="1"/>
  <c r="E82" i="4"/>
  <c r="M37" i="8" s="1"/>
  <c r="F82" i="4"/>
  <c r="N37" i="8" s="1"/>
  <c r="G82" i="4"/>
  <c r="O37" i="8" s="1"/>
  <c r="H82" i="4"/>
  <c r="P37" i="8" s="1"/>
  <c r="I82" i="4"/>
  <c r="Q37" i="8" s="1"/>
  <c r="B83" i="4"/>
  <c r="J38" i="8" s="1"/>
  <c r="C83" i="4"/>
  <c r="K38" i="8" s="1"/>
  <c r="L38"/>
  <c r="E83" i="4"/>
  <c r="M38" i="8" s="1"/>
  <c r="F83" i="4"/>
  <c r="N38" i="8" s="1"/>
  <c r="G83" i="4"/>
  <c r="O38" i="8" s="1"/>
  <c r="H83" i="4"/>
  <c r="P38" i="8" s="1"/>
  <c r="I83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49" i="8" s="1"/>
  <c r="E81" i="5"/>
  <c r="E49" i="8" s="1"/>
  <c r="G81" i="5"/>
  <c r="G49" i="8" s="1"/>
  <c r="H81" i="5"/>
  <c r="H49" i="8" s="1"/>
  <c r="F82" i="5"/>
  <c r="F50" i="8" s="1"/>
  <c r="G82" i="5"/>
  <c r="G50" i="8" s="1"/>
  <c r="H82" i="5"/>
  <c r="H50" i="8" s="1"/>
  <c r="I82" i="5"/>
  <c r="I50" i="8" s="1"/>
  <c r="F83" i="5"/>
  <c r="F51" i="8" s="1"/>
  <c r="G83" i="5"/>
  <c r="G51" i="8" s="1"/>
  <c r="H83" i="5"/>
  <c r="H51" i="8" s="1"/>
  <c r="I83" i="5"/>
  <c r="I51" i="8" s="1"/>
  <c r="E70" i="6"/>
  <c r="F70"/>
  <c r="E71"/>
  <c r="F71"/>
  <c r="E72"/>
  <c r="F72"/>
  <c r="E73"/>
  <c r="F73"/>
  <c r="E74"/>
  <c r="F74"/>
  <c r="E75"/>
  <c r="F75"/>
  <c r="E76"/>
  <c r="F76"/>
  <c r="E77"/>
  <c r="F77"/>
  <c r="B83"/>
  <c r="J50" i="8" s="1"/>
  <c r="C83" i="6"/>
  <c r="K50" i="8" s="1"/>
  <c r="D83" i="6"/>
  <c r="L50" i="8" s="1"/>
  <c r="E83" i="6"/>
  <c r="M50" i="8" s="1"/>
  <c r="F83" i="6"/>
  <c r="N50" i="8" s="1"/>
  <c r="G83" i="6"/>
  <c r="O50" i="8" s="1"/>
  <c r="H83" i="6"/>
  <c r="P50" i="8" s="1"/>
  <c r="I83" i="6"/>
  <c r="Q50" i="8" s="1"/>
  <c r="B84" i="6"/>
  <c r="J51" i="8" s="1"/>
  <c r="C84" i="6"/>
  <c r="K51" i="8" s="1"/>
  <c r="D84" i="6"/>
  <c r="L51" i="8" s="1"/>
  <c r="E84" i="6"/>
  <c r="M51" i="8" s="1"/>
  <c r="F84" i="6"/>
  <c r="N51" i="8" s="1"/>
  <c r="G84" i="6"/>
  <c r="O51" i="8" s="1"/>
  <c r="H84" i="6"/>
  <c r="P51" i="8" s="1"/>
  <c r="I84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 s="1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B81" i="9" s="1"/>
  <c r="B62" i="8" s="1"/>
  <c r="E14" i="1"/>
  <c r="F14" s="1"/>
  <c r="N14" s="1"/>
  <c r="L14"/>
  <c r="C81" i="9" s="1"/>
  <c r="C62" i="8" s="1"/>
  <c r="E15" i="1"/>
  <c r="F15" s="1"/>
  <c r="N15" s="1"/>
  <c r="L15"/>
  <c r="D81" i="9" s="1"/>
  <c r="D62" i="8" s="1"/>
  <c r="E16" i="1"/>
  <c r="F16" s="1"/>
  <c r="N16" s="1"/>
  <c r="L16"/>
  <c r="E81" i="9" s="1"/>
  <c r="E62" i="8" s="1"/>
  <c r="E17" i="1"/>
  <c r="F17" s="1"/>
  <c r="N17" s="1"/>
  <c r="L17"/>
  <c r="F81" i="9" s="1"/>
  <c r="F62" i="8" s="1"/>
  <c r="E18" i="1"/>
  <c r="F18" s="1"/>
  <c r="N18" s="1"/>
  <c r="L18"/>
  <c r="G81" i="9" s="1"/>
  <c r="G62" i="8" s="1"/>
  <c r="N25" i="1"/>
  <c r="C71" i="7"/>
  <c r="N26" i="1"/>
  <c r="D71" i="7"/>
  <c r="N27" i="1"/>
  <c r="E71" i="7"/>
  <c r="N28" i="1"/>
  <c r="F71" i="7"/>
  <c r="N29" i="1"/>
  <c r="G71" i="7"/>
  <c r="E30" i="1"/>
  <c r="F30" s="1"/>
  <c r="N30" s="1"/>
  <c r="H71" i="7" s="1"/>
  <c r="L30" i="1"/>
  <c r="H69" i="7" s="1"/>
  <c r="E31" i="1"/>
  <c r="F31" s="1"/>
  <c r="N31" s="1"/>
  <c r="I71" i="7" s="1"/>
  <c r="L31" i="1"/>
  <c r="I69" i="7"/>
  <c r="E32" i="1"/>
  <c r="F32" s="1"/>
  <c r="N32" s="1"/>
  <c r="J71" i="7" s="1"/>
  <c r="D25" i="8" s="1"/>
  <c r="L32" i="1"/>
  <c r="J69" i="7" s="1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1" i="4" s="1"/>
  <c r="K36" i="8" s="1"/>
  <c r="K50" i="1"/>
  <c r="D49" i="4" s="1"/>
  <c r="L50" i="1"/>
  <c r="D81" i="4" s="1"/>
  <c r="L36" i="8" s="1"/>
  <c r="K51" i="1"/>
  <c r="D51" s="1"/>
  <c r="E50" i="4" s="1"/>
  <c r="L51" i="1"/>
  <c r="E81" i="4" s="1"/>
  <c r="M36" i="8" s="1"/>
  <c r="K52" i="1"/>
  <c r="F49" i="4" s="1"/>
  <c r="L52" i="1"/>
  <c r="F81" i="4" s="1"/>
  <c r="N36" i="8" s="1"/>
  <c r="K53" i="1"/>
  <c r="D53" s="1"/>
  <c r="G50" i="4" s="1"/>
  <c r="L53" i="1"/>
  <c r="G81" i="4" s="1"/>
  <c r="O36" i="8" s="1"/>
  <c r="K54" i="1"/>
  <c r="H49" i="4" s="1"/>
  <c r="L54" i="1"/>
  <c r="H81" i="4" s="1"/>
  <c r="P36" i="8" s="1"/>
  <c r="K55" i="1"/>
  <c r="D55" s="1"/>
  <c r="I50" i="4" s="1"/>
  <c r="I81"/>
  <c r="Q36" i="8" s="1"/>
  <c r="K63" i="1"/>
  <c r="F49" i="5" s="1"/>
  <c r="K66" i="1"/>
  <c r="D66" s="1"/>
  <c r="I50" i="5" s="1"/>
  <c r="K70" i="1"/>
  <c r="D70" s="1"/>
  <c r="B51" i="6" s="1"/>
  <c r="K71" i="1"/>
  <c r="D71" s="1"/>
  <c r="C51" i="6" s="1"/>
  <c r="L71" i="1"/>
  <c r="C82" i="6" s="1"/>
  <c r="K49" i="8" s="1"/>
  <c r="K72" i="1"/>
  <c r="D72" s="1"/>
  <c r="D51" i="6" s="1"/>
  <c r="D82"/>
  <c r="L49" i="8" s="1"/>
  <c r="K73" i="1"/>
  <c r="D73" s="1"/>
  <c r="E51" i="6" s="1"/>
  <c r="L73" i="1"/>
  <c r="E82" i="6" s="1"/>
  <c r="M49" i="8" s="1"/>
  <c r="K74" i="1"/>
  <c r="D74" s="1"/>
  <c r="F51" i="6" s="1"/>
  <c r="K75" i="1"/>
  <c r="D75" s="1"/>
  <c r="G51" i="6" s="1"/>
  <c r="L75" i="1"/>
  <c r="G82" i="6" s="1"/>
  <c r="O49" i="8" s="1"/>
  <c r="K76" i="1"/>
  <c r="D76" s="1"/>
  <c r="H51" i="6" s="1"/>
  <c r="L76" i="1"/>
  <c r="H82" i="6" s="1"/>
  <c r="P49" i="8" s="1"/>
  <c r="K77" i="1"/>
  <c r="D77" s="1"/>
  <c r="I51" i="6" s="1"/>
  <c r="I82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3" i="5" s="1"/>
  <c r="C51" i="8" s="1"/>
  <c r="L60" i="1"/>
  <c r="C81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3" i="5" s="1"/>
  <c r="D51" i="8" s="1"/>
  <c r="E59" i="1"/>
  <c r="F59" s="1"/>
  <c r="N59" s="1"/>
  <c r="B83" i="5" s="1"/>
  <c r="B51" i="8" s="1"/>
  <c r="D82" i="5"/>
  <c r="D50" i="8" s="1"/>
  <c r="E82" i="5"/>
  <c r="E50" i="8" s="1"/>
  <c r="N62" i="1"/>
  <c r="E83" i="5" s="1"/>
  <c r="E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2" i="6" s="1"/>
  <c r="J49" i="8" s="1"/>
  <c r="I49" i="5"/>
  <c r="L66" i="1"/>
  <c r="I81" i="5" s="1"/>
  <c r="I49" i="8" s="1"/>
  <c r="L44" i="1"/>
  <c r="I80" i="3" s="1"/>
  <c r="I36" i="8" s="1"/>
  <c r="L48" i="1" l="1"/>
  <c r="B81" i="4" s="1"/>
  <c r="J36" i="8" s="1"/>
</calcChain>
</file>

<file path=xl/sharedStrings.xml><?xml version="1.0" encoding="utf-8"?>
<sst xmlns="http://schemas.openxmlformats.org/spreadsheetml/2006/main" count="881" uniqueCount="302">
  <si>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</si>
  <si>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</si>
  <si>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</si>
  <si>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</si>
  <si>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</si>
  <si>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</si>
  <si>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</si>
  <si>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</si>
  <si>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</si>
  <si>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</si>
  <si>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</si>
  <si>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</si>
  <si>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</si>
  <si>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</si>
  <si>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</si>
  <si>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</si>
  <si>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</si>
  <si>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</si>
  <si>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</si>
  <si>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</si>
  <si>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</si>
  <si>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</si>
  <si>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</si>
  <si>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</si>
  <si>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</si>
  <si>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</si>
  <si>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</si>
  <si>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</si>
  <si>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</si>
  <si>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</si>
  <si>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</si>
  <si>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</si>
  <si>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</si>
  <si>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</si>
  <si>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</si>
  <si>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</si>
  <si>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</si>
  <si>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</si>
  <si>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</si>
  <si>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</si>
  <si>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</si>
  <si>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</si>
  <si>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</si>
  <si>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</si>
  <si>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</si>
  <si>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</si>
  <si>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</si>
  <si>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</si>
  <si>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</si>
  <si>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</si>
  <si>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</si>
  <si>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</si>
  <si>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</si>
  <si>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</si>
  <si>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</si>
  <si>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</si>
  <si>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</si>
  <si>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</si>
  <si>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</si>
  <si>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</si>
  <si>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</si>
  <si>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</si>
  <si>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</si>
  <si>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</si>
  <si>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</si>
  <si>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</si>
  <si>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</si>
  <si>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</si>
  <si>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</si>
  <si>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</si>
  <si>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</si>
  <si>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</si>
  <si>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</si>
  <si>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</si>
  <si>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</si>
  <si>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</si>
  <si>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</si>
  <si>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</si>
  <si>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</si>
  <si>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</si>
  <si>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</si>
  <si>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</si>
  <si>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</si>
  <si>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</si>
  <si>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</si>
  <si>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</si>
  <si>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</si>
  <si>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</si>
  <si>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</si>
  <si>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</si>
  <si>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</si>
  <si>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</si>
  <si>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</si>
  <si>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</si>
  <si>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</si>
  <si>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</si>
  <si>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</si>
  <si>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</si>
  <si>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</si>
  <si>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</si>
  <si>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</si>
  <si>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</si>
  <si>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</si>
  <si>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</si>
  <si>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</si>
  <si>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</si>
  <si>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</si>
  <si>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</si>
  <si>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</si>
  <si>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</si>
  <si>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</si>
  <si>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</si>
  <si>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</si>
  <si>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</si>
  <si>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</si>
  <si>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</si>
  <si>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</si>
  <si>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</si>
  <si>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</si>
  <si>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</si>
  <si>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</si>
  <si>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</si>
  <si>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</si>
  <si>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</si>
  <si>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</si>
  <si>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</si>
  <si>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</si>
  <si>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</si>
  <si>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</si>
  <si>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</si>
  <si>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</si>
  <si>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</si>
  <si>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</si>
  <si>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</si>
  <si>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</si>
  <si>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</si>
  <si>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</si>
  <si>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</si>
  <si>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</si>
  <si>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</si>
  <si>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</si>
  <si>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</si>
  <si>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</si>
  <si>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</si>
  <si>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</si>
  <si>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</si>
  <si>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</si>
  <si>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</si>
  <si>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</si>
  <si>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</si>
  <si>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</si>
  <si>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</si>
  <si>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</si>
  <si>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</si>
  <si>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</si>
  <si>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</si>
  <si>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</si>
  <si>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</si>
  <si>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</si>
  <si>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</si>
  <si>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</si>
  <si>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</si>
  <si>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</si>
  <si>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</si>
  <si>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</si>
  <si>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</si>
  <si>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</si>
  <si>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</si>
  <si>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</si>
  <si>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</si>
  <si>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</si>
  <si>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</si>
  <si>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</si>
  <si>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</si>
  <si>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</si>
  <si>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</si>
  <si>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</si>
  <si>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</si>
  <si>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</si>
  <si>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</si>
  <si>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</si>
  <si>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</si>
  <si>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</si>
  <si>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</si>
  <si>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</si>
  <si>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</si>
  <si>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</si>
  <si>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</si>
  <si>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</si>
  <si>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</si>
  <si>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</si>
  <si>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</si>
  <si>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</si>
  <si>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</si>
  <si>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</si>
  <si>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</si>
  <si>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</si>
  <si>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</si>
  <si>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</si>
  <si>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</si>
  <si>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</si>
  <si>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</si>
  <si>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</si>
  <si>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</si>
  <si>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</si>
  <si>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</si>
  <si>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</si>
  <si>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</si>
  <si>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</si>
  <si>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</si>
  <si>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</si>
  <si>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</si>
  <si>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</si>
  <si>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</si>
  <si>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</si>
  <si>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</si>
  <si>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</si>
  <si>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</si>
  <si>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</si>
  <si>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</si>
  <si>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</si>
  <si>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</si>
  <si>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</si>
  <si>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</si>
  <si>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</si>
  <si>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</si>
  <si>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</si>
  <si>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</si>
  <si>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</si>
  <si>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</si>
  <si>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</si>
  <si>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</si>
  <si>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</si>
  <si>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</si>
  <si>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</si>
  <si>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</si>
  <si>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</si>
  <si>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</si>
  <si>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</si>
  <si>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</si>
  <si>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</si>
  <si>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</si>
  <si>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</si>
  <si>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</si>
  <si>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</si>
  <si>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</si>
  <si>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</si>
  <si>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</si>
  <si>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</si>
  <si>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</si>
  <si>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</si>
  <si>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</si>
  <si>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</si>
  <si>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</si>
  <si>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</si>
  <si>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</si>
  <si>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</si>
  <si>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</si>
  <si>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</si>
  <si>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</si>
  <si>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</si>
  <si>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</si>
  <si>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</si>
  <si>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</si>
  <si>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</si>
  <si>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</si>
  <si>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</si>
  <si>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</si>
  <si>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</si>
  <si>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</si>
  <si>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</si>
  <si>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</si>
  <si>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</si>
  <si>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</si>
  <si>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</si>
  <si>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</si>
  <si>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</si>
  <si>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</si>
  <si>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</si>
  <si>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</si>
  <si>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</si>
  <si>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</si>
  <si>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</si>
  <si>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</si>
  <si>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</si>
  <si>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</si>
  <si>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</si>
  <si>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</si>
  <si>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</si>
  <si>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</si>
  <si>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</si>
  <si>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</si>
  <si>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</si>
  <si>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</si>
  <si>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</si>
  <si>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</si>
  <si>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</si>
  <si>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</si>
  <si>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</si>
  <si>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//maximum time between two velocity in ms</t>
  </si>
  <si>
    <t>SpeedMessage (0x20E 0x08 0x0A)</t>
  </si>
  <si>
    <t>d:\iCub\app\iCubGenova01\conf\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</si>
</sst>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5" borderId="33" xfId="0" applyNumberFormat="1" applyFont="1" applyFill="1" applyBorder="1"/>
    <xf numFmtId="164" fontId="23" fillId="25" borderId="34" xfId="0" applyNumberFormat="1" applyFont="1" applyFill="1" applyBorder="1"/>
    <xf numFmtId="0" fontId="23" fillId="25" borderId="14" xfId="0" applyFont="1" applyFill="1" applyBorder="1"/>
    <xf numFmtId="0" fontId="23" fillId="25" borderId="33" xfId="0" applyFont="1" applyFill="1" applyBorder="1"/>
    <xf numFmtId="0" fontId="23" fillId="25" borderId="3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opLeftCell="A58" zoomScale="55" zoomScaleNormal="55" workbookViewId="0">
      <selection activeCell="J81" sqref="J8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296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94">
        <v>53.2</v>
      </c>
      <c r="D7" s="24">
        <v>180</v>
      </c>
      <c r="E7" s="65">
        <f>(ABS(C7)-ABS(D7))</f>
        <v>-126.8</v>
      </c>
      <c r="F7" s="65">
        <f>IF(E7&gt;=0,(E7*11.375),(360+E7)*11.375)</f>
        <v>2652.65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2652.65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94">
        <v>78.8</v>
      </c>
      <c r="D8" s="24">
        <v>180</v>
      </c>
      <c r="E8" s="65">
        <f t="shared" ref="E8:E18" si="0">(ABS(C8)-ABS(D8))</f>
        <v>-101.2</v>
      </c>
      <c r="F8" s="65">
        <f t="shared" ref="F8:F18" si="1">IF(E8&gt;=0,(E8*11.375),(360+E8)*11.375)</f>
        <v>2943.85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2943.85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94">
        <v>353.8</v>
      </c>
      <c r="D9" s="24">
        <v>180</v>
      </c>
      <c r="E9" s="65">
        <f t="shared" si="0"/>
        <v>173.8</v>
      </c>
      <c r="F9" s="65">
        <f t="shared" si="1"/>
        <v>1976.9750000000001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1976.9750000000001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94">
        <v>324.60000000000002</v>
      </c>
      <c r="D10" s="24">
        <v>180</v>
      </c>
      <c r="E10" s="65">
        <f t="shared" si="0"/>
        <v>144.60000000000002</v>
      </c>
      <c r="F10" s="65">
        <f t="shared" si="1"/>
        <v>1644.8250000000003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1644.8250000000003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94">
        <v>30.7</v>
      </c>
      <c r="D11" s="24">
        <v>180</v>
      </c>
      <c r="E11" s="65">
        <f t="shared" si="0"/>
        <v>-149.30000000000001</v>
      </c>
      <c r="F11" s="65">
        <f t="shared" si="1"/>
        <v>2396.7125000000001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2396.7125000000001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94">
        <v>332.1</v>
      </c>
      <c r="D12" s="24">
        <v>180</v>
      </c>
      <c r="E12" s="65">
        <f t="shared" si="0"/>
        <v>152.10000000000002</v>
      </c>
      <c r="F12" s="65">
        <f t="shared" si="1"/>
        <v>1730.1375000000003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1730.1375000000003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94">
        <v>-165.6</v>
      </c>
      <c r="D13" s="24">
        <v>-180</v>
      </c>
      <c r="E13" s="65">
        <f t="shared" si="0"/>
        <v>-14.400000000000006</v>
      </c>
      <c r="F13" s="65">
        <f t="shared" si="1"/>
        <v>3931.2000000000003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3931.2000000000003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94">
        <v>-94.7</v>
      </c>
      <c r="D14" s="24">
        <v>-180</v>
      </c>
      <c r="E14" s="65">
        <f t="shared" si="0"/>
        <v>-85.3</v>
      </c>
      <c r="F14" s="65">
        <f t="shared" si="1"/>
        <v>3124.7125000000001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3124.7125000000001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94">
        <v>289.8</v>
      </c>
      <c r="D15" s="24">
        <v>-180</v>
      </c>
      <c r="E15" s="65">
        <f t="shared" si="0"/>
        <v>109.80000000000001</v>
      </c>
      <c r="F15" s="65">
        <f t="shared" si="1"/>
        <v>1248.9750000000001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1248.9750000000001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94">
        <v>-169.4</v>
      </c>
      <c r="D16" s="24">
        <v>-180</v>
      </c>
      <c r="E16" s="65">
        <f t="shared" si="0"/>
        <v>-10.599999999999994</v>
      </c>
      <c r="F16" s="65">
        <f t="shared" si="1"/>
        <v>3974.4249999999997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3974.4249999999997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94">
        <v>-36.700000000000003</v>
      </c>
      <c r="D17" s="24">
        <v>-180</v>
      </c>
      <c r="E17" s="65">
        <f t="shared" si="0"/>
        <v>-143.30000000000001</v>
      </c>
      <c r="F17" s="65">
        <f t="shared" si="1"/>
        <v>2464.9625000000001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2464.9625000000001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94">
        <v>-218.9</v>
      </c>
      <c r="D18" s="24">
        <v>-180</v>
      </c>
      <c r="E18" s="65">
        <f t="shared" si="0"/>
        <v>38.900000000000006</v>
      </c>
      <c r="F18" s="65">
        <f t="shared" si="1"/>
        <v>442.48750000000007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442.48750000000007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2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0.6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-14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-3.9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-7.8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94">
        <v>146.6</v>
      </c>
      <c r="D30" s="24">
        <v>180</v>
      </c>
      <c r="E30" s="65">
        <f>(C30-D30)</f>
        <v>-33.400000000000006</v>
      </c>
      <c r="F30" s="65">
        <f>IF(E30&gt;=0,(E30*11.375),(360+E30)*11.375)</f>
        <v>3715.0750000000003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3715.0750000000003</v>
      </c>
      <c r="O30" s="63">
        <v>0</v>
      </c>
      <c r="P30" s="63">
        <v>10</v>
      </c>
      <c r="Q30" s="63">
        <v>0</v>
      </c>
      <c r="R30" s="63">
        <v>10</v>
      </c>
      <c r="S30" s="64">
        <v>-1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94">
        <v>52.7</v>
      </c>
      <c r="D31" s="24">
        <v>180</v>
      </c>
      <c r="E31" s="65">
        <f>(C31-D31)</f>
        <v>-127.3</v>
      </c>
      <c r="F31" s="65">
        <f>IF(E31&gt;=0,(E31*11.375),(360+E31)*11.375)</f>
        <v>2646.9625000000001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2646.9625000000001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9.5" thickBot="1">
      <c r="A32" s="28">
        <v>8</v>
      </c>
      <c r="B32" s="44" t="s">
        <v>35</v>
      </c>
      <c r="C32" s="95">
        <v>133</v>
      </c>
      <c r="D32" s="24">
        <v>180</v>
      </c>
      <c r="E32" s="65">
        <f>(C32-D32)</f>
        <v>-47</v>
      </c>
      <c r="F32" s="65">
        <f>IF(E32&gt;=0,(E32*11.375),(360+E32)*11.375)</f>
        <v>3560.375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3560.375</v>
      </c>
      <c r="O32" s="63">
        <v>0</v>
      </c>
      <c r="P32" s="63">
        <v>10</v>
      </c>
      <c r="Q32" s="63">
        <v>-20</v>
      </c>
      <c r="R32" s="63">
        <v>10</v>
      </c>
      <c r="S32" s="64">
        <v>4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23">
        <v>-39</v>
      </c>
      <c r="D37" s="24">
        <v>-180</v>
      </c>
      <c r="E37" s="65">
        <f>(ABS(C37)-ABS(D37))</f>
        <v>-141</v>
      </c>
      <c r="F37" s="65">
        <f>IF(E37&gt;=0,(E37*11.375),(360+E37)*11.375)</f>
        <v>2491.125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2491.125</v>
      </c>
      <c r="O37" s="63">
        <v>-30</v>
      </c>
      <c r="P37" s="63">
        <v>10</v>
      </c>
      <c r="Q37" s="63">
        <v>-30</v>
      </c>
      <c r="R37" s="63">
        <v>10</v>
      </c>
      <c r="S37" s="64">
        <v>-5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23">
        <v>-271.10000000000002</v>
      </c>
      <c r="D38" s="24">
        <v>-315</v>
      </c>
      <c r="E38" s="65">
        <f>(ABS(C38)-ABS(D38))</f>
        <v>-43.899999999999977</v>
      </c>
      <c r="F38" s="65">
        <f>IF(E38&gt;=0,(E38*11.375),(360+E38)*11.375)</f>
        <v>3595.6375000000003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3595.6375000000003</v>
      </c>
      <c r="O38" s="63">
        <v>30</v>
      </c>
      <c r="P38" s="63">
        <v>10</v>
      </c>
      <c r="Q38" s="63">
        <v>30</v>
      </c>
      <c r="R38" s="63">
        <v>10</v>
      </c>
      <c r="S38" s="64">
        <v>-5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23">
        <v>153</v>
      </c>
      <c r="D39" s="24">
        <f>-L39/-K39</f>
        <v>24.257819103972956</v>
      </c>
      <c r="E39" s="66">
        <f>ABS((+C39/(40/65)-(C37-C38)/(40/65)))-ABS(180)</f>
        <v>-51.462499999999977</v>
      </c>
      <c r="F39" s="66">
        <f>IF(E39&gt;=0,(E39*11.375),(360+E39)*11.375)</f>
        <v>3509.6140625000003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3509.6140625000003</v>
      </c>
      <c r="O39" s="68">
        <v>0</v>
      </c>
      <c r="P39" s="63">
        <v>10</v>
      </c>
      <c r="Q39" s="68">
        <v>0</v>
      </c>
      <c r="R39" s="63">
        <v>10</v>
      </c>
      <c r="S39" s="64">
        <v>-17.3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23">
        <v>0.7</v>
      </c>
      <c r="D40" s="24">
        <v>-180</v>
      </c>
      <c r="E40" s="65">
        <f>(ABS(C40)-ABS(D40))</f>
        <v>-179.3</v>
      </c>
      <c r="F40" s="65">
        <f>IF(E40&gt;=0,(E40*11.375),(360+E40)*11.375)</f>
        <v>2055.4625000000001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2055.4625000000001</v>
      </c>
      <c r="O40" s="63">
        <v>45</v>
      </c>
      <c r="P40" s="63">
        <v>10</v>
      </c>
      <c r="Q40" s="63">
        <v>45</v>
      </c>
      <c r="R40" s="63">
        <v>10</v>
      </c>
      <c r="S40" s="64">
        <v>-7.3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12.9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8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281.11764705882354</v>
      </c>
      <c r="E44" s="31"/>
      <c r="F44" s="31"/>
      <c r="G44" s="68">
        <v>0</v>
      </c>
      <c r="H44" s="68">
        <v>60</v>
      </c>
      <c r="I44" s="96">
        <v>1593</v>
      </c>
      <c r="J44" s="96">
        <v>1933</v>
      </c>
      <c r="K44" s="27">
        <f>(J44-I44)/(H44-G44)</f>
        <v>5.666666666666667</v>
      </c>
      <c r="L44" s="68">
        <f>ABS(+D44*K44)</f>
        <v>1593.0000000000002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16.632324533161622</v>
      </c>
      <c r="E48" s="31"/>
      <c r="F48" s="31"/>
      <c r="G48" s="68">
        <v>0</v>
      </c>
      <c r="H48" s="68">
        <v>90</v>
      </c>
      <c r="I48" s="97">
        <v>287</v>
      </c>
      <c r="J48" s="97">
        <v>1840</v>
      </c>
      <c r="K48" s="27">
        <f t="shared" ref="K48:K54" si="5">(J48-I48)/(H48-G48)</f>
        <v>17.255555555555556</v>
      </c>
      <c r="L48" s="68">
        <f>ABS(D48*K48)</f>
        <v>287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9.5" thickBot="1">
      <c r="A49" s="22">
        <v>1</v>
      </c>
      <c r="B49" s="44" t="s">
        <v>48</v>
      </c>
      <c r="C49" s="31"/>
      <c r="D49" s="27">
        <f>-G49+(+I49/K49)</f>
        <v>-101.61290322580646</v>
      </c>
      <c r="E49" s="31"/>
      <c r="F49" s="31"/>
      <c r="G49" s="68">
        <v>0</v>
      </c>
      <c r="H49" s="68">
        <v>90</v>
      </c>
      <c r="I49" s="98">
        <v>245</v>
      </c>
      <c r="J49" s="98">
        <v>28</v>
      </c>
      <c r="K49" s="27">
        <f>(J49-I49)/(H49-G49)</f>
        <v>-2.411111111111111</v>
      </c>
      <c r="L49" s="68">
        <f>I49</f>
        <v>245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9.5" thickBot="1">
      <c r="A50" s="22">
        <v>2</v>
      </c>
      <c r="B50" s="44" t="s">
        <v>49</v>
      </c>
      <c r="C50" s="31"/>
      <c r="D50" s="27">
        <f t="shared" ref="D50:D54" si="6">-G50+(+I50/K50)</f>
        <v>-187.725321888412</v>
      </c>
      <c r="E50" s="31"/>
      <c r="F50" s="31"/>
      <c r="G50" s="68">
        <v>0</v>
      </c>
      <c r="H50" s="68">
        <v>180</v>
      </c>
      <c r="I50" s="98">
        <v>486</v>
      </c>
      <c r="J50" s="98">
        <v>20</v>
      </c>
      <c r="K50" s="27">
        <f t="shared" si="5"/>
        <v>-2.588888888888889</v>
      </c>
      <c r="L50" s="68">
        <f>J50</f>
        <v>20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9.5" thickBot="1">
      <c r="A51" s="22">
        <v>3</v>
      </c>
      <c r="B51" s="44" t="s">
        <v>50</v>
      </c>
      <c r="C51" s="31"/>
      <c r="D51" s="27">
        <f t="shared" si="6"/>
        <v>-111.09375</v>
      </c>
      <c r="E51" s="31"/>
      <c r="F51" s="31"/>
      <c r="G51" s="68">
        <v>0</v>
      </c>
      <c r="H51" s="68">
        <v>90</v>
      </c>
      <c r="I51" s="98">
        <v>237</v>
      </c>
      <c r="J51" s="98">
        <v>45</v>
      </c>
      <c r="K51" s="27">
        <f t="shared" si="5"/>
        <v>-2.1333333333333333</v>
      </c>
      <c r="L51" s="68">
        <f>I51</f>
        <v>237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9.5" thickBot="1">
      <c r="A52" s="22">
        <v>4</v>
      </c>
      <c r="B52" s="44" t="s">
        <v>51</v>
      </c>
      <c r="C52" s="31"/>
      <c r="D52" s="27">
        <f t="shared" si="6"/>
        <v>-208.78281622911692</v>
      </c>
      <c r="E52" s="31"/>
      <c r="F52" s="31"/>
      <c r="G52" s="68">
        <v>0</v>
      </c>
      <c r="H52" s="68">
        <v>180</v>
      </c>
      <c r="I52" s="98">
        <v>486</v>
      </c>
      <c r="J52" s="98">
        <v>67</v>
      </c>
      <c r="K52" s="27">
        <f t="shared" si="5"/>
        <v>-2.3277777777777779</v>
      </c>
      <c r="L52" s="68">
        <f>J52</f>
        <v>67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9.5" thickBot="1">
      <c r="A53" s="22">
        <v>5</v>
      </c>
      <c r="B53" s="44" t="s">
        <v>52</v>
      </c>
      <c r="C53" s="31"/>
      <c r="D53" s="27">
        <f t="shared" si="6"/>
        <v>-103.84615384615385</v>
      </c>
      <c r="E53" s="31"/>
      <c r="F53" s="31"/>
      <c r="G53" s="68">
        <v>0</v>
      </c>
      <c r="H53" s="68">
        <v>90</v>
      </c>
      <c r="I53" s="98">
        <v>240</v>
      </c>
      <c r="J53" s="98">
        <v>32</v>
      </c>
      <c r="K53" s="27">
        <f t="shared" si="5"/>
        <v>-2.3111111111111109</v>
      </c>
      <c r="L53" s="68">
        <f>I53</f>
        <v>240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9.5" thickBot="1">
      <c r="A54" s="22">
        <v>6</v>
      </c>
      <c r="B54" s="44" t="s">
        <v>53</v>
      </c>
      <c r="C54" s="31"/>
      <c r="D54" s="27">
        <f t="shared" si="6"/>
        <v>-182.27848101265823</v>
      </c>
      <c r="E54" s="31"/>
      <c r="F54" s="31"/>
      <c r="G54" s="68">
        <v>0</v>
      </c>
      <c r="H54" s="68">
        <v>180</v>
      </c>
      <c r="I54" s="98">
        <v>480</v>
      </c>
      <c r="J54" s="98">
        <v>6</v>
      </c>
      <c r="K54" s="27">
        <f t="shared" si="5"/>
        <v>-2.6333333333333333</v>
      </c>
      <c r="L54" s="68">
        <f>J54</f>
        <v>6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9.5" thickBot="1">
      <c r="A55" s="22">
        <v>7</v>
      </c>
      <c r="B55" s="44" t="s">
        <v>54</v>
      </c>
      <c r="C55" s="31"/>
      <c r="D55" s="27">
        <f>-G55+(+I55/K55)</f>
        <v>-316.23287671232879</v>
      </c>
      <c r="E55" s="31"/>
      <c r="F55" s="31"/>
      <c r="G55" s="68">
        <v>0</v>
      </c>
      <c r="H55" s="68">
        <v>270</v>
      </c>
      <c r="I55" s="98">
        <v>684</v>
      </c>
      <c r="J55" s="98">
        <v>100</v>
      </c>
      <c r="K55" s="27">
        <f>(J55-I55)/(H55-G55)</f>
        <v>-2.162962962962963</v>
      </c>
      <c r="L55" s="68">
        <f>I55</f>
        <v>684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197.2</v>
      </c>
      <c r="D59" s="24">
        <v>180</v>
      </c>
      <c r="E59" s="65">
        <f>(ABS(C59)-ABS(D59))</f>
        <v>17.199999999999989</v>
      </c>
      <c r="F59" s="65">
        <f>IF(E59&gt;=0,(E59*11.375),(360+E59)*11.375)</f>
        <v>195.64999999999986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195.64999999999986</v>
      </c>
      <c r="O59" s="63">
        <v>-30</v>
      </c>
      <c r="P59" s="63">
        <v>10</v>
      </c>
      <c r="Q59" s="63">
        <v>-30</v>
      </c>
      <c r="R59" s="63">
        <v>10</v>
      </c>
      <c r="S59" s="64">
        <v>-4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83.4</v>
      </c>
      <c r="D60" s="24">
        <f>45</f>
        <v>45</v>
      </c>
      <c r="E60" s="65">
        <f>(ABS(C60)-ABS(D60))</f>
        <v>38.400000000000006</v>
      </c>
      <c r="F60" s="65">
        <f>IF(E60&gt;=0,(E60*11.375),(360+E60)*11.375)</f>
        <v>436.80000000000007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436.80000000000007</v>
      </c>
      <c r="O60" s="63">
        <v>30</v>
      </c>
      <c r="P60" s="63">
        <v>10</v>
      </c>
      <c r="Q60" s="63">
        <v>30</v>
      </c>
      <c r="R60" s="63">
        <v>10</v>
      </c>
      <c r="S60" s="64">
        <v>-7.2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318.10000000000002</v>
      </c>
      <c r="D61" s="24">
        <f>L61/K61</f>
        <v>245.74218089602704</v>
      </c>
      <c r="E61" s="66">
        <f>ABS((+C61/(40/65)-(C59-C60)/(40/65)))-ABS(180)</f>
        <v>151.98750000000007</v>
      </c>
      <c r="F61" s="66">
        <f>IF(E61&gt;=0,(E61*11.375),(360+E61)*11.375)</f>
        <v>1728.8578125000008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1728.8578125000008</v>
      </c>
      <c r="O61" s="68">
        <v>0</v>
      </c>
      <c r="P61" s="63">
        <v>10</v>
      </c>
      <c r="Q61" s="68">
        <v>0</v>
      </c>
      <c r="R61" s="63">
        <v>10</v>
      </c>
      <c r="S61" s="64">
        <v>-14.5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40.9</v>
      </c>
      <c r="D62" s="24">
        <v>180</v>
      </c>
      <c r="E62" s="65">
        <f>(ABS(C62)-ABS(D62))</f>
        <v>-139.1</v>
      </c>
      <c r="F62" s="65">
        <f>IF(E62&gt;=0,(E62*11.375),(360+E62)*11.375)</f>
        <v>2512.7375000000002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2512.7375000000002</v>
      </c>
      <c r="O62" s="63">
        <v>45</v>
      </c>
      <c r="P62" s="63">
        <v>10</v>
      </c>
      <c r="Q62" s="63">
        <v>45</v>
      </c>
      <c r="R62" s="63">
        <v>10</v>
      </c>
      <c r="S62" s="64">
        <v>-8.1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8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16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603.15789473684208</v>
      </c>
      <c r="E66" s="31"/>
      <c r="F66" s="31"/>
      <c r="G66" s="63">
        <v>0</v>
      </c>
      <c r="H66" s="63">
        <v>60</v>
      </c>
      <c r="I66" s="96">
        <v>1910</v>
      </c>
      <c r="J66" s="96">
        <v>2100</v>
      </c>
      <c r="K66" s="51">
        <f>(J66-I66)/(H66-G66)</f>
        <v>3.1666666666666665</v>
      </c>
      <c r="L66" s="63">
        <f>ABS(+D66*K66)</f>
        <v>1909.9999999999998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26.486902927580893</v>
      </c>
      <c r="E70" s="31"/>
      <c r="F70" s="31"/>
      <c r="G70" s="68">
        <v>0</v>
      </c>
      <c r="H70" s="68">
        <v>90</v>
      </c>
      <c r="I70" s="97">
        <v>382</v>
      </c>
      <c r="J70" s="97">
        <v>1680</v>
      </c>
      <c r="K70" s="27">
        <f t="shared" ref="K70:K77" si="7">(J70-I70)/(H70-G70)</f>
        <v>14.422222222222222</v>
      </c>
      <c r="L70" s="63">
        <f>ABS(D70*K70)</f>
        <v>382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9.5" thickBot="1">
      <c r="A71" s="22">
        <v>1</v>
      </c>
      <c r="B71" s="44" t="s">
        <v>66</v>
      </c>
      <c r="C71" s="31"/>
      <c r="D71" s="27">
        <f t="shared" ref="D71:D77" si="8">-G71+(+I71/K71)</f>
        <v>-90</v>
      </c>
      <c r="E71" s="31"/>
      <c r="F71" s="31"/>
      <c r="G71" s="68">
        <v>0</v>
      </c>
      <c r="H71" s="68">
        <v>90</v>
      </c>
      <c r="I71" s="98">
        <v>230</v>
      </c>
      <c r="J71" s="98">
        <v>0</v>
      </c>
      <c r="K71" s="27">
        <f t="shared" si="7"/>
        <v>-2.5555555555555554</v>
      </c>
      <c r="L71" s="68">
        <f>I71</f>
        <v>230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9.5" thickBot="1">
      <c r="A72" s="22">
        <v>2</v>
      </c>
      <c r="B72" s="44" t="s">
        <v>67</v>
      </c>
      <c r="C72" s="31"/>
      <c r="D72" s="27">
        <f t="shared" si="8"/>
        <v>-194.48275862068968</v>
      </c>
      <c r="E72" s="31"/>
      <c r="F72" s="31"/>
      <c r="G72" s="68">
        <v>0</v>
      </c>
      <c r="H72" s="68">
        <v>180</v>
      </c>
      <c r="I72" s="98">
        <v>470</v>
      </c>
      <c r="J72" s="98">
        <v>35</v>
      </c>
      <c r="K72" s="27">
        <f t="shared" si="7"/>
        <v>-2.4166666666666665</v>
      </c>
      <c r="L72" s="68">
        <f>+J72</f>
        <v>35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9.5" thickBot="1">
      <c r="A73" s="22">
        <v>3</v>
      </c>
      <c r="B73" s="44" t="s">
        <v>68</v>
      </c>
      <c r="C73" s="31"/>
      <c r="D73" s="27">
        <f t="shared" si="8"/>
        <v>-90</v>
      </c>
      <c r="E73" s="31"/>
      <c r="F73" s="31"/>
      <c r="G73" s="68">
        <v>0</v>
      </c>
      <c r="H73" s="68">
        <v>90</v>
      </c>
      <c r="I73" s="98">
        <v>224</v>
      </c>
      <c r="J73" s="98">
        <v>0</v>
      </c>
      <c r="K73" s="27">
        <f t="shared" si="7"/>
        <v>-2.4888888888888889</v>
      </c>
      <c r="L73" s="68">
        <f>I73</f>
        <v>224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9.5" thickBot="1">
      <c r="A74" s="22">
        <v>4</v>
      </c>
      <c r="B74" s="44" t="s">
        <v>69</v>
      </c>
      <c r="C74" s="31"/>
      <c r="D74" s="27">
        <f t="shared" si="8"/>
        <v>-187.67590618336885</v>
      </c>
      <c r="E74" s="31"/>
      <c r="F74" s="31"/>
      <c r="G74" s="68">
        <v>0</v>
      </c>
      <c r="H74" s="68">
        <v>180</v>
      </c>
      <c r="I74" s="98">
        <v>489</v>
      </c>
      <c r="J74" s="98">
        <v>20</v>
      </c>
      <c r="K74" s="27">
        <f t="shared" si="7"/>
        <v>-2.6055555555555556</v>
      </c>
      <c r="L74" s="68">
        <f>+J74</f>
        <v>20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9.5" thickBot="1">
      <c r="A75" s="22">
        <v>5</v>
      </c>
      <c r="B75" s="44" t="s">
        <v>70</v>
      </c>
      <c r="C75" s="31"/>
      <c r="D75" s="27">
        <f t="shared" si="8"/>
        <v>-92.027027027027017</v>
      </c>
      <c r="E75" s="31"/>
      <c r="F75" s="31"/>
      <c r="G75" s="68">
        <v>0</v>
      </c>
      <c r="H75" s="68">
        <v>90</v>
      </c>
      <c r="I75" s="98">
        <v>227</v>
      </c>
      <c r="J75" s="98">
        <v>5</v>
      </c>
      <c r="K75" s="27">
        <f t="shared" si="7"/>
        <v>-2.4666666666666668</v>
      </c>
      <c r="L75" s="68">
        <f>I75</f>
        <v>227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9.5" thickBot="1">
      <c r="A76" s="22">
        <v>6</v>
      </c>
      <c r="B76" s="44" t="s">
        <v>71</v>
      </c>
      <c r="C76" s="31"/>
      <c r="D76" s="27">
        <f t="shared" si="8"/>
        <v>-202.85714285714283</v>
      </c>
      <c r="E76" s="31"/>
      <c r="F76" s="31"/>
      <c r="G76" s="68">
        <v>0</v>
      </c>
      <c r="H76" s="68">
        <v>180</v>
      </c>
      <c r="I76" s="98">
        <v>497</v>
      </c>
      <c r="J76" s="98">
        <v>56</v>
      </c>
      <c r="K76" s="27">
        <f t="shared" si="7"/>
        <v>-2.4500000000000002</v>
      </c>
      <c r="L76" s="68">
        <f>J76</f>
        <v>56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9.5" thickBot="1">
      <c r="A77" s="22">
        <v>7</v>
      </c>
      <c r="B77" s="44" t="s">
        <v>72</v>
      </c>
      <c r="C77" s="31"/>
      <c r="D77" s="27">
        <f t="shared" si="8"/>
        <v>-300.54298642533934</v>
      </c>
      <c r="E77" s="31"/>
      <c r="F77" s="31"/>
      <c r="G77" s="68">
        <v>0</v>
      </c>
      <c r="H77" s="68">
        <v>270</v>
      </c>
      <c r="I77" s="98">
        <v>738</v>
      </c>
      <c r="J77" s="98">
        <v>75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301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89" t="s">
        <v>283</v>
      </c>
      <c r="C99" s="76" t="s">
        <v>284</v>
      </c>
      <c r="D99" s="77"/>
      <c r="E99" s="78"/>
      <c r="F99" s="78"/>
      <c r="G99" s="79"/>
      <c r="H99" s="79"/>
      <c r="I99" s="79"/>
      <c r="J99" s="80"/>
    </row>
    <row r="100" spans="2:17" ht="21">
      <c r="B100" s="89" t="s">
        <v>282</v>
      </c>
      <c r="C100" s="76" t="s">
        <v>288</v>
      </c>
      <c r="D100" s="77"/>
      <c r="E100" s="78"/>
      <c r="F100" s="78"/>
      <c r="G100" s="78"/>
      <c r="H100" s="78"/>
      <c r="I100" s="78"/>
      <c r="J100" s="88"/>
      <c r="K100" s="9"/>
      <c r="L100" s="9"/>
      <c r="M100" s="9"/>
      <c r="N100" s="9"/>
      <c r="O100" s="9"/>
      <c r="P100" s="9"/>
      <c r="Q100" s="9"/>
    </row>
    <row r="101" spans="2:17" ht="21.75" thickBot="1">
      <c r="B101" s="90" t="s">
        <v>287</v>
      </c>
      <c r="C101" s="91"/>
      <c r="D101" s="84"/>
      <c r="E101" s="85"/>
      <c r="F101" s="85"/>
      <c r="G101" s="86"/>
      <c r="H101" s="86"/>
      <c r="I101" s="86"/>
      <c r="J101" s="87"/>
    </row>
    <row r="102" spans="2:17" ht="21">
      <c r="B102" s="89" t="s">
        <v>286</v>
      </c>
      <c r="C102" s="92"/>
      <c r="D102" s="77"/>
      <c r="E102" s="78"/>
      <c r="F102" s="78"/>
      <c r="G102" s="79"/>
      <c r="H102" s="79"/>
      <c r="I102" s="79"/>
      <c r="J102" s="80"/>
    </row>
    <row r="103" spans="2:17" ht="21.75" thickBot="1">
      <c r="B103" s="90" t="s">
        <v>285</v>
      </c>
      <c r="C103" s="83"/>
      <c r="D103" s="84"/>
      <c r="E103" s="85"/>
      <c r="F103" s="85"/>
      <c r="G103" s="86"/>
      <c r="H103" s="86"/>
      <c r="I103" s="86"/>
      <c r="J103" s="87"/>
    </row>
    <row r="104" spans="2:17">
      <c r="B104" s="17"/>
      <c r="C104" s="17"/>
      <c r="D104" s="17"/>
      <c r="E104" s="81"/>
      <c r="F104" s="81"/>
      <c r="G104" s="82"/>
      <c r="H104" s="82"/>
      <c r="I104" s="82"/>
      <c r="J104" s="82"/>
    </row>
    <row r="105" spans="2:17">
      <c r="B105" s="17"/>
      <c r="C105" s="17"/>
      <c r="D105" s="17"/>
      <c r="E105" s="81"/>
      <c r="F105" s="81"/>
      <c r="G105" s="82"/>
      <c r="H105" s="82"/>
      <c r="I105" s="82"/>
      <c r="J105" s="82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30" zoomScaleNormal="100" workbookViewId="0">
      <selection activeCell="H57" sqref="H57:I58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297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295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294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293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J58" t="s">
        <v>299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2652.65</v>
      </c>
      <c r="C84" s="60">
        <f>+INDEX(Sheet1!$N$7:$N20,COLUMN()-COLUMN($B$80)+1)</f>
        <v>2943.85</v>
      </c>
      <c r="D84" s="60">
        <f>+INDEX(Sheet1!$N$7:$N20,COLUMN()-COLUMN($B$80)+1)</f>
        <v>1976.9750000000001</v>
      </c>
      <c r="E84" s="60">
        <f>+INDEX(Sheet1!$N$7:$N20,COLUMN()-COLUMN($B$80)+1)</f>
        <v>1644.8250000000003</v>
      </c>
      <c r="F84" s="60">
        <f>+INDEX(Sheet1!$N$7:$N20,COLUMN()-COLUMN($B$80)+1)</f>
        <v>2396.7125000000001</v>
      </c>
      <c r="G84" s="60">
        <f>+INDEX(Sheet1!$N$7:$N20,COLUMN()-COLUMN($B$80)+1)</f>
        <v>1730.1375000000003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28" workbookViewId="0">
      <selection activeCell="C38" sqref="C38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5.666666666666667</v>
      </c>
    </row>
    <row r="50" spans="1:10">
      <c r="A50" t="s">
        <v>214</v>
      </c>
      <c r="B50" s="21">
        <f>+INDEX(Sheet1!$D$37:$D$44,COLUMN()-COLUMN($B$82)+1)++INDEX(Sheet1!$S$37:$S$44,COLUMN()-COLUMN($B$82)+1)</f>
        <v>-185</v>
      </c>
      <c r="C50" s="21">
        <f>+INDEX(Sheet1!$D$37:$D$44,COLUMN()-COLUMN($B$82)+1)++INDEX(Sheet1!$S$37:$S$44,COLUMN()-COLUMN($B$82)+1)</f>
        <v>-320</v>
      </c>
      <c r="D50" s="21">
        <f>+INDEX(Sheet1!$D$37:$D$44,COLUMN()-COLUMN($B$82)+1)++INDEX(Sheet1!$S$37:$S$44,COLUMN()-COLUMN($B$82)+1)</f>
        <v>6.9578191039729553</v>
      </c>
      <c r="E50" s="21">
        <f>+INDEX(Sheet1!$D$37:$D$44,COLUMN()-COLUMN($B$82)+1)++INDEX(Sheet1!$S$37:$S$44,COLUMN()-COLUMN($B$82)+1)</f>
        <v>-187.3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-7.1</v>
      </c>
      <c r="H50" s="21">
        <f>+INDEX(Sheet1!$D$37:$D$44,COLUMN()-COLUMN($B$82)+1)++INDEX(Sheet1!$S$37:$S$44,COLUMN()-COLUMN($B$82)+1)</f>
        <v>-44</v>
      </c>
      <c r="I50" s="21">
        <f>+INDEX(Sheet1!$D$37:$D$44,COLUMN()-COLUMN($B$82)+1)++INDEX(Sheet1!$S$37:$S$44,COLUMN()-COLUMN($B$82)+1)</f>
        <v>281.11764705882354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299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1593.0000000000002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2491.125</v>
      </c>
      <c r="C82" s="21">
        <f>+INDEX(Sheet1!$N$37:$N$44,COLUMN()-COLUMN($B$82)+1)</f>
        <v>3595.6375000000003</v>
      </c>
      <c r="D82" s="21">
        <f>+INDEX(Sheet1!$N$37:$N$44,COLUMN()-COLUMN($B$82)+1)</f>
        <v>3509.6140625000003</v>
      </c>
      <c r="E82" s="21">
        <f>+INDEX(Sheet1!$N$37:$N$44,COLUMN()-COLUMN($B$82)+1)</f>
        <v>2055.4625000000001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J92"/>
  <sheetViews>
    <sheetView topLeftCell="A23" workbookViewId="0">
      <selection activeCell="A35" sqref="A35:B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t="s">
        <v>260</v>
      </c>
    </row>
    <row r="37" spans="1:9">
      <c r="A37" s="60" t="s">
        <v>300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227</v>
      </c>
      <c r="B49" s="34">
        <f>+INDEX(Sheet1!$K$48:$K$56,COLUMN()-COLUMN($B$84)+1)</f>
        <v>17.255555555555556</v>
      </c>
      <c r="C49" s="34">
        <f>+INDEX(Sheet1!$K$48:$K$56,COLUMN()-COLUMN($B$84)+1)</f>
        <v>-2.411111111111111</v>
      </c>
      <c r="D49" s="34">
        <f>+INDEX(Sheet1!$K$48:$K$56,COLUMN()-COLUMN($B$84)+1)</f>
        <v>-2.588888888888889</v>
      </c>
      <c r="E49" s="34">
        <f>+INDEX(Sheet1!$K$48:$K$56,COLUMN()-COLUMN($B$84)+1)</f>
        <v>-2.1333333333333333</v>
      </c>
      <c r="F49" s="34">
        <f>+INDEX(Sheet1!$K$48:$K$56,COLUMN()-COLUMN($B$84)+1)</f>
        <v>-2.3277777777777779</v>
      </c>
      <c r="G49" s="34">
        <f>+INDEX(Sheet1!$K$48:$K$56,COLUMN()-COLUMN($B$84)+1)</f>
        <v>-2.3111111111111109</v>
      </c>
      <c r="H49" s="34">
        <f>+INDEX(Sheet1!$K$48:$K$56,COLUMN()-COLUMN($B$84)+1)</f>
        <v>-2.6333333333333333</v>
      </c>
      <c r="I49" s="34">
        <f>+INDEX(Sheet1!$K$48:$K$56,COLUMN()-COLUMN($B$84)+1)</f>
        <v>-2.162962962962963</v>
      </c>
    </row>
    <row r="50" spans="1:10">
      <c r="A50" t="s">
        <v>214</v>
      </c>
      <c r="B50" s="34">
        <f>+INDEX(Sheet1!$D$48:$D$56,COLUMN()-COLUMN($B$84)+1)++INDEX(Sheet1!$S$48:$S$56,COLUMN()-COLUMN($B$84)+1)</f>
        <v>16.632324533161622</v>
      </c>
      <c r="C50" s="34">
        <f>+INDEX(Sheet1!$D$48:$D$56,COLUMN()-COLUMN($B$84)+1)++INDEX(Sheet1!$S$48:$S$56,COLUMN()-COLUMN($B$84)+1)</f>
        <v>-101.61290322580646</v>
      </c>
      <c r="D50" s="34">
        <f>+INDEX(Sheet1!$D$48:$D$56,COLUMN()-COLUMN($B$84)+1)++INDEX(Sheet1!$S$48:$S$56,COLUMN()-COLUMN($B$84)+1)</f>
        <v>-187.725321888412</v>
      </c>
      <c r="E50" s="34">
        <f>+INDEX(Sheet1!$D$48:$D$56,COLUMN()-COLUMN($B$84)+1)++INDEX(Sheet1!$S$48:$S$56,COLUMN()-COLUMN($B$84)+1)</f>
        <v>-111.09375</v>
      </c>
      <c r="F50" s="34">
        <f>+INDEX(Sheet1!$D$48:$D$56,COLUMN()-COLUMN($B$84)+1)++INDEX(Sheet1!$S$48:$S$56,COLUMN()-COLUMN($B$84)+1)</f>
        <v>-208.78281622911692</v>
      </c>
      <c r="G50" s="34">
        <f>+INDEX(Sheet1!$D$48:$D$56,COLUMN()-COLUMN($B$84)+1)++INDEX(Sheet1!$S$48:$S$56,COLUMN()-COLUMN($B$84)+1)</f>
        <v>-103.84615384615385</v>
      </c>
      <c r="H50" s="34">
        <f>+INDEX(Sheet1!$D$48:$D$56,COLUMN()-COLUMN($B$84)+1)++INDEX(Sheet1!$S$48:$S$56,COLUMN()-COLUMN($B$84)+1)</f>
        <v>-182.27848101265823</v>
      </c>
      <c r="I50" s="34">
        <f>+INDEX(Sheet1!$D$48:$D$56,COLUMN()-COLUMN($B$84)+1)++INDEX(Sheet1!$S$48:$S$56,COLUMN()-COLUMN($B$84)+1)</f>
        <v>-316.23287671232879</v>
      </c>
    </row>
    <row r="52" spans="1:10">
      <c r="A52" t="s">
        <v>102</v>
      </c>
      <c r="B52">
        <v>0</v>
      </c>
    </row>
    <row r="55" spans="1:10">
      <c r="A55" t="s">
        <v>143</v>
      </c>
    </row>
    <row r="56" spans="1:10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10">
      <c r="A57" t="s">
        <v>289</v>
      </c>
      <c r="B57">
        <v>100</v>
      </c>
      <c r="C57">
        <v>100</v>
      </c>
      <c r="D57">
        <v>100</v>
      </c>
      <c r="E57">
        <v>100</v>
      </c>
      <c r="F57">
        <v>100</v>
      </c>
      <c r="G57">
        <v>100</v>
      </c>
      <c r="H57">
        <v>100</v>
      </c>
      <c r="I57">
        <v>100</v>
      </c>
      <c r="J57" t="s">
        <v>299</v>
      </c>
    </row>
    <row r="59" spans="1:10">
      <c r="A59" t="s">
        <v>144</v>
      </c>
    </row>
    <row r="60" spans="1:10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10">
      <c r="A61" t="s">
        <v>223</v>
      </c>
      <c r="B61" s="21">
        <f>+INDEX(Sheet1!$H$48:$H$56,COLUMN()-COLUMN($B$82)+1)</f>
        <v>90</v>
      </c>
      <c r="C61" s="21">
        <f>+INDEX(Sheet1!$H$48:$H$56,COLUMN()-COLUMN($B$82)+1)</f>
        <v>90</v>
      </c>
      <c r="D61" s="21">
        <f>+INDEX(Sheet1!$H$48:$H$56,COLUMN()-COLUMN($B$82)+1)</f>
        <v>180</v>
      </c>
      <c r="E61" s="21">
        <f>+INDEX(Sheet1!$H$48:$H$56,COLUMN()-COLUMN($B$82)+1)</f>
        <v>90</v>
      </c>
      <c r="F61" s="21">
        <f>+INDEX(Sheet1!$H$48:$H$56,COLUMN()-COLUMN($B$82)+1)</f>
        <v>180</v>
      </c>
      <c r="G61" s="21">
        <f>+INDEX(Sheet1!$H$48:$H$56,COLUMN()-COLUMN($B$82)+1)</f>
        <v>90</v>
      </c>
      <c r="H61" s="21">
        <f>+INDEX(Sheet1!$H$48:$H$56,COLUMN()-COLUMN($B$82)+1)</f>
        <v>180</v>
      </c>
      <c r="I61" s="21">
        <f>+INDEX(Sheet1!$H$48:$H$56,COLUMN()-COLUMN($B$82)+1)</f>
        <v>270</v>
      </c>
    </row>
    <row r="62" spans="1:10">
      <c r="A62" t="s">
        <v>224</v>
      </c>
      <c r="B62" s="21">
        <f>+INDEX(Sheet1!$G$48:$G$56,COLUMN()-COLUMN($B$82)+1)</f>
        <v>0</v>
      </c>
      <c r="C62" s="21">
        <f>+INDEX(Sheet1!$G$48:$G$56,COLUMN()-COLUMN($B$82)+1)</f>
        <v>0</v>
      </c>
      <c r="D62" s="21">
        <f>+INDEX(Sheet1!$G$48:$G$56,COLUMN()-COLUMN($B$82)+1)</f>
        <v>0</v>
      </c>
      <c r="E62" s="21">
        <f>+INDEX(Sheet1!$G$48:$G$56,COLUMN()-COLUMN($B$82)+1)</f>
        <v>0</v>
      </c>
      <c r="F62" s="21">
        <f>+INDEX(Sheet1!$G$48:$G$56,COLUMN()-COLUMN($B$82)+1)</f>
        <v>0</v>
      </c>
      <c r="G62" s="21">
        <f>+INDEX(Sheet1!$G$48:$G$56,COLUMN()-COLUMN($B$82)+1)</f>
        <v>0</v>
      </c>
      <c r="H62" s="21">
        <f>+INDEX(Sheet1!$G$48:$G$56,COLUMN()-COLUMN($B$82)+1)</f>
        <v>0</v>
      </c>
      <c r="I62" s="21">
        <f>+INDEX(Sheet1!$G$48:$G$56,COLUMN()-COLUMN($B$82)+1)</f>
        <v>0</v>
      </c>
    </row>
    <row r="64" spans="1:10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+$B$3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>+$B$3</f>
        <v>1333</v>
      </c>
      <c r="G72">
        <v>10</v>
      </c>
      <c r="H72">
        <v>0</v>
      </c>
    </row>
    <row r="73" spans="1:9">
      <c r="A73" t="s">
        <v>117</v>
      </c>
      <c r="B73">
        <v>8000</v>
      </c>
      <c r="C73">
        <v>32000</v>
      </c>
      <c r="D73">
        <v>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+INDEX(Sheet1!$L$48:$L$56,COLUMN()-COLUMN($B$82)+1)</f>
        <v>287</v>
      </c>
      <c r="C81" s="21">
        <f>+INDEX(Sheet1!$L$48:$L$56,COLUMN()-COLUMN($B$82)+1)</f>
        <v>245</v>
      </c>
      <c r="D81" s="21">
        <f>+INDEX(Sheet1!$L$48:$L$56,COLUMN()-COLUMN($B$82)+1)</f>
        <v>20</v>
      </c>
      <c r="E81" s="21">
        <f>+INDEX(Sheet1!$L$48:$L$56,COLUMN()-COLUMN($B$82)+1)</f>
        <v>237</v>
      </c>
      <c r="F81" s="21">
        <f>+INDEX(Sheet1!$L$48:$L$56,COLUMN()-COLUMN($B$82)+1)</f>
        <v>67</v>
      </c>
      <c r="G81" s="21">
        <f>+INDEX(Sheet1!$L$48:$L$56,COLUMN()-COLUMN($B$82)+1)</f>
        <v>240</v>
      </c>
      <c r="H81" s="21">
        <f>+INDEX(Sheet1!$L$48:$L$56,COLUMN()-COLUMN($B$82)+1)</f>
        <v>6</v>
      </c>
      <c r="I81" s="21">
        <f>+INDEX(Sheet1!$L$48:$L$56,COLUMN()-COLUMN($B$82)+1)</f>
        <v>684</v>
      </c>
    </row>
    <row r="82" spans="1:9">
      <c r="A82" t="s">
        <v>124</v>
      </c>
      <c r="B82" s="21">
        <f>+INDEX(Sheet1!$M$48:$M$56,COLUMN()-COLUMN($B$82)+1)</f>
        <v>10</v>
      </c>
      <c r="C82" s="21">
        <f>+INDEX(Sheet1!$M$48:$M$56,COLUMN()-COLUMN($B$82)+1)</f>
        <v>10</v>
      </c>
      <c r="D82" s="21">
        <f>+INDEX(Sheet1!$M$48:$M$56,COLUMN()-COLUMN($B$82)+1)</f>
        <v>30</v>
      </c>
      <c r="E82" s="21">
        <f>+INDEX(Sheet1!$M$48:$M$56,COLUMN()-COLUMN($B$82)+1)</f>
        <v>10</v>
      </c>
      <c r="F82" s="21">
        <f>+INDEX(Sheet1!$M$48:$M$56,COLUMN()-COLUMN($B$82)+1)</f>
        <v>10</v>
      </c>
      <c r="G82" s="21">
        <f>+INDEX(Sheet1!$M$48:$M$56,COLUMN()-COLUMN($B$82)+1)</f>
        <v>10</v>
      </c>
      <c r="H82" s="21">
        <f>+INDEX(Sheet1!$M$48:$M$56,COLUMN()-COLUMN($B$82)+1)</f>
        <v>10</v>
      </c>
      <c r="I82" s="21">
        <f>+INDEX(Sheet1!$M$48:$M$56,COLUMN()-COLUMN($B$82)+1)</f>
        <v>10</v>
      </c>
    </row>
    <row r="83" spans="1:9">
      <c r="A83" t="s">
        <v>125</v>
      </c>
      <c r="B83" s="21">
        <f>+INDEX(Sheet1!$N$48:$N$56,COLUMN()-COLUMN($B$82)+1)</f>
        <v>0</v>
      </c>
      <c r="C83" s="21">
        <f>+INDEX(Sheet1!$N$48:$N$56,COLUMN()-COLUMN($B$82)+1)</f>
        <v>6000</v>
      </c>
      <c r="D83" s="21">
        <f>+INDEX(Sheet1!$N$48:$N$56,COLUMN()-COLUMN($B$82)+1)</f>
        <v>6600</v>
      </c>
      <c r="E83" s="21">
        <f>+INDEX(Sheet1!$N$48:$N$56,COLUMN()-COLUMN($B$82)+1)</f>
        <v>6000</v>
      </c>
      <c r="F83" s="21">
        <f>+INDEX(Sheet1!$N$48:$N$56,COLUMN()-COLUMN($B$82)+1)</f>
        <v>6600</v>
      </c>
      <c r="G83" s="21">
        <f>+INDEX(Sheet1!$N$48:$N$56,COLUMN()-COLUMN($B$82)+1)</f>
        <v>6000</v>
      </c>
      <c r="H83" s="21">
        <f>+INDEX(Sheet1!$N$48:$N$56,COLUMN()-COLUMN($B$82)+1)</f>
        <v>-6600</v>
      </c>
      <c r="I83" s="21">
        <f>+INDEX(Sheet1!$N$48:$N$56,COLUMN()-COLUMN($B$82)+1)</f>
        <v>14000</v>
      </c>
    </row>
    <row r="84" spans="1:9">
      <c r="A84" t="s">
        <v>126</v>
      </c>
      <c r="B84" s="21">
        <f>+INDEX(Sheet1!$O$48:$O$56,COLUMN()-COLUMN($B$82)+1)</f>
        <v>30</v>
      </c>
      <c r="C84" s="21">
        <f>+INDEX(Sheet1!$O$48:$O$56,COLUMN()-COLUMN($B$82)+1)</f>
        <v>0</v>
      </c>
      <c r="D84" s="21">
        <f>+INDEX(Sheet1!$O$48:$O$56,COLUMN()-COLUMN($B$82)+1)</f>
        <v>0</v>
      </c>
      <c r="E84" s="21">
        <f>+INDEX(Sheet1!$O$48:$O$56,COLUMN()-COLUMN($B$82)+1)</f>
        <v>0</v>
      </c>
      <c r="F84" s="21">
        <f>+INDEX(Sheet1!$O$48:$O$56,COLUMN()-COLUMN($B$82)+1)</f>
        <v>0</v>
      </c>
      <c r="G84" s="21">
        <f>+INDEX(Sheet1!$O$48:$O$56,COLUMN()-COLUMN($B$82)+1)</f>
        <v>0</v>
      </c>
      <c r="H84" s="21">
        <f>+INDEX(Sheet1!$O$48:$O$56,COLUMN()-COLUMN($B$82)+1)</f>
        <v>0</v>
      </c>
      <c r="I84" s="21">
        <f>+INDEX(Sheet1!$O$48:$O$56,COLUMN()-COLUMN($B$82)+1)</f>
        <v>0</v>
      </c>
    </row>
    <row r="85" spans="1:9">
      <c r="A85" t="s">
        <v>127</v>
      </c>
      <c r="B85" s="21">
        <f>+INDEX(Sheet1!$P$48:$P$56,COLUMN()-COLUMN($B$82)+1)</f>
        <v>100</v>
      </c>
      <c r="C85" s="21">
        <f>+INDEX(Sheet1!$P$48:$P$56,COLUMN()-COLUMN($B$82)+1)</f>
        <v>100</v>
      </c>
      <c r="D85" s="21">
        <f>+INDEX(Sheet1!$P$48:$P$56,COLUMN()-COLUMN($B$82)+1)</f>
        <v>100</v>
      </c>
      <c r="E85" s="21">
        <f>+INDEX(Sheet1!$P$48:$P$56,COLUMN()-COLUMN($B$82)+1)</f>
        <v>100</v>
      </c>
      <c r="F85" s="21">
        <f>+INDEX(Sheet1!$P$48:$P$56,COLUMN()-COLUMN($B$82)+1)</f>
        <v>100</v>
      </c>
      <c r="G85" s="21">
        <f>+INDEX(Sheet1!$P$48:$P$56,COLUMN()-COLUMN($B$82)+1)</f>
        <v>100</v>
      </c>
      <c r="H85" s="21">
        <f>+INDEX(Sheet1!$P$48:$P$56,COLUMN()-COLUMN($B$82)+1)</f>
        <v>100</v>
      </c>
      <c r="I85" s="21">
        <f>+INDEX(Sheet1!$P$48:$P$56,COLUMN()-COLUMN($B$82)+1)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+INDEX(Sheet1!$Q$48:$Q$56,COLUMN()-COLUMN($B$82)+1)</f>
        <v>30</v>
      </c>
      <c r="C89" s="21">
        <f>+INDEX(Sheet1!$Q$48:$Q$56,COLUMN()-COLUMN($B$82)+1)</f>
        <v>0</v>
      </c>
      <c r="D89" s="21">
        <f>+INDEX(Sheet1!$Q$48:$Q$56,COLUMN()-COLUMN($B$82)+1)</f>
        <v>0</v>
      </c>
      <c r="E89" s="21">
        <f>+INDEX(Sheet1!$Q$48:$Q$56,COLUMN()-COLUMN($B$82)+1)</f>
        <v>0</v>
      </c>
      <c r="F89" s="21">
        <f>+INDEX(Sheet1!$Q$48:$Q$56,COLUMN()-COLUMN($B$82)+1)</f>
        <v>0</v>
      </c>
      <c r="G89" s="21">
        <f>+INDEX(Sheet1!$Q$48:$Q$56,COLUMN()-COLUMN($B$82)+1)</f>
        <v>0</v>
      </c>
      <c r="H89" s="21">
        <f>+INDEX(Sheet1!$Q$48:$Q$56,COLUMN()-COLUMN($B$82)+1)</f>
        <v>0</v>
      </c>
      <c r="I89" s="21">
        <f>+INDEX(Sheet1!$Q$48:$Q$56,COLUMN()-COLUMN($B$82)+1)</f>
        <v>0</v>
      </c>
    </row>
    <row r="90" spans="1:9">
      <c r="A90" t="s">
        <v>130</v>
      </c>
      <c r="B90" s="21">
        <f>+INDEX(Sheet1!$R$48:$R$56,COLUMN()-COLUMN($B$82)+1)</f>
        <v>10</v>
      </c>
      <c r="C90" s="21">
        <f>+INDEX(Sheet1!$R$48:$R$56,COLUMN()-COLUMN($B$82)+1)</f>
        <v>10</v>
      </c>
      <c r="D90" s="21">
        <f>+INDEX(Sheet1!$R$48:$R$56,COLUMN()-COLUMN($B$82)+1)</f>
        <v>10</v>
      </c>
      <c r="E90" s="21">
        <f>+INDEX(Sheet1!$R$48:$R$56,COLUMN()-COLUMN($B$82)+1)</f>
        <v>10</v>
      </c>
      <c r="F90" s="21">
        <f>+INDEX(Sheet1!$R$48:$R$56,COLUMN()-COLUMN($B$82)+1)</f>
        <v>10</v>
      </c>
      <c r="G90" s="21">
        <f>+INDEX(Sheet1!$R$48:$R$56,COLUMN()-COLUMN($B$82)+1)</f>
        <v>10</v>
      </c>
      <c r="H90" s="21">
        <f>+INDEX(Sheet1!$R$48:$R$56,COLUMN()-COLUMN($B$82)+1)</f>
        <v>10</v>
      </c>
      <c r="I90" s="21">
        <f>+INDEX(Sheet1!$R$48:$R$56,COLUMN()-COLUMN($B$82)+1)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J92"/>
  <sheetViews>
    <sheetView topLeftCell="A38" zoomScale="85" zoomScaleNormal="85" workbookViewId="0">
      <selection activeCell="A56" sqref="A56:N56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+INDEX(Sheet1!$K$59:$K$67,COLUMN()-COLUMN($B$84)+1)</f>
        <v>11.375</v>
      </c>
      <c r="C49" s="21">
        <f>+INDEX(Sheet1!$K$59:$K$67,COLUMN()-COLUMN($B$84)+1)</f>
        <v>11.375</v>
      </c>
      <c r="D49" s="21">
        <f>+INDEX(Sheet1!$K$59:$K$67,COLUMN()-COLUMN($B$84)+1)</f>
        <v>11.375</v>
      </c>
      <c r="E49" s="21">
        <f>+INDEX(Sheet1!$K$59:$K$67,COLUMN()-COLUMN($B$84)+1)</f>
        <v>11.375</v>
      </c>
      <c r="F49" s="21">
        <f>+INDEX(Sheet1!$K$59:$K$67,COLUMN()-COLUMN($B$84)+1)</f>
        <v>706.67</v>
      </c>
      <c r="G49" s="21">
        <f>+INDEX(Sheet1!$K$59:$K$67,COLUMN()-COLUMN($B$84)+1)</f>
        <v>978.46</v>
      </c>
      <c r="H49" s="21">
        <f>+INDEX(Sheet1!$K$59:$K$67,COLUMN()-COLUMN($B$84)+1)</f>
        <v>978.46</v>
      </c>
      <c r="I49" s="21">
        <f>+INDEX(Sheet1!$K$59:$K$67,COLUMN()-COLUMN($B$84)+1)</f>
        <v>3.1666666666666665</v>
      </c>
    </row>
    <row r="50" spans="1:10">
      <c r="A50" t="s">
        <v>214</v>
      </c>
      <c r="B50" s="21">
        <f>+INDEX(Sheet1!$D$59:$D$66,COLUMN()-COLUMN($B$84)+1)++INDEX(Sheet1!$S$59:$S$66,COLUMN()-COLUMN($B$84)+1)</f>
        <v>176</v>
      </c>
      <c r="C50" s="21">
        <f>+INDEX(Sheet1!$D$59:$D$66,COLUMN()-COLUMN($B$84)+1)++INDEX(Sheet1!$S$59:$S$66,COLUMN()-COLUMN($B$84)+1)</f>
        <v>37.799999999999997</v>
      </c>
      <c r="D50" s="21">
        <f>+INDEX(Sheet1!$D$59:$D$66,COLUMN()-COLUMN($B$84)+1)++INDEX(Sheet1!$S$59:$S$66,COLUMN()-COLUMN($B$84)+1)</f>
        <v>231.24218089602704</v>
      </c>
      <c r="E50" s="21">
        <f>+INDEX(Sheet1!$D$59:$D$66,COLUMN()-COLUMN($B$84)+1)++INDEX(Sheet1!$S$59:$S$66,COLUMN()-COLUMN($B$84)+1)</f>
        <v>171.9</v>
      </c>
      <c r="F50" s="21">
        <f>+INDEX(Sheet1!$D$59:$D$66,COLUMN()-COLUMN($B$84)+1)++INDEX(Sheet1!$S$59:$S$66,COLUMN()-COLUMN($B$84)+1)</f>
        <v>90</v>
      </c>
      <c r="G50" s="21">
        <f>+INDEX(Sheet1!$D$59:$D$66,COLUMN()-COLUMN($B$84)+1)++INDEX(Sheet1!$S$59:$S$66,COLUMN()-COLUMN($B$84)+1)</f>
        <v>-12</v>
      </c>
      <c r="H50" s="21">
        <f>+INDEX(Sheet1!$D$59:$D$66,COLUMN()-COLUMN($B$84)+1)++INDEX(Sheet1!$S$59:$S$66,COLUMN()-COLUMN($B$84)+1)</f>
        <v>-36</v>
      </c>
      <c r="I50" s="21">
        <f>+INDEX(Sheet1!$D$59:$D$66,COLUMN()-COLUMN($B$84)+1)++INDEX(Sheet1!$S$59:$S$66,COLUMN()-COLUMN($B$84)+1)</f>
        <v>603.15789473684208</v>
      </c>
    </row>
    <row r="52" spans="1:10">
      <c r="A52" t="s">
        <v>102</v>
      </c>
      <c r="B52">
        <v>0</v>
      </c>
    </row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B56">
        <v>100</v>
      </c>
      <c r="C56">
        <v>100</v>
      </c>
      <c r="D56">
        <v>100</v>
      </c>
      <c r="E56">
        <v>100</v>
      </c>
      <c r="F56">
        <v>100</v>
      </c>
      <c r="G56">
        <v>100</v>
      </c>
      <c r="H56">
        <v>100</v>
      </c>
      <c r="I56">
        <v>100</v>
      </c>
      <c r="J56" t="s">
        <v>299</v>
      </c>
    </row>
    <row r="58" spans="1:10">
      <c r="A58" t="s">
        <v>217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10">
      <c r="A59" t="s">
        <v>103</v>
      </c>
    </row>
    <row r="60" spans="1:10">
      <c r="A60" t="s">
        <v>220</v>
      </c>
      <c r="B60" s="21">
        <f>+INDEX(Sheet1!$H$59:$H$67,COLUMN()-COLUMN($B$84)+1)</f>
        <v>10</v>
      </c>
      <c r="C60" s="21">
        <f>+INDEX(Sheet1!$H$59:$H$67,COLUMN()-COLUMN($B$84)+1)</f>
        <v>161</v>
      </c>
      <c r="D60" s="21">
        <f>+INDEX(Sheet1!$H$59:$H$67,COLUMN()-COLUMN($B$84)+1)</f>
        <v>80</v>
      </c>
      <c r="E60" s="21">
        <f>+INDEX(Sheet1!$H$59:$H$67,COLUMN()-COLUMN($B$84)+1)</f>
        <v>106</v>
      </c>
      <c r="F60" s="21">
        <f>+INDEX(Sheet1!$H$59:$H$67,COLUMN()-COLUMN($B$84)+1)</f>
        <v>90</v>
      </c>
      <c r="G60" s="21">
        <f>+INDEX(Sheet1!$H$59:$H$67,COLUMN()-COLUMN($B$84)+1)</f>
        <v>0</v>
      </c>
      <c r="H60" s="21">
        <f>+INDEX(Sheet1!$H$59:$H$67,COLUMN()-COLUMN($B$84)+1)</f>
        <v>40</v>
      </c>
      <c r="I60" s="21">
        <f>+INDEX(Sheet1!$H$59:$H$67,COLUMN()-COLUMN($B$84)+1)</f>
        <v>60</v>
      </c>
    </row>
    <row r="61" spans="1:10">
      <c r="A61" t="s">
        <v>221</v>
      </c>
      <c r="B61" s="21">
        <f>+INDEX(Sheet1!$G$59:$G$66,COLUMN()-COLUMN($B$84)+1)</f>
        <v>-95.5</v>
      </c>
      <c r="C61" s="21">
        <f>+INDEX(Sheet1!$G$59:$G$66,COLUMN()-COLUMN($B$84)+1)</f>
        <v>0</v>
      </c>
      <c r="D61" s="21">
        <f>+INDEX(Sheet1!$G$59:$G$66,COLUMN()-COLUMN($B$84)+1)</f>
        <v>-37</v>
      </c>
      <c r="E61" s="21">
        <f>+INDEX(Sheet1!$G$59:$G$66,COLUMN()-COLUMN($B$84)+1)</f>
        <v>15</v>
      </c>
      <c r="F61" s="21">
        <f>+INDEX(Sheet1!$G$59:$G$66,COLUMN()-COLUMN($B$84)+1)</f>
        <v>-90</v>
      </c>
      <c r="G61" s="21">
        <f>+INDEX(Sheet1!$G$59:$G$66,COLUMN()-COLUMN($B$84)+1)</f>
        <v>-90</v>
      </c>
      <c r="H61" s="21">
        <f>+INDEX(Sheet1!$G$59:$G$66,COLUMN()-COLUMN($B$84)+1)</f>
        <v>-20</v>
      </c>
      <c r="I61" s="21">
        <f>+INDEX(Sheet1!$G$59:$G$66,COLUMN()-COLUMN($B$84)+1)</f>
        <v>0</v>
      </c>
    </row>
    <row r="64" spans="1:10">
      <c r="A64" t="s">
        <v>216</v>
      </c>
    </row>
    <row r="65" spans="1:9">
      <c r="A65" t="s">
        <v>210</v>
      </c>
      <c r="B65" s="21">
        <f>$B$5</f>
        <v>7000</v>
      </c>
      <c r="C65" s="21">
        <f>$B$5</f>
        <v>7000</v>
      </c>
      <c r="D65" s="21">
        <f>$B$5</f>
        <v>7000</v>
      </c>
      <c r="E65" s="21">
        <f>$B$5</f>
        <v>7000</v>
      </c>
      <c r="F65">
        <v>360</v>
      </c>
      <c r="G65">
        <v>500</v>
      </c>
      <c r="H65">
        <v>500</v>
      </c>
      <c r="I65">
        <v>500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32000</v>
      </c>
      <c r="C69">
        <v>50</v>
      </c>
      <c r="D69">
        <v>60</v>
      </c>
      <c r="E69" s="21">
        <f t="shared" ref="E69:F76" si="0">+$B$2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114</v>
      </c>
      <c r="B70">
        <v>32000</v>
      </c>
      <c r="C70">
        <v>50</v>
      </c>
      <c r="D70">
        <v>60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115</v>
      </c>
      <c r="B71">
        <v>10000</v>
      </c>
      <c r="C71">
        <v>0</v>
      </c>
      <c r="D71">
        <v>10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116</v>
      </c>
      <c r="B72">
        <v>32000</v>
      </c>
      <c r="C72">
        <v>20</v>
      </c>
      <c r="D72">
        <v>60</v>
      </c>
      <c r="E72" s="21">
        <f t="shared" si="0"/>
        <v>1333</v>
      </c>
      <c r="F72" s="21">
        <f t="shared" si="0"/>
        <v>1333</v>
      </c>
      <c r="G72">
        <v>13</v>
      </c>
      <c r="H72">
        <v>0</v>
      </c>
    </row>
    <row r="73" spans="1:9">
      <c r="A73" t="s">
        <v>117</v>
      </c>
      <c r="B73">
        <v>200</v>
      </c>
      <c r="C73">
        <v>1000</v>
      </c>
      <c r="D73">
        <v>1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118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119</v>
      </c>
      <c r="B75">
        <v>100</v>
      </c>
      <c r="C75">
        <v>100</v>
      </c>
      <c r="D75">
        <v>2</v>
      </c>
      <c r="E75" s="21">
        <f t="shared" si="0"/>
        <v>1333</v>
      </c>
      <c r="F75" s="21">
        <f t="shared" si="0"/>
        <v>1333</v>
      </c>
      <c r="G75">
        <v>6</v>
      </c>
      <c r="H75">
        <v>0</v>
      </c>
    </row>
    <row r="76" spans="1:9">
      <c r="A76" t="s">
        <v>120</v>
      </c>
      <c r="B76">
        <v>200</v>
      </c>
      <c r="C76">
        <v>200</v>
      </c>
      <c r="D76">
        <v>1</v>
      </c>
      <c r="E76" s="21">
        <f t="shared" si="0"/>
        <v>1333</v>
      </c>
      <c r="F76" s="21">
        <f t="shared" si="0"/>
        <v>1333</v>
      </c>
      <c r="G76">
        <v>4</v>
      </c>
      <c r="H76">
        <v>0</v>
      </c>
    </row>
    <row r="78" spans="1:9">
      <c r="A78" t="s">
        <v>121</v>
      </c>
    </row>
    <row r="79" spans="1:9">
      <c r="A79" t="s">
        <v>216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123</v>
      </c>
      <c r="B81" s="21">
        <f>+INDEX(Sheet1!$L$59:$L$66,COLUMN()-COLUMN($B$84)+1)</f>
        <v>1706.25</v>
      </c>
      <c r="C81" s="21">
        <f>+INDEX(Sheet1!$L$59:$L$66,COLUMN()-COLUMN($B$84)+1)</f>
        <v>853.125</v>
      </c>
      <c r="D81" s="21">
        <f>+INDEX(Sheet1!$L$59:$L$66,COLUMN()-COLUMN($B$84)+1)</f>
        <v>2795.3173076923076</v>
      </c>
      <c r="E81" s="21">
        <f>+INDEX(Sheet1!$L$59:$L$66,COLUMN()-COLUMN($B$84)+1)</f>
        <v>2558</v>
      </c>
      <c r="F81" s="21">
        <f>+INDEX(Sheet1!$L$59:$L$66,COLUMN()-COLUMN($B$84)+1)</f>
        <v>500</v>
      </c>
      <c r="G81" s="21">
        <f>+INDEX(Sheet1!$L$59:$L$66,COLUMN()-COLUMN($B$84)+1)</f>
        <v>750</v>
      </c>
      <c r="H81" s="21">
        <f>+INDEX(Sheet1!$L$59:$L$66,COLUMN()-COLUMN($B$84)+1)</f>
        <v>750</v>
      </c>
      <c r="I81" s="21">
        <f>+INDEX(Sheet1!$L$59:$L$66,COLUMN()-COLUMN($B$84)+1)</f>
        <v>1909.9999999999998</v>
      </c>
    </row>
    <row r="82" spans="1:9">
      <c r="A82" t="s">
        <v>124</v>
      </c>
      <c r="B82" s="21">
        <f>+INDEX(Sheet1!$M$59:$M$66,COLUMN()-COLUMN($B$84)+1)</f>
        <v>10</v>
      </c>
      <c r="C82" s="21">
        <f>+INDEX(Sheet1!$M$59:$M$66,COLUMN()-COLUMN($B$84)+1)</f>
        <v>10</v>
      </c>
      <c r="D82" s="21">
        <f>+INDEX(Sheet1!$M$59:$M$66,COLUMN()-COLUMN($B$84)+1)</f>
        <v>10</v>
      </c>
      <c r="E82" s="21">
        <f>+INDEX(Sheet1!$M$59:$M$66,COLUMN()-COLUMN($B$84)+1)</f>
        <v>10</v>
      </c>
      <c r="F82" s="21">
        <f>+INDEX(Sheet1!$M$59:$M$66,COLUMN()-COLUMN($B$84)+1)</f>
        <v>-20</v>
      </c>
      <c r="G82" s="21">
        <f>+INDEX(Sheet1!$M$59:$M$66,COLUMN()-COLUMN($B$84)+1)</f>
        <v>10</v>
      </c>
      <c r="H82" s="21">
        <f>+INDEX(Sheet1!$M$59:$M$66,COLUMN()-COLUMN($B$84)+1)</f>
        <v>10</v>
      </c>
      <c r="I82" s="21">
        <f>+INDEX(Sheet1!$M$59:$M$66,COLUMN()-COLUMN($B$84)+1)</f>
        <v>100</v>
      </c>
    </row>
    <row r="83" spans="1:9">
      <c r="A83" t="s">
        <v>125</v>
      </c>
      <c r="B83" s="21">
        <f>+INDEX(Sheet1!$N$59:$N$66,COLUMN()-COLUMN($B$84)+1)</f>
        <v>195.64999999999986</v>
      </c>
      <c r="C83" s="21">
        <f>+INDEX(Sheet1!$N$59:$N$66,COLUMN()-COLUMN($B$84)+1)</f>
        <v>436.80000000000007</v>
      </c>
      <c r="D83" s="21">
        <f>+INDEX(Sheet1!$N$59:$N$66,COLUMN()-COLUMN($B$84)+1)</f>
        <v>1728.8578125000008</v>
      </c>
      <c r="E83" s="21">
        <f>+INDEX(Sheet1!$N$59:$N$66,COLUMN()-COLUMN($B$84)+1)</f>
        <v>2512.7375000000002</v>
      </c>
      <c r="F83" s="21">
        <f>+INDEX(Sheet1!$N$59:$N$66,COLUMN()-COLUMN($B$84)+1)</f>
        <v>0</v>
      </c>
      <c r="G83" s="21">
        <f>+INDEX(Sheet1!$N$59:$N$66,COLUMN()-COLUMN($B$84)+1)</f>
        <v>0</v>
      </c>
      <c r="H83" s="21">
        <f>+INDEX(Sheet1!$N$59:$N$66,COLUMN()-COLUMN($B$84)+1)</f>
        <v>0</v>
      </c>
      <c r="I83" s="21">
        <f>+INDEX(Sheet1!$N$59:$N$66,COLUMN()-COLUMN($B$84)+1)</f>
        <v>0</v>
      </c>
    </row>
    <row r="84" spans="1:9">
      <c r="A84" t="s">
        <v>126</v>
      </c>
      <c r="B84" s="21">
        <f>+INDEX(Sheet1!$O$59:$O$66,COLUMN()-COLUMN($B$84)+1)</f>
        <v>-30</v>
      </c>
      <c r="C84" s="21">
        <f>+INDEX(Sheet1!$O$59:$O$66,COLUMN()-COLUMN($B$84)+1)</f>
        <v>30</v>
      </c>
      <c r="D84" s="21">
        <f>+INDEX(Sheet1!$O$59:$O$66,COLUMN()-COLUMN($B$84)+1)</f>
        <v>0</v>
      </c>
      <c r="E84" s="21">
        <f>+INDEX(Sheet1!$O$59:$O$66,COLUMN()-COLUMN($B$84)+1)</f>
        <v>45</v>
      </c>
      <c r="F84" s="21">
        <f>+INDEX(Sheet1!$O$59:$O$66,COLUMN()-COLUMN($B$84)+1)</f>
        <v>0</v>
      </c>
      <c r="G84" s="21">
        <f>+INDEX(Sheet1!$O$59:$O$66,COLUMN()-COLUMN($B$84)+1)</f>
        <v>0</v>
      </c>
      <c r="H84" s="21">
        <f>+INDEX(Sheet1!$O$59:$O$66,COLUMN()-COLUMN($B$84)+1)</f>
        <v>0</v>
      </c>
      <c r="I84" s="21">
        <f>+INDEX(Sheet1!$O$59:$O$66,COLUMN()-COLUMN($B$84)+1)</f>
        <v>15</v>
      </c>
    </row>
    <row r="85" spans="1:9">
      <c r="A85" t="s">
        <v>127</v>
      </c>
      <c r="B85" s="21">
        <f>+INDEX(Sheet1!$P$59:$P$66,COLUMN()-COLUMN($B$84)+1)</f>
        <v>10</v>
      </c>
      <c r="C85" s="21">
        <f>+INDEX(Sheet1!$P$59:$P$66,COLUMN()-COLUMN($B$84)+1)</f>
        <v>10</v>
      </c>
      <c r="D85" s="21">
        <f>+INDEX(Sheet1!$P$59:$P$66,COLUMN()-COLUMN($B$84)+1)</f>
        <v>10</v>
      </c>
      <c r="E85" s="21">
        <f>+INDEX(Sheet1!$P$59:$P$66,COLUMN()-COLUMN($B$84)+1)</f>
        <v>10</v>
      </c>
      <c r="F85" s="21">
        <f>+INDEX(Sheet1!$P$59:$P$66,COLUMN()-COLUMN($B$84)+1)</f>
        <v>30</v>
      </c>
      <c r="G85" s="21">
        <f>+INDEX(Sheet1!$P$59:$P$66,COLUMN()-COLUMN($B$84)+1)</f>
        <v>30</v>
      </c>
      <c r="H85" s="21">
        <f>+INDEX(Sheet1!$P$59:$P$66,COLUMN()-COLUMN($B$84)+1)</f>
        <v>30</v>
      </c>
      <c r="I85" s="21">
        <f>+INDEX(Sheet1!$P$59:$P$66,COLUMN()-COLUMN($B$84)+1)</f>
        <v>100</v>
      </c>
    </row>
    <row r="87" spans="1:9">
      <c r="A87" t="s">
        <v>128</v>
      </c>
    </row>
    <row r="88" spans="1:9">
      <c r="A88" t="s">
        <v>216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+INDEX(Sheet1!$Q$59:$Q$66,COLUMN()-COLUMN($B$84)+1)</f>
        <v>-30</v>
      </c>
      <c r="C89" s="21">
        <f>+INDEX(Sheet1!$Q$59:$Q$66,COLUMN()-COLUMN($B$84)+1)</f>
        <v>30</v>
      </c>
      <c r="D89" s="21">
        <f>+INDEX(Sheet1!$Q$59:$Q$66,COLUMN()-COLUMN($B$84)+1)</f>
        <v>0</v>
      </c>
      <c r="E89" s="21">
        <f>+INDEX(Sheet1!$Q$59:$Q$66,COLUMN()-COLUMN($B$84)+1)</f>
        <v>45</v>
      </c>
      <c r="F89" s="21">
        <f>+INDEX(Sheet1!$Q$59:$Q$66,COLUMN()-COLUMN($B$84)+1)</f>
        <v>0</v>
      </c>
      <c r="G89" s="21">
        <f>+INDEX(Sheet1!$Q$59:$Q$66,COLUMN()-COLUMN($B$84)+1)</f>
        <v>0</v>
      </c>
      <c r="H89" s="21">
        <f>+INDEX(Sheet1!$Q$59:$Q$66,COLUMN()-COLUMN($B$84)+1)</f>
        <v>40</v>
      </c>
      <c r="I89" s="21">
        <f>+INDEX(Sheet1!$Q$59:$Q$66,COLUMN()-COLUMN($B$84)+1)</f>
        <v>15</v>
      </c>
    </row>
    <row r="90" spans="1:9">
      <c r="A90" t="s">
        <v>130</v>
      </c>
      <c r="B90" s="21">
        <f>+INDEX(Sheet1!$R$59:$R$66,COLUMN()-COLUMN($B$84)+1)</f>
        <v>10</v>
      </c>
      <c r="C90" s="21">
        <f>+INDEX(Sheet1!$R$59:$R$66,COLUMN()-COLUMN($B$84)+1)</f>
        <v>10</v>
      </c>
      <c r="D90" s="21">
        <f>+INDEX(Sheet1!$R$59:$R$66,COLUMN()-COLUMN($B$84)+1)</f>
        <v>10</v>
      </c>
      <c r="E90" s="21">
        <f>+INDEX(Sheet1!$R$59:$R$66,COLUMN()-COLUMN($B$84)+1)</f>
        <v>10</v>
      </c>
      <c r="F90" s="21">
        <f>+INDEX(Sheet1!$R$59:$R$66,COLUMN()-COLUMN($B$84)+1)</f>
        <v>30</v>
      </c>
      <c r="G90" s="21">
        <f>+INDEX(Sheet1!$R$59:$R$66,COLUMN()-COLUMN($B$84)+1)</f>
        <v>30</v>
      </c>
      <c r="H90" s="21">
        <f>+INDEX(Sheet1!$R$59:$R$66,COLUMN()-COLUMN($B$84)+1)</f>
        <v>30</v>
      </c>
      <c r="I90" s="21">
        <f>+INDEX(Sheet1!$R$59:$R$66,COLUMN()-COLUMN($B$84)+1)</f>
        <v>100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J93"/>
  <sheetViews>
    <sheetView topLeftCell="A33" workbookViewId="0">
      <selection activeCell="C40" sqref="C4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t="s">
        <v>260</v>
      </c>
    </row>
    <row r="40" spans="1:9">
      <c r="A40" s="60" t="s">
        <v>300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10">
      <c r="A50" t="s">
        <v>227</v>
      </c>
      <c r="B50" s="34">
        <f>+INDEX(Sheet1!$K$70:$K$77,COLUMN()-COLUMN($B$82)+1)</f>
        <v>14.422222222222222</v>
      </c>
      <c r="C50" s="34">
        <f>+INDEX(Sheet1!$K$70:$K$77,COLUMN()-COLUMN($B$82)+1)</f>
        <v>-2.5555555555555554</v>
      </c>
      <c r="D50" s="34">
        <f>+INDEX(Sheet1!$K$70:$K$77,COLUMN()-COLUMN($B$82)+1)</f>
        <v>-2.4166666666666665</v>
      </c>
      <c r="E50" s="34">
        <f>+INDEX(Sheet1!$K$70:$K$77,COLUMN()-COLUMN($B$82)+1)</f>
        <v>-2.4888888888888889</v>
      </c>
      <c r="F50" s="34">
        <f>+INDEX(Sheet1!$K$70:$K$77,COLUMN()-COLUMN($B$82)+1)</f>
        <v>-2.6055555555555556</v>
      </c>
      <c r="G50" s="34">
        <f>+INDEX(Sheet1!$K$70:$K$77,COLUMN()-COLUMN($B$82)+1)</f>
        <v>-2.4666666666666668</v>
      </c>
      <c r="H50" s="34">
        <f>+INDEX(Sheet1!$K$70:$K$77,COLUMN()-COLUMN($B$82)+1)</f>
        <v>-2.4500000000000002</v>
      </c>
      <c r="I50" s="34">
        <f>+INDEX(Sheet1!$K$70:$K$77,COLUMN()-COLUMN($B$82)+1)</f>
        <v>-2.4555555555555557</v>
      </c>
    </row>
    <row r="51" spans="1:10">
      <c r="A51" t="s">
        <v>214</v>
      </c>
      <c r="B51" s="34">
        <f>+INDEX(Sheet1!$D$70:$D$77,COLUMN()-COLUMN($B$82)+1)++INDEX(Sheet1!$S$70:$S$77,COLUMN()-COLUMN($B$82)+1)</f>
        <v>26.486902927580893</v>
      </c>
      <c r="C51" s="34">
        <f>+INDEX(Sheet1!$D$70:$D$77,COLUMN()-COLUMN($B$82)+1)++INDEX(Sheet1!$S$70:$S$77,COLUMN()-COLUMN($B$82)+1)</f>
        <v>-90</v>
      </c>
      <c r="D51" s="34">
        <f>+INDEX(Sheet1!$D$70:$D$77,COLUMN()-COLUMN($B$82)+1)++INDEX(Sheet1!$S$70:$S$77,COLUMN()-COLUMN($B$82)+1)</f>
        <v>-194.48275862068968</v>
      </c>
      <c r="E51" s="34">
        <f>+INDEX(Sheet1!$D$70:$D$77,COLUMN()-COLUMN($B$82)+1)++INDEX(Sheet1!$S$70:$S$77,COLUMN()-COLUMN($B$82)+1)</f>
        <v>-90</v>
      </c>
      <c r="F51" s="34">
        <f>+INDEX(Sheet1!$D$70:$D$77,COLUMN()-COLUMN($B$82)+1)++INDEX(Sheet1!$S$70:$S$77,COLUMN()-COLUMN($B$82)+1)</f>
        <v>-187.67590618336885</v>
      </c>
      <c r="G51" s="34">
        <f>+INDEX(Sheet1!$D$70:$D$77,COLUMN()-COLUMN($B$82)+1)++INDEX(Sheet1!$S$70:$S$77,COLUMN()-COLUMN($B$82)+1)</f>
        <v>-92.027027027027017</v>
      </c>
      <c r="H51" s="34">
        <f>+INDEX(Sheet1!$D$70:$D$77,COLUMN()-COLUMN($B$82)+1)++INDEX(Sheet1!$S$70:$S$77,COLUMN()-COLUMN($B$82)+1)</f>
        <v>-202.85714285714283</v>
      </c>
      <c r="I51" s="34">
        <f>+INDEX(Sheet1!$D$70:$D$77,COLUMN()-COLUMN($B$82)+1)++INDEX(Sheet1!$S$70:$S$77,COLUMN()-COLUMN($B$82)+1)</f>
        <v>-300.54298642533934</v>
      </c>
    </row>
    <row r="53" spans="1:10">
      <c r="A53" t="s">
        <v>102</v>
      </c>
      <c r="B53">
        <v>0</v>
      </c>
    </row>
    <row r="56" spans="1:10">
      <c r="A56" t="s">
        <v>143</v>
      </c>
    </row>
    <row r="57" spans="1:10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0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H58">
        <v>100</v>
      </c>
      <c r="I58">
        <v>100</v>
      </c>
      <c r="J58" t="s">
        <v>299</v>
      </c>
    </row>
    <row r="60" spans="1:10">
      <c r="A60" t="s">
        <v>144</v>
      </c>
    </row>
    <row r="61" spans="1:10">
      <c r="A61" t="s">
        <v>231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10">
      <c r="A62" t="s">
        <v>223</v>
      </c>
      <c r="B62" s="21">
        <f>+INDEX(Sheet1!$H$70:$H$77,COLUMN()-COLUMN($B$80)+1)</f>
        <v>90</v>
      </c>
      <c r="C62" s="21">
        <f>+INDEX(Sheet1!$H$70:$H$77,COLUMN()-COLUMN($B$80)+1)</f>
        <v>90</v>
      </c>
      <c r="D62" s="21">
        <f>+INDEX(Sheet1!$H$70:$H$77,COLUMN()-COLUMN($B$80)+1)</f>
        <v>180</v>
      </c>
      <c r="E62" s="21">
        <f>+INDEX(Sheet1!$H$70:$H$77,COLUMN()-COLUMN($B$80)+1)</f>
        <v>90</v>
      </c>
      <c r="F62" s="21">
        <f>+INDEX(Sheet1!$H$70:$H$77,COLUMN()-COLUMN($B$80)+1)</f>
        <v>180</v>
      </c>
      <c r="G62" s="21">
        <f>+INDEX(Sheet1!$H$70:$H$77,COLUMN()-COLUMN($B$80)+1)</f>
        <v>90</v>
      </c>
      <c r="H62" s="21">
        <f>+INDEX(Sheet1!$H$70:$H$77,COLUMN()-COLUMN($B$80)+1)</f>
        <v>180</v>
      </c>
      <c r="I62" s="21">
        <f>+INDEX(Sheet1!$H$70:$H$77,COLUMN()-COLUMN($B$80)+1)</f>
        <v>270</v>
      </c>
    </row>
    <row r="63" spans="1:10">
      <c r="A63" t="s">
        <v>224</v>
      </c>
      <c r="B63" s="21">
        <f>+INDEX(Sheet1!$G$70:$G$77,COLUMN()-COLUMN($B$80)+1)</f>
        <v>0</v>
      </c>
      <c r="C63" s="21">
        <f>+INDEX(Sheet1!$G$70:$G$77,COLUMN()-COLUMN($B$80)+1)</f>
        <v>0</v>
      </c>
      <c r="D63" s="21">
        <f>+INDEX(Sheet1!$G$70:$G$77,COLUMN()-COLUMN($B$80)+1)</f>
        <v>0</v>
      </c>
      <c r="E63" s="21">
        <f>+INDEX(Sheet1!$G$70:$G$77,COLUMN()-COLUMN($B$80)+1)</f>
        <v>0</v>
      </c>
      <c r="F63" s="21">
        <f>+INDEX(Sheet1!$G$70:$G$77,COLUMN()-COLUMN($B$80)+1)</f>
        <v>0</v>
      </c>
      <c r="G63" s="21">
        <f>+INDEX(Sheet1!$G$70:$G$77,COLUMN()-COLUMN($B$80)+1)</f>
        <v>0</v>
      </c>
      <c r="H63" s="21">
        <f>+INDEX(Sheet1!$G$70:$G$77,COLUMN()-COLUMN($B$80)+1)</f>
        <v>0</v>
      </c>
      <c r="I63" s="21">
        <f>+INDEX(Sheet1!$G$70:$G$77,COLUMN()-COLUMN($B$80)+1)</f>
        <v>0</v>
      </c>
    </row>
    <row r="65" spans="1:9">
      <c r="A65" t="s">
        <v>225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8" spans="1:9">
      <c r="A68" t="s">
        <v>104</v>
      </c>
      <c r="B68" t="s">
        <v>105</v>
      </c>
      <c r="C68" t="s">
        <v>106</v>
      </c>
      <c r="D68" t="s">
        <v>107</v>
      </c>
      <c r="E68" t="s">
        <v>108</v>
      </c>
      <c r="F68" t="s">
        <v>109</v>
      </c>
      <c r="G68" t="s">
        <v>110</v>
      </c>
      <c r="H68" t="s">
        <v>111</v>
      </c>
    </row>
    <row r="69" spans="1:9">
      <c r="A69" t="s">
        <v>112</v>
      </c>
    </row>
    <row r="70" spans="1:9">
      <c r="A70" t="s">
        <v>113</v>
      </c>
      <c r="B70">
        <v>-8000</v>
      </c>
      <c r="C70">
        <v>-32000</v>
      </c>
      <c r="D70">
        <v>-5</v>
      </c>
      <c r="E70" s="21">
        <f t="shared" ref="E70:F77" si="0">+$B$4</f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114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115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116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117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118</v>
      </c>
      <c r="B75">
        <v>-8000</v>
      </c>
      <c r="C75">
        <v>-32000</v>
      </c>
      <c r="D75">
        <v>-5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119</v>
      </c>
      <c r="B76">
        <v>8000</v>
      </c>
      <c r="C76">
        <v>32000</v>
      </c>
      <c r="D76">
        <v>5</v>
      </c>
      <c r="E76" s="21">
        <f t="shared" si="0"/>
        <v>1333</v>
      </c>
      <c r="F76" s="21">
        <f t="shared" si="0"/>
        <v>1333</v>
      </c>
      <c r="G76">
        <v>10</v>
      </c>
      <c r="H76">
        <v>0</v>
      </c>
    </row>
    <row r="77" spans="1:9">
      <c r="A77" t="s">
        <v>120</v>
      </c>
      <c r="B77">
        <v>-120</v>
      </c>
      <c r="C77">
        <v>-1250</v>
      </c>
      <c r="D77">
        <v>0</v>
      </c>
      <c r="E77" s="21">
        <f t="shared" si="0"/>
        <v>1333</v>
      </c>
      <c r="F77" s="21">
        <f t="shared" si="0"/>
        <v>1333</v>
      </c>
      <c r="G77">
        <v>5</v>
      </c>
      <c r="H77">
        <v>0</v>
      </c>
    </row>
    <row r="79" spans="1:9">
      <c r="A79" t="s">
        <v>121</v>
      </c>
    </row>
    <row r="80" spans="1:9">
      <c r="A80" t="s">
        <v>226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122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123</v>
      </c>
      <c r="B82" s="21">
        <f>+INDEX(Sheet1!$L$70:$L$77,COLUMN()-COLUMN($B$80)+1)</f>
        <v>382</v>
      </c>
      <c r="C82" s="21">
        <f>+INDEX(Sheet1!$L$70:$L$77,COLUMN()-COLUMN($B$80)+1)</f>
        <v>230</v>
      </c>
      <c r="D82" s="21">
        <f>+INDEX(Sheet1!$L$70:$L$77,COLUMN()-COLUMN($B$80)+1)</f>
        <v>35</v>
      </c>
      <c r="E82" s="21">
        <f>+INDEX(Sheet1!$L$70:$L$77,COLUMN()-COLUMN($B$80)+1)</f>
        <v>224</v>
      </c>
      <c r="F82" s="21">
        <f>+INDEX(Sheet1!$L$70:$L$77,COLUMN()-COLUMN($B$80)+1)</f>
        <v>20</v>
      </c>
      <c r="G82" s="21">
        <f>+INDEX(Sheet1!$L$70:$L$77,COLUMN()-COLUMN($B$80)+1)</f>
        <v>227</v>
      </c>
      <c r="H82" s="21">
        <f>+INDEX(Sheet1!$L$70:$L$77,COLUMN()-COLUMN($B$80)+1)</f>
        <v>56</v>
      </c>
      <c r="I82" s="21">
        <f>+INDEX(Sheet1!$L$70:$L$77,COLUMN()-COLUMN($B$80)+1)</f>
        <v>738</v>
      </c>
    </row>
    <row r="83" spans="1:9">
      <c r="A83" t="s">
        <v>124</v>
      </c>
      <c r="B83" s="21">
        <f>+INDEX(Sheet1!$M$70:$M$77,COLUMN()-COLUMN($B$80)+1)</f>
        <v>10</v>
      </c>
      <c r="C83" s="21">
        <f>+INDEX(Sheet1!$M$70:$M$77,COLUMN()-COLUMN($B$80)+1)</f>
        <v>10</v>
      </c>
      <c r="D83" s="21">
        <f>+INDEX(Sheet1!$M$70:$M$77,COLUMN()-COLUMN($B$80)+1)</f>
        <v>30</v>
      </c>
      <c r="E83" s="21">
        <f>+INDEX(Sheet1!$M$70:$M$77,COLUMN()-COLUMN($B$80)+1)</f>
        <v>10</v>
      </c>
      <c r="F83" s="21">
        <f>+INDEX(Sheet1!$M$70:$M$77,COLUMN()-COLUMN($B$80)+1)</f>
        <v>10</v>
      </c>
      <c r="G83" s="21">
        <f>+INDEX(Sheet1!$M$70:$M$77,COLUMN()-COLUMN($B$80)+1)</f>
        <v>10</v>
      </c>
      <c r="H83" s="21">
        <f>+INDEX(Sheet1!$M$70:$M$77,COLUMN()-COLUMN($B$80)+1)</f>
        <v>10</v>
      </c>
      <c r="I83" s="21">
        <f>+INDEX(Sheet1!$M$70:$M$77,COLUMN()-COLUMN($B$80)+1)</f>
        <v>10</v>
      </c>
    </row>
    <row r="84" spans="1:9">
      <c r="A84" t="s">
        <v>125</v>
      </c>
      <c r="B84" s="21">
        <f>+INDEX(Sheet1!$N$70:$N$77,COLUMN()-COLUMN($B$80)+1)</f>
        <v>0</v>
      </c>
      <c r="C84" s="21">
        <f>+INDEX(Sheet1!$N$70:$N$77,COLUMN()-COLUMN($B$80)+1)</f>
        <v>6000</v>
      </c>
      <c r="D84" s="21">
        <f>+INDEX(Sheet1!$N$70:$N$77,COLUMN()-COLUMN($B$80)+1)</f>
        <v>6600</v>
      </c>
      <c r="E84" s="21">
        <f>+INDEX(Sheet1!$N$70:$N$77,COLUMN()-COLUMN($B$80)+1)</f>
        <v>6000</v>
      </c>
      <c r="F84" s="21">
        <f>+INDEX(Sheet1!$N$70:$N$77,COLUMN()-COLUMN($B$80)+1)</f>
        <v>-6600</v>
      </c>
      <c r="G84" s="21">
        <f>+INDEX(Sheet1!$N$70:$N$77,COLUMN()-COLUMN($B$80)+1)</f>
        <v>6000</v>
      </c>
      <c r="H84" s="21">
        <f>+INDEX(Sheet1!$N$70:$N$77,COLUMN()-COLUMN($B$80)+1)</f>
        <v>6600</v>
      </c>
      <c r="I84" s="21">
        <f>+INDEX(Sheet1!$N$70:$N$77,COLUMN()-COLUMN($B$80)+1)</f>
        <v>14000</v>
      </c>
    </row>
    <row r="85" spans="1:9">
      <c r="A85" t="s">
        <v>126</v>
      </c>
      <c r="B85" s="21">
        <f>+INDEX(Sheet1!$O$70:$O$77,COLUMN()-COLUMN($B$80)+1)</f>
        <v>30</v>
      </c>
      <c r="C85" s="21">
        <f>+INDEX(Sheet1!$O$70:$O$77,COLUMN()-COLUMN($B$80)+1)</f>
        <v>0</v>
      </c>
      <c r="D85" s="21">
        <f>+INDEX(Sheet1!$O$70:$O$77,COLUMN()-COLUMN($B$80)+1)</f>
        <v>0</v>
      </c>
      <c r="E85" s="21">
        <f>+INDEX(Sheet1!$O$70:$O$77,COLUMN()-COLUMN($B$80)+1)</f>
        <v>0</v>
      </c>
      <c r="F85" s="21">
        <f>+INDEX(Sheet1!$O$70:$O$77,COLUMN()-COLUMN($B$80)+1)</f>
        <v>0</v>
      </c>
      <c r="G85" s="21">
        <f>+INDEX(Sheet1!$O$70:$O$77,COLUMN()-COLUMN($B$80)+1)</f>
        <v>0</v>
      </c>
      <c r="H85" s="21">
        <f>+INDEX(Sheet1!$O$70:$O$77,COLUMN()-COLUMN($B$80)+1)</f>
        <v>0</v>
      </c>
      <c r="I85" s="21">
        <f>+INDEX(Sheet1!$O$70:$O$77,COLUMN()-COLUMN($B$80)+1)</f>
        <v>0</v>
      </c>
    </row>
    <row r="86" spans="1:9">
      <c r="A86" t="s">
        <v>127</v>
      </c>
      <c r="B86" s="21">
        <f>+INDEX(Sheet1!$P$70:$P$77,COLUMN()-COLUMN($B$80)+1)</f>
        <v>100</v>
      </c>
      <c r="C86" s="21">
        <f>+INDEX(Sheet1!$P$70:$P$77,COLUMN()-COLUMN($B$80)+1)</f>
        <v>100</v>
      </c>
      <c r="D86" s="21">
        <f>+INDEX(Sheet1!$P$70:$P$77,COLUMN()-COLUMN($B$80)+1)</f>
        <v>100</v>
      </c>
      <c r="E86" s="21">
        <f>+INDEX(Sheet1!$P$70:$P$77,COLUMN()-COLUMN($B$80)+1)</f>
        <v>100</v>
      </c>
      <c r="F86" s="21">
        <f>+INDEX(Sheet1!$P$70:$P$77,COLUMN()-COLUMN($B$80)+1)</f>
        <v>100</v>
      </c>
      <c r="G86" s="21">
        <f>+INDEX(Sheet1!$P$70:$P$77,COLUMN()-COLUMN($B$80)+1)</f>
        <v>100</v>
      </c>
      <c r="H86" s="21">
        <f>+INDEX(Sheet1!$P$70:$P$77,COLUMN()-COLUMN($B$80)+1)</f>
        <v>100</v>
      </c>
      <c r="I86" s="21">
        <f>+INDEX(Sheet1!$P$70:$P$77,COLUMN()-COLUMN($B$80)+1)</f>
        <v>100</v>
      </c>
    </row>
    <row r="88" spans="1:9">
      <c r="A88" t="s">
        <v>128</v>
      </c>
    </row>
    <row r="89" spans="1:9">
      <c r="A89" t="s">
        <v>226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129</v>
      </c>
      <c r="B90" s="21">
        <f>+INDEX(Sheet1!$Q$70:$Q$77,COLUMN()-COLUMN($B$80)+1)</f>
        <v>30</v>
      </c>
      <c r="C90" s="21">
        <f>+INDEX(Sheet1!$Q$70:$Q$77,COLUMN()-COLUMN($B$80)+1)</f>
        <v>0</v>
      </c>
      <c r="D90" s="21">
        <f>+INDEX(Sheet1!$Q$70:$Q$77,COLUMN()-COLUMN($B$80)+1)</f>
        <v>0</v>
      </c>
      <c r="E90" s="21">
        <f>+INDEX(Sheet1!$Q$70:$Q$77,COLUMN()-COLUMN($B$80)+1)</f>
        <v>0</v>
      </c>
      <c r="F90" s="21">
        <f>+INDEX(Sheet1!$Q$70:$Q$77,COLUMN()-COLUMN($B$80)+1)</f>
        <v>0</v>
      </c>
      <c r="G90" s="21">
        <f>+INDEX(Sheet1!$Q$70:$Q$77,COLUMN()-COLUMN($B$80)+1)</f>
        <v>0</v>
      </c>
      <c r="H90" s="21">
        <f>+INDEX(Sheet1!$Q$70:$Q$77,COLUMN()-COLUMN($B$80)+1)</f>
        <v>0</v>
      </c>
      <c r="I90" s="21">
        <f>+INDEX(Sheet1!$Q$70:$Q$77,COLUMN()-COLUMN($B$80)+1)</f>
        <v>0</v>
      </c>
    </row>
    <row r="91" spans="1:9">
      <c r="A91" t="s">
        <v>130</v>
      </c>
      <c r="B91" s="21">
        <f>+INDEX(Sheet1!$R$70:$R$77,COLUMN()-COLUMN($B$80)+1)</f>
        <v>10</v>
      </c>
      <c r="C91" s="21">
        <f>+INDEX(Sheet1!$R$70:$R$77,COLUMN()-COLUMN($B$80)+1)</f>
        <v>10</v>
      </c>
      <c r="D91" s="21">
        <f>+INDEX(Sheet1!$R$70:$R$77,COLUMN()-COLUMN($B$80)+1)</f>
        <v>10</v>
      </c>
      <c r="E91" s="21">
        <f>+INDEX(Sheet1!$R$70:$R$77,COLUMN()-COLUMN($B$80)+1)</f>
        <v>10</v>
      </c>
      <c r="F91" s="21">
        <f>+INDEX(Sheet1!$R$70:$R$77,COLUMN()-COLUMN($B$80)+1)</f>
        <v>10</v>
      </c>
      <c r="G91" s="21">
        <f>+INDEX(Sheet1!$R$70:$R$77,COLUMN()-COLUMN($B$80)+1)</f>
        <v>10</v>
      </c>
      <c r="H91" s="21">
        <f>+INDEX(Sheet1!$R$70:$R$77,COLUMN()-COLUMN($B$80)+1)</f>
        <v>10</v>
      </c>
      <c r="I91" s="21">
        <f>+INDEX(Sheet1!$R$70:$R$77,COLUMN()-COLUMN($B$80)+1)</f>
        <v>10</v>
      </c>
    </row>
    <row r="92" spans="1:9">
      <c r="A92" t="s">
        <v>101</v>
      </c>
    </row>
    <row r="93" spans="1:9">
      <c r="A93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L80"/>
  <sheetViews>
    <sheetView topLeftCell="A19" zoomScale="85" zoomScaleNormal="85" workbookViewId="0">
      <selection activeCell="H44" sqref="H44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2">
      <c r="A33" t="s">
        <v>101</v>
      </c>
    </row>
    <row r="34" spans="1:12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2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2">
      <c r="A37" t="s">
        <v>233</v>
      </c>
      <c r="B37" s="21">
        <f>+INDEX(Sheet1!$K$24:$K$34,COLUMN()-COLUMN($B$60)+1)</f>
        <v>-1951.29</v>
      </c>
      <c r="C37" s="21">
        <f>+INDEX(Sheet1!$K$24:$K$34,COLUMN()-COLUMN($B$60)+1)</f>
        <v>-1951.29</v>
      </c>
      <c r="D37" s="21">
        <f>+INDEX(Sheet1!$K$24:$K$34,COLUMN()-COLUMN($B$60)+1)</f>
        <v>-1399.46</v>
      </c>
      <c r="E37" s="21">
        <f>+INDEX(Sheet1!$K$24:$K$34,COLUMN()-COLUMN($B$60)+1)</f>
        <v>-1093.33</v>
      </c>
      <c r="F37" s="21">
        <f>+INDEX(Sheet1!$K$24:$K$34,COLUMN()-COLUMN($B$60)+1)</f>
        <v>-586.66</v>
      </c>
      <c r="G37" s="21">
        <f>+INDEX(Sheet1!$K$24:$K$34,COLUMN()-COLUMN($B$60)+1)</f>
        <v>293.33</v>
      </c>
      <c r="H37" s="21">
        <f>+INDEX(Sheet1!$K$24:$K$34,COLUMN()-COLUMN($B$60)+1)</f>
        <v>11.375</v>
      </c>
      <c r="I37" s="21">
        <f>+INDEX(Sheet1!$K$24:$K$34,COLUMN()-COLUMN($B$60)+1)</f>
        <v>11.375</v>
      </c>
      <c r="J37" s="21">
        <f>+INDEX(Sheet1!$K$24:$K$34,COLUMN()-COLUMN($B$60)+1)</f>
        <v>11.375</v>
      </c>
      <c r="K37" s="21">
        <f>+INDEX(Sheet1!$K$24:$K$34,COLUMN()-COLUMN($B$60)+1)</f>
        <v>0</v>
      </c>
    </row>
    <row r="38" spans="1:12">
      <c r="A38" t="s">
        <v>239</v>
      </c>
      <c r="B38" s="21">
        <f>+INDEX(Sheet1!$D$24:$D$34,COLUMN()-COLUMN($B$60)+1)++INDEX(Sheet1!$S$24:$S$34,COLUMN()-COLUMN($B$60)+1)</f>
        <v>42</v>
      </c>
      <c r="C38" s="21">
        <f>+INDEX(Sheet1!$D$24:$D$34,COLUMN()-COLUMN($B$60)+1)++INDEX(Sheet1!$S$24:$S$34,COLUMN()-COLUMN($B$60)+1)</f>
        <v>47</v>
      </c>
      <c r="D38" s="21">
        <f>+INDEX(Sheet1!$D$24:$D$34,COLUMN()-COLUMN($B$60)+1)++INDEX(Sheet1!$S$24:$S$34,COLUMN()-COLUMN($B$60)+1)</f>
        <v>56.050000000000004</v>
      </c>
      <c r="E38" s="21">
        <f>+INDEX(Sheet1!$D$24:$D$34,COLUMN()-COLUMN($B$60)+1)++INDEX(Sheet1!$S$24:$S$34,COLUMN()-COLUMN($B$60)+1)</f>
        <v>-52.4</v>
      </c>
      <c r="F38" s="21">
        <f>+INDEX(Sheet1!$D$24:$D$34,COLUMN()-COLUMN($B$60)+1)++INDEX(Sheet1!$S$24:$S$34,COLUMN()-COLUMN($B$60)+1)</f>
        <v>43.45</v>
      </c>
      <c r="G38" s="21">
        <f>+INDEX(Sheet1!$D$24:$D$34,COLUMN()-COLUMN($B$60)+1)++INDEX(Sheet1!$S$24:$S$34,COLUMN()-COLUMN($B$60)+1)</f>
        <v>1.160000000000001</v>
      </c>
      <c r="H38" s="21">
        <f>+INDEX(Sheet1!$D$24:$D$34,COLUMN()-COLUMN($B$60)+1)++INDEX(Sheet1!$S$24:$S$34,COLUMN()-COLUMN($B$60)+1)</f>
        <v>179</v>
      </c>
      <c r="I38" s="21">
        <f>+INDEX(Sheet1!$D$24:$D$34,COLUMN()-COLUMN($B$60)+1)++INDEX(Sheet1!$S$24:$S$34,COLUMN()-COLUMN($B$60)+1)</f>
        <v>180</v>
      </c>
      <c r="J38" s="21">
        <f>+INDEX(Sheet1!$D$24:$D$34,COLUMN()-COLUMN($B$60)+1)++INDEX(Sheet1!$S$24:$S$34,COLUMN()-COLUMN($B$60)+1)</f>
        <v>184</v>
      </c>
      <c r="K38" s="21">
        <f>+INDEX(Sheet1!$D$24:$D$34,COLUMN()-COLUMN($B$60)+1)++INDEX(Sheet1!$S$24:$S$34,COLUMN()-COLUMN($B$60)+1)</f>
        <v>0</v>
      </c>
    </row>
    <row r="40" spans="1:12">
      <c r="A40" t="s">
        <v>102</v>
      </c>
      <c r="B40">
        <v>0</v>
      </c>
    </row>
    <row r="42" spans="1:12">
      <c r="A42" t="s">
        <v>143</v>
      </c>
    </row>
    <row r="43" spans="1:12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4" spans="1:12">
      <c r="A44" t="s">
        <v>289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  <c r="J44">
        <v>100</v>
      </c>
      <c r="K44">
        <v>100</v>
      </c>
      <c r="L44" t="s">
        <v>299</v>
      </c>
    </row>
    <row r="46" spans="1:12">
      <c r="A46" t="s">
        <v>144</v>
      </c>
    </row>
    <row r="47" spans="1:12">
      <c r="A47" t="s">
        <v>177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</row>
    <row r="48" spans="1:12">
      <c r="A48" t="s">
        <v>235</v>
      </c>
      <c r="B48" s="21">
        <f>+INDEX(Sheet1!$H$24:$H$34,COLUMN()-COLUMN($B$60)+1)</f>
        <v>24</v>
      </c>
      <c r="C48" s="21">
        <f>+INDEX(Sheet1!$H$24:$H$34,COLUMN()-COLUMN($B$60)+1)</f>
        <v>47</v>
      </c>
      <c r="D48" s="21">
        <f>+INDEX(Sheet1!$H$24:$H$34,COLUMN()-COLUMN($B$60)+1)</f>
        <v>52</v>
      </c>
      <c r="E48" s="21">
        <f>+INDEX(Sheet1!$H$24:$H$34,COLUMN()-COLUMN($B$60)+1)</f>
        <v>19</v>
      </c>
      <c r="F48" s="21">
        <f>+INDEX(Sheet1!$H$24:$H$34,COLUMN()-COLUMN($B$60)+1)</f>
        <v>30</v>
      </c>
      <c r="G48" s="21">
        <f>+INDEX(Sheet1!$H$24:$H$34,COLUMN()-COLUMN($B$60)+1)</f>
        <v>50</v>
      </c>
      <c r="H48" s="21">
        <f>+INDEX(Sheet1!$H$24:$H$34,COLUMN()-COLUMN($B$60)+1)</f>
        <v>50</v>
      </c>
      <c r="I48" s="21">
        <f>+INDEX(Sheet1!$H$24:$H$34,COLUMN()-COLUMN($B$60)+1)</f>
        <v>30</v>
      </c>
      <c r="J48" s="21">
        <f>+INDEX(Sheet1!$H$24:$H$34,COLUMN()-COLUMN($B$60)+1)</f>
        <v>70</v>
      </c>
      <c r="K48">
        <v>0</v>
      </c>
    </row>
    <row r="49" spans="1:11">
      <c r="A49" t="s">
        <v>236</v>
      </c>
      <c r="B49" s="21">
        <f>+INDEX(Sheet1!$G$24:$G$34,COLUMN()-COLUMN($B$60)+1)</f>
        <v>-39</v>
      </c>
      <c r="C49" s="21">
        <f>+INDEX(Sheet1!$G$24:$G$34,COLUMN()-COLUMN($B$60)+1)</f>
        <v>-47</v>
      </c>
      <c r="D49" s="21">
        <f>+INDEX(Sheet1!$G$24:$G$34,COLUMN()-COLUMN($B$60)+1)</f>
        <v>-52</v>
      </c>
      <c r="E49" s="21">
        <f>+INDEX(Sheet1!$G$24:$G$34,COLUMN()-COLUMN($B$60)+1)</f>
        <v>-44</v>
      </c>
      <c r="F49" s="21">
        <f>+INDEX(Sheet1!$G$24:$G$34,COLUMN()-COLUMN($B$60)+1)</f>
        <v>-30</v>
      </c>
      <c r="G49" s="21">
        <f>+INDEX(Sheet1!$G$24:$G$34,COLUMN()-COLUMN($B$60)+1)</f>
        <v>0</v>
      </c>
      <c r="H49" s="21">
        <f>+INDEX(Sheet1!$G$24:$G$34,COLUMN()-COLUMN($B$60)+1)</f>
        <v>-50</v>
      </c>
      <c r="I49" s="21">
        <f>+INDEX(Sheet1!$G$24:$G$34,COLUMN()-COLUMN($B$60)+1)</f>
        <v>-30</v>
      </c>
      <c r="J49" s="21">
        <f>+INDEX(Sheet1!$G$24:$G$34,COLUMN()-COLUMN($B$60)+1)</f>
        <v>-22</v>
      </c>
      <c r="K49">
        <v>0</v>
      </c>
    </row>
    <row r="51" spans="1:11">
      <c r="A51" t="s">
        <v>237</v>
      </c>
      <c r="B51">
        <v>800</v>
      </c>
      <c r="C51">
        <v>800</v>
      </c>
      <c r="D51">
        <v>800</v>
      </c>
      <c r="E51">
        <v>485</v>
      </c>
      <c r="F51">
        <v>485</v>
      </c>
      <c r="G51">
        <v>485</v>
      </c>
      <c r="H51" s="21">
        <f>$B$5</f>
        <v>7000</v>
      </c>
      <c r="I51" s="21">
        <f>$B$5</f>
        <v>7000</v>
      </c>
      <c r="J51" s="21">
        <f>$B$5</f>
        <v>7000</v>
      </c>
      <c r="K51" s="21">
        <f>$B$5</f>
        <v>7000</v>
      </c>
    </row>
    <row r="52" spans="1:11">
      <c r="A52" t="s">
        <v>152</v>
      </c>
    </row>
    <row r="53" spans="1:11">
      <c r="A53" t="s">
        <v>104</v>
      </c>
      <c r="B53" t="s">
        <v>105</v>
      </c>
      <c r="C53" t="s">
        <v>106</v>
      </c>
      <c r="D53" t="s">
        <v>107</v>
      </c>
      <c r="E53" t="s">
        <v>108</v>
      </c>
      <c r="F53" t="s">
        <v>109</v>
      </c>
      <c r="G53" t="s">
        <v>110</v>
      </c>
      <c r="H53" t="s">
        <v>111</v>
      </c>
    </row>
    <row r="54" spans="1:11">
      <c r="A54" t="s">
        <v>112</v>
      </c>
    </row>
    <row r="55" spans="1:11">
      <c r="A55" t="s">
        <v>113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ref="F55:F64" si="0">+$B$3</f>
        <v>1333</v>
      </c>
      <c r="G55">
        <v>4</v>
      </c>
      <c r="H55">
        <v>0</v>
      </c>
    </row>
    <row r="56" spans="1:11">
      <c r="A56" t="s">
        <v>114</v>
      </c>
      <c r="B56">
        <v>50</v>
      </c>
      <c r="C56">
        <v>500</v>
      </c>
      <c r="D56">
        <v>1</v>
      </c>
      <c r="E56" s="21">
        <f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115</v>
      </c>
      <c r="B57">
        <v>100</v>
      </c>
      <c r="C57">
        <v>700</v>
      </c>
      <c r="D57">
        <v>2</v>
      </c>
      <c r="E57" s="21">
        <f t="shared" ref="E57:E64" si="1"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116</v>
      </c>
      <c r="B58">
        <v>40</v>
      </c>
      <c r="C58">
        <v>400</v>
      </c>
      <c r="D58">
        <v>1</v>
      </c>
      <c r="E58" s="21">
        <f>+$B$3</f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117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118</v>
      </c>
      <c r="B60">
        <v>100</v>
      </c>
      <c r="C60">
        <v>1000</v>
      </c>
      <c r="D60">
        <v>1</v>
      </c>
      <c r="E60" s="21">
        <f t="shared" si="1"/>
        <v>1333</v>
      </c>
      <c r="F60" s="21">
        <f t="shared" si="0"/>
        <v>1333</v>
      </c>
      <c r="G60">
        <v>4</v>
      </c>
      <c r="H60">
        <v>0</v>
      </c>
    </row>
    <row r="61" spans="1:11">
      <c r="A61" t="s">
        <v>119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120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153</v>
      </c>
      <c r="B63">
        <v>32000</v>
      </c>
      <c r="C63">
        <v>6000</v>
      </c>
      <c r="D63">
        <v>60</v>
      </c>
      <c r="E63" s="21">
        <f t="shared" si="1"/>
        <v>1333</v>
      </c>
      <c r="F63" s="21">
        <f t="shared" si="0"/>
        <v>1333</v>
      </c>
      <c r="G63">
        <v>13</v>
      </c>
      <c r="H63">
        <v>0</v>
      </c>
    </row>
    <row r="64" spans="1:11">
      <c r="A64" t="s">
        <v>154</v>
      </c>
      <c r="B64">
        <v>0</v>
      </c>
      <c r="C64">
        <v>0</v>
      </c>
      <c r="D64">
        <v>0</v>
      </c>
      <c r="E64" s="21">
        <f t="shared" si="1"/>
        <v>1333</v>
      </c>
      <c r="F64" s="21">
        <f t="shared" si="0"/>
        <v>1333</v>
      </c>
      <c r="G64">
        <v>0</v>
      </c>
      <c r="H64">
        <v>0</v>
      </c>
    </row>
    <row r="66" spans="1:11">
      <c r="A66" t="s">
        <v>121</v>
      </c>
    </row>
    <row r="67" spans="1:11">
      <c r="A67" t="s">
        <v>238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  <c r="H67">
        <v>6</v>
      </c>
      <c r="I67">
        <v>7</v>
      </c>
      <c r="J67">
        <v>8</v>
      </c>
      <c r="K67">
        <v>9</v>
      </c>
    </row>
    <row r="68" spans="1:11">
      <c r="A68" t="s">
        <v>122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3</v>
      </c>
      <c r="I68">
        <v>3</v>
      </c>
      <c r="J68">
        <v>3</v>
      </c>
      <c r="K68">
        <v>3</v>
      </c>
    </row>
    <row r="69" spans="1:11">
      <c r="A69" t="s">
        <v>123</v>
      </c>
      <c r="B69" s="21">
        <f>+INDEX(Sheet1!$L$24:$L34,COLUMN()-COLUMN($B$70)+1)</f>
        <v>500</v>
      </c>
      <c r="C69" s="21">
        <v>1333</v>
      </c>
      <c r="D69" s="21">
        <v>1333</v>
      </c>
      <c r="E69" s="21">
        <f>+INDEX(Sheet1!$L$24:$L34,COLUMN()-COLUMN($B$70)+1)</f>
        <v>600</v>
      </c>
      <c r="F69" s="21">
        <f>+INDEX(Sheet1!$L$24:$L34,COLUMN()-COLUMN($B$70)+1)</f>
        <v>500</v>
      </c>
      <c r="G69" s="21">
        <f>+INDEX(Sheet1!$L$24:$L34,COLUMN()-COLUMN($B$70)+1)</f>
        <v>500</v>
      </c>
      <c r="H69" s="21">
        <f>+INDEX(Sheet1!$L$24:$L34,COLUMN()-COLUMN($B$70)+1)</f>
        <v>2047.5</v>
      </c>
      <c r="I69" s="21">
        <f>+INDEX(Sheet1!$L$24:$L34,COLUMN()-COLUMN($B$70)+1)</f>
        <v>2047.5</v>
      </c>
      <c r="J69" s="21">
        <f>+INDEX(Sheet1!$L$24:$L34,COLUMN()-COLUMN($B$70)+1)</f>
        <v>2047.5</v>
      </c>
      <c r="K69" s="21">
        <f>+INDEX(Sheet1!$L$24:$L34,COLUMN()-COLUMN($B$70)+1)</f>
        <v>0</v>
      </c>
    </row>
    <row r="70" spans="1:11">
      <c r="A70" t="s">
        <v>124</v>
      </c>
      <c r="B70" s="21">
        <f>+INDEX(Sheet1!$M$24:$M34,COLUMN()-COLUMN($B$70)+1)</f>
        <v>20</v>
      </c>
      <c r="C70" s="21">
        <f>+INDEX(Sheet1!$M$24:$M34,COLUMN()-COLUMN($B$70)+1)</f>
        <v>20</v>
      </c>
      <c r="D70" s="21">
        <f>+INDEX(Sheet1!$M$24:$M34,COLUMN()-COLUMN($B$70)+1)</f>
        <v>20</v>
      </c>
      <c r="E70" s="21">
        <f>+INDEX(Sheet1!$M$24:$M34,COLUMN()-COLUMN($B$70)+1)</f>
        <v>-20</v>
      </c>
      <c r="F70" s="21">
        <f>+INDEX(Sheet1!$M$24:$M34,COLUMN()-COLUMN($B$70)+1)</f>
        <v>20</v>
      </c>
      <c r="G70" s="21">
        <f>+INDEX(Sheet1!$M$24:$M34,COLUMN()-COLUMN($B$70)+1)</f>
        <v>20</v>
      </c>
      <c r="H70" s="21">
        <f>+INDEX(Sheet1!$M$24:$M34,COLUMN()-COLUMN($B$70)+1)</f>
        <v>10</v>
      </c>
      <c r="I70" s="21">
        <f>+INDEX(Sheet1!$M$24:$M34,COLUMN()-COLUMN($B$70)+1)</f>
        <v>10</v>
      </c>
      <c r="J70" s="21">
        <f>+INDEX(Sheet1!$M$24:$M34,COLUMN()-COLUMN($B$70)+1)</f>
        <v>10</v>
      </c>
      <c r="K70" s="21">
        <f>+INDEX(Sheet1!$M$24:$M34,COLUMN()-COLUMN($B$70)+1)</f>
        <v>0</v>
      </c>
    </row>
    <row r="71" spans="1:11">
      <c r="A71" t="s">
        <v>125</v>
      </c>
      <c r="B71" s="21">
        <f>+INDEX(Sheet1!$N$24:$N34,COLUMN()-COLUMN($B$70)+1)</f>
        <v>0</v>
      </c>
      <c r="C71" s="21">
        <f>+INDEX(Sheet1!$N$24:$N34,COLUMN()-COLUMN($B$70)+1)</f>
        <v>0</v>
      </c>
      <c r="D71" s="21">
        <f>+INDEX(Sheet1!$N$24:$N34,COLUMN()-COLUMN($B$70)+1)</f>
        <v>0</v>
      </c>
      <c r="E71" s="21">
        <f>+INDEX(Sheet1!$N$24:$N34,COLUMN()-COLUMN($B$70)+1)</f>
        <v>0</v>
      </c>
      <c r="F71" s="21">
        <f>+INDEX(Sheet1!$N$24:$N34,COLUMN()-COLUMN($B$70)+1)</f>
        <v>0</v>
      </c>
      <c r="G71" s="21">
        <f>+INDEX(Sheet1!$N$24:$N34,COLUMN()-COLUMN($B$70)+1)</f>
        <v>0</v>
      </c>
      <c r="H71" s="21">
        <f>+INDEX(Sheet1!$N$24:$N34,COLUMN()-COLUMN($B$70)+1)</f>
        <v>3715.0750000000003</v>
      </c>
      <c r="I71" s="21">
        <f>+INDEX(Sheet1!$N$24:$N34,COLUMN()-COLUMN($B$70)+1)</f>
        <v>2646.9625000000001</v>
      </c>
      <c r="J71" s="21">
        <f>+INDEX(Sheet1!$N$24:$N34,COLUMN()-COLUMN($B$70)+1)</f>
        <v>3560.375</v>
      </c>
      <c r="K71" s="21">
        <f>+INDEX(Sheet1!$N$24:$N34,COLUMN()-COLUMN($B$70)+1)</f>
        <v>0</v>
      </c>
    </row>
    <row r="72" spans="1:11">
      <c r="A72" t="s">
        <v>126</v>
      </c>
      <c r="B72" s="21">
        <f>+INDEX(Sheet1!$O$24:$O36,COLUMN()-COLUMN($B$70)+1)</f>
        <v>0</v>
      </c>
      <c r="C72" s="21">
        <f>+INDEX(Sheet1!$O$24:$O36,COLUMN()-COLUMN($B$70)+1)</f>
        <v>0</v>
      </c>
      <c r="D72" s="21">
        <f>+INDEX(Sheet1!$O$24:$O36,COLUMN()-COLUMN($B$70)+1)</f>
        <v>0</v>
      </c>
      <c r="E72" s="21">
        <f>+INDEX(Sheet1!$O$24:$O36,COLUMN()-COLUMN($B$70)+1)</f>
        <v>0</v>
      </c>
      <c r="F72" s="21">
        <f>+INDEX(Sheet1!$O$24:$O36,COLUMN()-COLUMN($B$70)+1)</f>
        <v>0</v>
      </c>
      <c r="G72" s="21">
        <f>+INDEX(Sheet1!$O$24:$O36,COLUMN()-COLUMN($B$70)+1)</f>
        <v>0</v>
      </c>
      <c r="H72" s="21">
        <f>+INDEX(Sheet1!$O$24:$O36,COLUMN()-COLUMN($B$70)+1)</f>
        <v>0</v>
      </c>
      <c r="I72" s="21">
        <f>+INDEX(Sheet1!$O$24:$O36,COLUMN()-COLUMN($B$70)+1)</f>
        <v>0</v>
      </c>
      <c r="J72" s="21">
        <f>+INDEX(Sheet1!$O$24:$O36,COLUMN()-COLUMN($B$70)+1)</f>
        <v>0</v>
      </c>
      <c r="K72" s="21">
        <f>+INDEX(Sheet1!$O$24:$O36,COLUMN()-COLUMN($B$70)+1)</f>
        <v>0</v>
      </c>
    </row>
    <row r="73" spans="1:11">
      <c r="A73" t="s">
        <v>127</v>
      </c>
      <c r="B73" s="21">
        <f>+INDEX(Sheet1!$P$24:$P37,COLUMN()-COLUMN($B$70)+1)</f>
        <v>10</v>
      </c>
      <c r="C73" s="21">
        <f>+INDEX(Sheet1!$P$24:$P37,COLUMN()-COLUMN($B$70)+1)</f>
        <v>10</v>
      </c>
      <c r="D73" s="21">
        <f>+INDEX(Sheet1!$P$24:$P37,COLUMN()-COLUMN($B$70)+1)</f>
        <v>10</v>
      </c>
      <c r="E73" s="21">
        <f>+INDEX(Sheet1!$P$24:$P37,COLUMN()-COLUMN($B$70)+1)</f>
        <v>10</v>
      </c>
      <c r="F73" s="21">
        <f>+INDEX(Sheet1!$P$24:$P37,COLUMN()-COLUMN($B$70)+1)</f>
        <v>10</v>
      </c>
      <c r="G73" s="21">
        <f>+INDEX(Sheet1!$P$24:$P37,COLUMN()-COLUMN($B$70)+1)</f>
        <v>10</v>
      </c>
      <c r="H73" s="21">
        <f>+INDEX(Sheet1!$P$24:$P37,COLUMN()-COLUMN($B$70)+1)</f>
        <v>10</v>
      </c>
      <c r="I73" s="21">
        <f>+INDEX(Sheet1!$P$24:$P37,COLUMN()-COLUMN($B$70)+1)</f>
        <v>10</v>
      </c>
      <c r="J73" s="21">
        <f>+INDEX(Sheet1!$P$24:$P37,COLUMN()-COLUMN($B$70)+1)</f>
        <v>10</v>
      </c>
      <c r="K73" s="21">
        <f>+INDEX(Sheet1!$P$24:$P37,COLUMN()-COLUMN($B$70)+1)</f>
        <v>0</v>
      </c>
    </row>
    <row r="75" spans="1:11">
      <c r="A75" t="s">
        <v>128</v>
      </c>
    </row>
    <row r="76" spans="1:11">
      <c r="A76" t="s">
        <v>238</v>
      </c>
      <c r="B76">
        <v>0</v>
      </c>
      <c r="C76">
        <v>1</v>
      </c>
      <c r="D76">
        <v>2</v>
      </c>
      <c r="E76">
        <v>3</v>
      </c>
      <c r="F76">
        <v>4</v>
      </c>
      <c r="G76">
        <v>5</v>
      </c>
      <c r="H76">
        <v>6</v>
      </c>
      <c r="I76">
        <v>7</v>
      </c>
      <c r="J76">
        <v>8</v>
      </c>
      <c r="K76">
        <v>9</v>
      </c>
    </row>
    <row r="77" spans="1:11">
      <c r="A77" t="s">
        <v>129</v>
      </c>
      <c r="B77" s="21">
        <f>+INDEX(Sheet1!$Q$24:$Q41,COLUMN()-COLUMN($B$70)+1)</f>
        <v>-40</v>
      </c>
      <c r="C77" s="21">
        <f>+INDEX(Sheet1!$Q$24:$Q41,COLUMN()-COLUMN($B$70)+1)</f>
        <v>0</v>
      </c>
      <c r="D77" s="21">
        <f>+INDEX(Sheet1!$Q$24:$Q41,COLUMN()-COLUMN($B$70)+1)</f>
        <v>0</v>
      </c>
      <c r="E77" s="21">
        <f>+INDEX(Sheet1!$Q$24:$Q41,COLUMN()-COLUMN($B$70)+1)</f>
        <v>0</v>
      </c>
      <c r="F77" s="21">
        <f>+INDEX(Sheet1!$Q$24:$Q41,COLUMN()-COLUMN($B$70)+1)</f>
        <v>0</v>
      </c>
      <c r="G77" s="21">
        <f>+INDEX(Sheet1!$Q$24:$Q41,COLUMN()-COLUMN($B$70)+1)</f>
        <v>0</v>
      </c>
      <c r="H77" s="21">
        <f>+INDEX(Sheet1!$Q$24:$Q41,COLUMN()-COLUMN($B$70)+1)</f>
        <v>0</v>
      </c>
      <c r="I77" s="21">
        <f>+INDEX(Sheet1!$Q$24:$Q41,COLUMN()-COLUMN($B$70)+1)</f>
        <v>0</v>
      </c>
      <c r="J77" s="21">
        <f>+INDEX(Sheet1!$Q$24:$Q41,COLUMN()-COLUMN($B$70)+1)</f>
        <v>-20</v>
      </c>
      <c r="K77" s="21">
        <f>+INDEX(Sheet1!$Q$24:$Q41,COLUMN()-COLUMN($B$70)+1)</f>
        <v>0</v>
      </c>
    </row>
    <row r="78" spans="1:11">
      <c r="A78" t="s">
        <v>130</v>
      </c>
      <c r="B78" s="21">
        <f>+INDEX(Sheet1!$R$24:$R42,COLUMN()-COLUMN($B$70)+1)</f>
        <v>10</v>
      </c>
      <c r="C78" s="21">
        <f>+INDEX(Sheet1!$R$24:$R42,COLUMN()-COLUMN($B$70)+1)</f>
        <v>10</v>
      </c>
      <c r="D78" s="21">
        <f>+INDEX(Sheet1!$R$24:$R42,COLUMN()-COLUMN($B$70)+1)</f>
        <v>10</v>
      </c>
      <c r="E78" s="21">
        <f>+INDEX(Sheet1!$R$24:$R42,COLUMN()-COLUMN($B$70)+1)</f>
        <v>10</v>
      </c>
      <c r="F78" s="21">
        <f>+INDEX(Sheet1!$R$24:$R42,COLUMN()-COLUMN($B$70)+1)</f>
        <v>10</v>
      </c>
      <c r="G78" s="21">
        <f>+INDEX(Sheet1!$R$24:$R42,COLUMN()-COLUMN($B$70)+1)</f>
        <v>10</v>
      </c>
      <c r="H78" s="21">
        <f>+INDEX(Sheet1!$R$24:$R42,COLUMN()-COLUMN($B$70)+1)</f>
        <v>10</v>
      </c>
      <c r="I78" s="21">
        <f>+INDEX(Sheet1!$R$24:$R42,COLUMN()-COLUMN($B$70)+1)</f>
        <v>10</v>
      </c>
      <c r="J78" s="21">
        <f>+INDEX(Sheet1!$R$24:$R42,COLUMN()-COLUMN($B$70)+1)</f>
        <v>10</v>
      </c>
      <c r="K78" s="21">
        <f>+INDEX(Sheet1!$R$24:$R42,COLUMN()-COLUMN($B$70)+1)</f>
        <v>0</v>
      </c>
    </row>
    <row r="79" spans="1:11">
      <c r="A79" t="s">
        <v>101</v>
      </c>
    </row>
    <row r="80" spans="1:11">
      <c r="A80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Head_Torso!B69</f>
        <v>500</v>
      </c>
      <c r="C10">
        <f>Head_Torso!C69</f>
        <v>1333</v>
      </c>
      <c r="D10">
        <f>Head_Torso!D69</f>
        <v>1333</v>
      </c>
      <c r="E10">
        <f>Head_Torso!E69</f>
        <v>600</v>
      </c>
      <c r="F10">
        <f>Head_Torso!F69</f>
        <v>500</v>
      </c>
      <c r="G10">
        <f>Head_Torso!G69</f>
        <v>500</v>
      </c>
    </row>
    <row r="11" spans="1:7">
      <c r="A11" t="s">
        <v>181</v>
      </c>
      <c r="B11">
        <f>Head_Torso!B70</f>
        <v>20</v>
      </c>
      <c r="C11">
        <f>Head_Torso!C70</f>
        <v>20</v>
      </c>
      <c r="D11">
        <f>Head_Torso!D70</f>
        <v>20</v>
      </c>
      <c r="E11">
        <f>Head_Torso!E70</f>
        <v>-20</v>
      </c>
      <c r="F11">
        <f>Head_Torso!F70</f>
        <v>20</v>
      </c>
      <c r="G11">
        <f>Head_Torso!G70</f>
        <v>20</v>
      </c>
    </row>
    <row r="12" spans="1:7">
      <c r="A12" t="s">
        <v>180</v>
      </c>
      <c r="B12">
        <f>Head_Torso!B71</f>
        <v>0</v>
      </c>
      <c r="C12">
        <f>Head_Torso!C71</f>
        <v>0</v>
      </c>
      <c r="D12">
        <f>Head_Torso!D71</f>
        <v>0</v>
      </c>
      <c r="E12">
        <f>Head_Torso!E71</f>
        <v>0</v>
      </c>
      <c r="F12">
        <f>Head_Torso!F71</f>
        <v>0</v>
      </c>
      <c r="G12">
        <f>Head_Torso!G71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Head_Torso!B72</f>
        <v>0</v>
      </c>
      <c r="C16">
        <f>Head_Torso!C72</f>
        <v>0</v>
      </c>
      <c r="D16">
        <f>Head_Torso!D72</f>
        <v>0</v>
      </c>
      <c r="E16">
        <f>Head_Torso!E72</f>
        <v>0</v>
      </c>
      <c r="F16">
        <f>Head_Torso!F72</f>
        <v>0</v>
      </c>
      <c r="G16">
        <f>Head_Torso!G72</f>
        <v>0</v>
      </c>
    </row>
    <row r="17" spans="1:7">
      <c r="A17" t="s">
        <v>127</v>
      </c>
      <c r="B17">
        <f>Head_Torso!B73</f>
        <v>10</v>
      </c>
      <c r="C17">
        <f>Head_Torso!C73</f>
        <v>10</v>
      </c>
      <c r="D17">
        <f>Head_Torso!D73</f>
        <v>10</v>
      </c>
      <c r="E17">
        <f>Head_Torso!E73</f>
        <v>10</v>
      </c>
      <c r="F17">
        <f>Head_Torso!F73</f>
        <v>10</v>
      </c>
      <c r="G17">
        <f>Head_Torso!G73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Head_Torso!H69</f>
        <v>2047.5</v>
      </c>
      <c r="C23">
        <f>Head_Torso!I69</f>
        <v>2047.5</v>
      </c>
      <c r="D23">
        <f>Head_Torso!J69</f>
        <v>2047.5</v>
      </c>
    </row>
    <row r="24" spans="1:7">
      <c r="A24" t="s">
        <v>212</v>
      </c>
      <c r="B24">
        <f>Head_Torso!H70</f>
        <v>10</v>
      </c>
      <c r="C24">
        <f>Head_Torso!I70</f>
        <v>10</v>
      </c>
      <c r="D24">
        <f>Head_Torso!J70</f>
        <v>10</v>
      </c>
    </row>
    <row r="25" spans="1:7">
      <c r="A25" t="s">
        <v>185</v>
      </c>
      <c r="B25">
        <f>Head_Torso!H71</f>
        <v>3715.0750000000003</v>
      </c>
      <c r="C25">
        <f>Head_Torso!I71</f>
        <v>2646.9625000000001</v>
      </c>
      <c r="D25">
        <f>Head_Torso!J71</f>
        <v>3560.375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Head_Torso!H77</f>
        <v>0</v>
      </c>
      <c r="C29">
        <f>Head_Torso!I77</f>
        <v>0</v>
      </c>
      <c r="D29">
        <f>Head_Torso!J77</f>
        <v>-20</v>
      </c>
    </row>
    <row r="30" spans="1:7">
      <c r="A30" t="s">
        <v>184</v>
      </c>
      <c r="B30">
        <f>Head_Torso!H78</f>
        <v>10</v>
      </c>
      <c r="C30">
        <f>Head_Torso!I78</f>
        <v>10</v>
      </c>
      <c r="D30">
        <f>Head_Torso!J78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Left_hand!B80</f>
        <v>3</v>
      </c>
      <c r="K35">
        <f>Left_hand!C80</f>
        <v>4</v>
      </c>
      <c r="L35">
        <f>Left_hand!D80</f>
        <v>4</v>
      </c>
      <c r="M35">
        <f>Left_hand!E80</f>
        <v>4</v>
      </c>
      <c r="N35">
        <f>Left_hand!F80</f>
        <v>4</v>
      </c>
      <c r="O35">
        <f>Left_hand!G80</f>
        <v>4</v>
      </c>
      <c r="P35">
        <f>Left_hand!H80</f>
        <v>4</v>
      </c>
      <c r="Q35">
        <f>Left_hand!I80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Left_hand!B81</f>
        <v>287</v>
      </c>
      <c r="K36">
        <f>Left_hand!C81</f>
        <v>245</v>
      </c>
      <c r="L36">
        <f>Left_hand!D81</f>
        <v>20</v>
      </c>
      <c r="M36">
        <f>Left_hand!E81</f>
        <v>237</v>
      </c>
      <c r="N36">
        <f>Left_hand!F81</f>
        <v>67</v>
      </c>
      <c r="O36">
        <f>Left_hand!G81</f>
        <v>240</v>
      </c>
      <c r="P36">
        <f>Left_hand!H81</f>
        <v>6</v>
      </c>
      <c r="Q36">
        <f>Left_hand!I81</f>
        <v>684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Left_hand!B82</f>
        <v>10</v>
      </c>
      <c r="K37">
        <f>Left_hand!C82</f>
        <v>10</v>
      </c>
      <c r="L37">
        <f>Left_hand!D82</f>
        <v>30</v>
      </c>
      <c r="M37">
        <f>Left_hand!E82</f>
        <v>10</v>
      </c>
      <c r="N37">
        <f>Left_hand!F82</f>
        <v>10</v>
      </c>
      <c r="O37">
        <f>Left_hand!G82</f>
        <v>10</v>
      </c>
      <c r="P37">
        <f>Left_hand!H82</f>
        <v>10</v>
      </c>
      <c r="Q37">
        <f>Left_hand!I82</f>
        <v>10</v>
      </c>
    </row>
    <row r="38" spans="1:17">
      <c r="A38" t="s">
        <v>185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Left_hand!B83</f>
        <v>0</v>
      </c>
      <c r="K38">
        <f>Left_hand!C83</f>
        <v>6000</v>
      </c>
      <c r="L38">
        <f>Left_hand!D83</f>
        <v>6600</v>
      </c>
      <c r="M38">
        <f>Left_hand!E83</f>
        <v>6000</v>
      </c>
      <c r="N38">
        <f>Left_hand!F83</f>
        <v>6600</v>
      </c>
      <c r="O38">
        <f>Left_hand!G83</f>
        <v>6000</v>
      </c>
      <c r="P38">
        <f>Left_hand!H83</f>
        <v>-6600</v>
      </c>
      <c r="Q38">
        <f>Left_hand!I83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Left_hand!B84</f>
        <v>30</v>
      </c>
      <c r="K42">
        <f>Left_hand!C84</f>
        <v>0</v>
      </c>
      <c r="L42">
        <f>Left_hand!D84</f>
        <v>0</v>
      </c>
      <c r="M42">
        <f>Left_hand!E84</f>
        <v>0</v>
      </c>
      <c r="N42">
        <f>Left_hand!F84</f>
        <v>0</v>
      </c>
      <c r="O42">
        <f>Left_hand!G84</f>
        <v>0</v>
      </c>
      <c r="P42">
        <f>Left_hand!H84</f>
        <v>0</v>
      </c>
      <c r="Q42">
        <f>Left_hand!I84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Left_hand!B85</f>
        <v>100</v>
      </c>
      <c r="K43">
        <f>Left_hand!C85</f>
        <v>100</v>
      </c>
      <c r="L43">
        <f>Left_hand!D85</f>
        <v>100</v>
      </c>
      <c r="M43">
        <f>Left_hand!E85</f>
        <v>100</v>
      </c>
      <c r="N43">
        <f>Left_hand!F85</f>
        <v>100</v>
      </c>
      <c r="O43">
        <f>Left_hand!G85</f>
        <v>100</v>
      </c>
      <c r="P43">
        <f>Left_hand!H85</f>
        <v>100</v>
      </c>
      <c r="Q43">
        <f>Left_hand!I85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2</v>
      </c>
      <c r="H48">
        <f>Right_arm!H80</f>
        <v>2</v>
      </c>
      <c r="I48">
        <f>Right_arm!I80</f>
        <v>3</v>
      </c>
      <c r="J48">
        <f>Right_hand!B81</f>
        <v>3</v>
      </c>
      <c r="K48">
        <f>Right_hand!C81</f>
        <v>4</v>
      </c>
      <c r="L48">
        <f>Right_hand!D81</f>
        <v>4</v>
      </c>
      <c r="M48">
        <f>Right_hand!E81</f>
        <v>4</v>
      </c>
      <c r="N48">
        <f>Right_hand!F81</f>
        <v>4</v>
      </c>
      <c r="O48">
        <f>Right_hand!G81</f>
        <v>4</v>
      </c>
      <c r="P48">
        <f>Right_hand!H81</f>
        <v>4</v>
      </c>
      <c r="Q48">
        <f>Right_hand!I81</f>
        <v>4</v>
      </c>
    </row>
    <row r="49" spans="1:17">
      <c r="A49" t="s">
        <v>178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500</v>
      </c>
      <c r="G49">
        <f>Right_arm!G81</f>
        <v>750</v>
      </c>
      <c r="H49">
        <f>Right_arm!H81</f>
        <v>750</v>
      </c>
      <c r="I49">
        <f>Right_arm!I81</f>
        <v>1909.9999999999998</v>
      </c>
      <c r="J49">
        <f>Right_hand!B82</f>
        <v>382</v>
      </c>
      <c r="K49">
        <f>Right_hand!C82</f>
        <v>230</v>
      </c>
      <c r="L49">
        <f>Right_hand!D82</f>
        <v>35</v>
      </c>
      <c r="M49">
        <f>Right_hand!E82</f>
        <v>224</v>
      </c>
      <c r="N49">
        <f>Right_hand!F82</f>
        <v>20</v>
      </c>
      <c r="O49">
        <f>Right_hand!G82</f>
        <v>227</v>
      </c>
      <c r="P49">
        <f>Right_hand!H82</f>
        <v>56</v>
      </c>
      <c r="Q49">
        <f>Right_hand!I82</f>
        <v>738</v>
      </c>
    </row>
    <row r="50" spans="1:17">
      <c r="A50" t="s">
        <v>181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-20</v>
      </c>
      <c r="G50">
        <f>Right_arm!G82</f>
        <v>10</v>
      </c>
      <c r="H50">
        <f>Right_arm!H82</f>
        <v>10</v>
      </c>
      <c r="I50">
        <f>Right_arm!I82</f>
        <v>100</v>
      </c>
      <c r="J50">
        <f>Right_hand!B83</f>
        <v>10</v>
      </c>
      <c r="K50">
        <f>Right_hand!C83</f>
        <v>10</v>
      </c>
      <c r="L50">
        <f>Right_hand!D83</f>
        <v>30</v>
      </c>
      <c r="M50">
        <f>Right_hand!E83</f>
        <v>10</v>
      </c>
      <c r="N50">
        <f>Right_hand!F83</f>
        <v>10</v>
      </c>
      <c r="O50">
        <f>Right_hand!G83</f>
        <v>10</v>
      </c>
      <c r="P50">
        <f>Right_hand!H83</f>
        <v>10</v>
      </c>
      <c r="Q50">
        <f>Right_hand!I83</f>
        <v>10</v>
      </c>
    </row>
    <row r="51" spans="1:17">
      <c r="A51" t="s">
        <v>180</v>
      </c>
      <c r="B51">
        <f>Right_arm!B83</f>
        <v>195.64999999999986</v>
      </c>
      <c r="C51">
        <f>Right_arm!C83</f>
        <v>436.80000000000007</v>
      </c>
      <c r="D51">
        <f>Right_arm!D83</f>
        <v>1728.8578125000008</v>
      </c>
      <c r="E51">
        <f>Right_arm!E83</f>
        <v>2512.7375000000002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Right_hand!B84</f>
        <v>0</v>
      </c>
      <c r="K51">
        <f>Right_hand!C84</f>
        <v>6000</v>
      </c>
      <c r="L51">
        <f>Right_hand!D84</f>
        <v>6600</v>
      </c>
      <c r="M51">
        <f>Right_hand!E84</f>
        <v>6000</v>
      </c>
      <c r="N51">
        <f>Right_hand!F84</f>
        <v>-6600</v>
      </c>
      <c r="O51">
        <f>Right_hand!G84</f>
        <v>6000</v>
      </c>
      <c r="P51">
        <f>Right_hand!H84</f>
        <v>6600</v>
      </c>
      <c r="Q51">
        <f>Right_hand!I84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15</v>
      </c>
      <c r="J55">
        <f>Right_hand!B85</f>
        <v>30</v>
      </c>
      <c r="K55">
        <f>Right_hand!C85</f>
        <v>0</v>
      </c>
      <c r="L55">
        <f>Right_hand!D85</f>
        <v>0</v>
      </c>
      <c r="M55">
        <f>Right_hand!E85</f>
        <v>0</v>
      </c>
      <c r="N55">
        <f>Right_hand!F85</f>
        <v>0</v>
      </c>
      <c r="O55">
        <f>Right_hand!G85</f>
        <v>0</v>
      </c>
      <c r="P55">
        <f>Right_hand!H85</f>
        <v>0</v>
      </c>
      <c r="Q55">
        <f>Right_hand!I85</f>
        <v>0</v>
      </c>
    </row>
    <row r="56" spans="1:17">
      <c r="A56" t="s">
        <v>127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30</v>
      </c>
      <c r="G56">
        <f>Right_arm!G85</f>
        <v>30</v>
      </c>
      <c r="H56">
        <f>Right_arm!H85</f>
        <v>30</v>
      </c>
      <c r="I56">
        <f>Right_arm!I85</f>
        <v>100</v>
      </c>
      <c r="J56">
        <f>Right_hand!B86</f>
        <v>100</v>
      </c>
      <c r="K56">
        <f>Right_hand!C86</f>
        <v>100</v>
      </c>
      <c r="L56">
        <f>Right_hand!D86</f>
        <v>100</v>
      </c>
      <c r="M56">
        <f>Right_hand!E86</f>
        <v>100</v>
      </c>
      <c r="N56">
        <f>Right_hand!F86</f>
        <v>100</v>
      </c>
      <c r="O56">
        <f>Right_hand!G86</f>
        <v>100</v>
      </c>
      <c r="P56">
        <f>Right_hand!H86</f>
        <v>100</v>
      </c>
      <c r="Q56">
        <f>Right_hand!I86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3931.2000000000003</v>
      </c>
      <c r="C64" s="60">
        <f>Right_leg!C83</f>
        <v>3124.7125000000001</v>
      </c>
      <c r="D64" s="60">
        <f>Right_leg!D83</f>
        <v>1248.9750000000001</v>
      </c>
      <c r="E64" s="60">
        <f>Right_leg!E83</f>
        <v>3974.4249999999997</v>
      </c>
      <c r="F64" s="60">
        <f>Right_leg!F83</f>
        <v>2464.9625000000001</v>
      </c>
      <c r="G64" s="60">
        <f>Right_leg!G83</f>
        <v>442.48750000000007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2652.65</v>
      </c>
      <c r="C76">
        <f>Left_leg!C84</f>
        <v>2943.85</v>
      </c>
      <c r="D76">
        <f>Left_leg!D84</f>
        <v>1976.9750000000001</v>
      </c>
      <c r="E76">
        <f>Left_leg!E84</f>
        <v>1644.8250000000003</v>
      </c>
      <c r="F76">
        <f>Left_leg!F84</f>
        <v>2396.7125000000001</v>
      </c>
      <c r="G76">
        <f>Left_leg!G84</f>
        <v>1730.1375000000003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abSelected="1" topLeftCell="A13" zoomScale="85" zoomScaleNormal="85" workbookViewId="0">
      <selection activeCell="H21" sqref="H21:H27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3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298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290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291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292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293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</row>
    <row r="58" spans="1:13">
      <c r="A58" t="s">
        <v>289</v>
      </c>
      <c r="B58">
        <v>100</v>
      </c>
      <c r="C58">
        <v>100</v>
      </c>
      <c r="D58">
        <v>100</v>
      </c>
      <c r="E58">
        <v>100</v>
      </c>
      <c r="F58">
        <v>100</v>
      </c>
      <c r="G58">
        <v>100</v>
      </c>
      <c r="J58" t="s">
        <v>299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3931.2000000000003</v>
      </c>
      <c r="C83" s="61">
        <f>+INDEX(Sheet1!$N$13:$N20,COLUMN()-COLUMN($B$79)+1)</f>
        <v>3124.7125000000001</v>
      </c>
      <c r="D83" s="61">
        <f>+INDEX(Sheet1!$N$13:$N20,COLUMN()-COLUMN($B$79)+1)</f>
        <v>1248.9750000000001</v>
      </c>
      <c r="E83" s="61">
        <f>+INDEX(Sheet1!$N$13:$N20,COLUMN()-COLUMN($B$79)+1)</f>
        <v>3974.4249999999997</v>
      </c>
      <c r="F83" s="61">
        <f>+INDEX(Sheet1!$N$13:$N20,COLUMN()-COLUMN($B$79)+1)</f>
        <v>2464.9625000000001</v>
      </c>
      <c r="G83" s="61">
        <f>+INDEX(Sheet1!$N$13:$N20,COLUMN()-COLUMN($B$79)+1)</f>
        <v>442.48750000000007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2010-05-14T07:57:16Z</dcterms:modified>
</cp:coreProperties>
</file>