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440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externalReferences>
    <externalReference r:id="rId9"/>
  </externalReferences>
  <calcPr calcId="125725"/>
</workbook>
</file>

<file path=xl/calcChain.xml><?xml version="1.0" encoding="utf-8"?>
<calcChain xmlns="http://schemas.openxmlformats.org/spreadsheetml/2006/main">
  <c r="F80" i="3"/>
  <c r="C38" i="7"/>
  <c r="D38"/>
  <c r="E38"/>
  <c r="F38"/>
  <c r="G38"/>
  <c r="H38"/>
  <c r="I38"/>
  <c r="J38"/>
  <c r="K38"/>
  <c r="B38"/>
  <c r="F80" i="5"/>
  <c r="C50" l="1"/>
  <c r="D50"/>
  <c r="E50"/>
  <c r="F50"/>
  <c r="G50"/>
  <c r="H50"/>
  <c r="B50"/>
  <c r="E50" i="3"/>
  <c r="F50"/>
  <c r="G50"/>
  <c r="H50"/>
  <c r="C50"/>
  <c r="D50"/>
  <c r="B50"/>
  <c r="C61" i="2"/>
  <c r="D61"/>
  <c r="E61"/>
  <c r="F61"/>
  <c r="G61"/>
  <c r="H61"/>
  <c r="I61"/>
  <c r="J61"/>
  <c r="K61"/>
  <c r="L61"/>
  <c r="M61"/>
  <c r="B61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D84"/>
  <c r="E84"/>
  <c r="F84"/>
  <c r="G84"/>
  <c r="G43" i="8" s="1"/>
  <c r="H84" i="3"/>
  <c r="I84"/>
  <c r="B84"/>
  <c r="C83"/>
  <c r="D83"/>
  <c r="E83"/>
  <c r="F83"/>
  <c r="G83"/>
  <c r="H83"/>
  <c r="I83"/>
  <c r="B83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I61" i="4"/>
  <c r="H61"/>
  <c r="G61"/>
  <c r="F61"/>
  <c r="E61"/>
  <c r="D61"/>
  <c r="C61"/>
  <c r="B61"/>
  <c r="I60"/>
  <c r="H60"/>
  <c r="G60"/>
  <c r="F60"/>
  <c r="E60"/>
  <c r="D60"/>
  <c r="C60"/>
  <c r="B60"/>
  <c r="I62" i="6"/>
  <c r="H62"/>
  <c r="G62"/>
  <c r="F62"/>
  <c r="E62"/>
  <c r="D62"/>
  <c r="C62"/>
  <c r="B62"/>
  <c r="I61"/>
  <c r="H61"/>
  <c r="G61"/>
  <c r="F61"/>
  <c r="E61"/>
  <c r="D61"/>
  <c r="C61"/>
  <c r="B61"/>
  <c r="C42" i="8"/>
  <c r="D42"/>
  <c r="E42"/>
  <c r="F42"/>
  <c r="G42"/>
  <c r="H42"/>
  <c r="I42"/>
  <c r="C43"/>
  <c r="D43"/>
  <c r="E43"/>
  <c r="F43"/>
  <c r="H43"/>
  <c r="I43"/>
  <c r="B43"/>
  <c r="B42"/>
  <c r="L55" i="1"/>
  <c r="C35" i="8" l="1"/>
  <c r="D35"/>
  <c r="E35"/>
  <c r="F35"/>
  <c r="G35"/>
  <c r="H35"/>
  <c r="I35"/>
  <c r="B35"/>
  <c r="L38" i="1"/>
  <c r="L37"/>
  <c r="L59"/>
  <c r="L39"/>
  <c r="L61"/>
  <c r="D60"/>
  <c r="L60" s="1"/>
  <c r="C80" i="5" s="1"/>
  <c r="C49" i="8" s="1"/>
  <c r="D39" i="1"/>
  <c r="E39"/>
  <c r="E61"/>
  <c r="E62"/>
  <c r="F62" s="1"/>
  <c r="E60"/>
  <c r="F60" s="1"/>
  <c r="N60" s="1"/>
  <c r="C82" i="5" s="1"/>
  <c r="C51" i="8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60" i="2"/>
  <c r="C60"/>
  <c r="D60"/>
  <c r="E60"/>
  <c r="F60"/>
  <c r="G60"/>
  <c r="H60"/>
  <c r="I60"/>
  <c r="J60"/>
  <c r="K60"/>
  <c r="L60"/>
  <c r="M60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/>
  <c r="B74" i="8" s="1"/>
  <c r="E8" i="1"/>
  <c r="F8" s="1"/>
  <c r="N8" s="1"/>
  <c r="C95" i="2" s="1"/>
  <c r="C76" i="8" s="1"/>
  <c r="L8" i="1"/>
  <c r="C93" i="2"/>
  <c r="C74" i="8" s="1"/>
  <c r="E9" i="1"/>
  <c r="F9" s="1"/>
  <c r="N9" s="1"/>
  <c r="D95" i="2" s="1"/>
  <c r="D76" i="8" s="1"/>
  <c r="L9" i="1"/>
  <c r="D93" i="2"/>
  <c r="D74" i="8" s="1"/>
  <c r="E10" i="1"/>
  <c r="F10" s="1"/>
  <c r="N10" s="1"/>
  <c r="E95" i="2" s="1"/>
  <c r="E76" i="8" s="1"/>
  <c r="L10" i="1"/>
  <c r="E93" i="2"/>
  <c r="E74" i="8" s="1"/>
  <c r="E11" i="1"/>
  <c r="F11" s="1"/>
  <c r="N11" s="1"/>
  <c r="F95" i="2" s="1"/>
  <c r="F76" i="8" s="1"/>
  <c r="L11" i="1"/>
  <c r="F93" i="2"/>
  <c r="F74" i="8" s="1"/>
  <c r="E12" i="1"/>
  <c r="F12" s="1"/>
  <c r="N12" s="1"/>
  <c r="G95" i="2" s="1"/>
  <c r="G76" i="8" s="1"/>
  <c r="L12" i="1"/>
  <c r="G93" i="2"/>
  <c r="G74" i="8" s="1"/>
  <c r="E13" i="1"/>
  <c r="F13" s="1"/>
  <c r="N13" s="1"/>
  <c r="H95" i="2" s="1"/>
  <c r="B64" i="8" s="1"/>
  <c r="L13" i="1"/>
  <c r="H93" i="2"/>
  <c r="B62" i="8" s="1"/>
  <c r="E14" i="1"/>
  <c r="F14" s="1"/>
  <c r="N14" s="1"/>
  <c r="I95" i="2" s="1"/>
  <c r="C64" i="8" s="1"/>
  <c r="L14" i="1"/>
  <c r="I93" i="2"/>
  <c r="C62" i="8" s="1"/>
  <c r="E15" i="1"/>
  <c r="F15" s="1"/>
  <c r="N15" s="1"/>
  <c r="J95" i="2" s="1"/>
  <c r="D64" i="8" s="1"/>
  <c r="L15" i="1"/>
  <c r="J93" i="2"/>
  <c r="D62" i="8" s="1"/>
  <c r="E16" i="1"/>
  <c r="F16" s="1"/>
  <c r="N16" s="1"/>
  <c r="K95" i="2" s="1"/>
  <c r="E64" i="8" s="1"/>
  <c r="L16" i="1"/>
  <c r="K93" i="2"/>
  <c r="E62" i="8" s="1"/>
  <c r="E17" i="1"/>
  <c r="F17" s="1"/>
  <c r="N17" s="1"/>
  <c r="L95" i="2" s="1"/>
  <c r="F64" i="8" s="1"/>
  <c r="L17" i="1"/>
  <c r="L93" i="2"/>
  <c r="F62" i="8" s="1"/>
  <c r="E18" i="1"/>
  <c r="F18" s="1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C49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C50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F50" i="6"/>
  <c r="D52" i="1"/>
  <c r="F50" i="4" s="1"/>
  <c r="D50" i="1"/>
  <c r="D50" i="4" s="1"/>
  <c r="B50" i="6" l="1"/>
  <c r="B49" i="4"/>
  <c r="D48" i="1"/>
  <c r="B50" i="4" s="1"/>
  <c r="D50" i="6"/>
  <c r="H50"/>
  <c r="I50"/>
  <c r="I49" i="4"/>
  <c r="I49" i="3"/>
  <c r="B95" i="2"/>
  <c r="B76" i="8" s="1"/>
  <c r="G50" i="6"/>
  <c r="D61" i="1"/>
  <c r="F61"/>
  <c r="N61" s="1"/>
  <c r="D82" i="5" s="1"/>
  <c r="D51" i="8" s="1"/>
  <c r="E59" i="1"/>
  <c r="F59" s="1"/>
  <c r="D81" i="5"/>
  <c r="D50" i="8" s="1"/>
  <c r="E81" i="5"/>
  <c r="E50" i="8" s="1"/>
  <c r="N62" i="1"/>
  <c r="E82" i="5" s="1"/>
  <c r="E51" i="8" s="1"/>
  <c r="N59" i="1"/>
  <c r="B82" i="5" s="1"/>
  <c r="B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L48" i="1"/>
  <c r="B80" i="4" s="1"/>
  <c r="J36" i="8" s="1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</calcChain>
</file>

<file path=xl/sharedStrings.xml><?xml version="1.0" encoding="utf-8"?>
<sst xmlns="http://schemas.openxmlformats.org/spreadsheetml/2006/main" count="791" uniqueCount="296">
  <si>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</si>
  <si>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</si>
  <si>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</si>
  <si>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</si>
  <si>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</si>
  <si>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</si>
  <si>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</si>
  <si>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</si>
  <si>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</si>
  <si>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</si>
  <si>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</si>
  <si>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</si>
  <si>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</si>
  <si>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</si>
  <si>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</si>
  <si>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</si>
  <si>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</si>
  <si>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</si>
  <si>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</si>
  <si>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</si>
  <si>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</si>
  <si>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</si>
  <si>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</si>
  <si>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</si>
  <si>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</si>
  <si>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</si>
  <si>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</si>
  <si>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</si>
  <si>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</si>
  <si>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</si>
  <si>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</si>
  <si>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</si>
  <si>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</si>
  <si>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</si>
  <si>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</si>
  <si>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</si>
  <si>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</si>
  <si>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</si>
  <si>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</si>
  <si>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</si>
  <si>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</si>
  <si>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</si>
  <si>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</si>
  <si>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</si>
  <si>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</si>
  <si>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</si>
  <si>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</si>
  <si>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</si>
  <si>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</si>
  <si>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</si>
  <si>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</si>
  <si>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</si>
  <si>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</si>
  <si>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</si>
  <si>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</si>
  <si>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</si>
  <si>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</si>
  <si>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</si>
  <si>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</si>
  <si>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</si>
  <si>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</si>
  <si>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</si>
  <si>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</si>
  <si>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</si>
  <si>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</si>
  <si>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</si>
  <si>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</si>
  <si>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</si>
  <si>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</si>
  <si>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</si>
  <si>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</si>
  <si>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</si>
  <si>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</si>
  <si>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</si>
  <si>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</si>
  <si>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</si>
  <si>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</si>
  <si>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</si>
  <si>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</si>
  <si>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</si>
  <si>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</si>
  <si>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</si>
  <si>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</si>
  <si>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</si>
  <si>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</si>
  <si>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</si>
  <si>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</si>
  <si>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</si>
  <si>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</si>
  <si>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</si>
  <si>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</si>
  <si>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</si>
  <si>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</si>
  <si>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</si>
  <si>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</si>
  <si>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</si>
  <si>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</si>
  <si>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</si>
  <si>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</si>
  <si>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</si>
  <si>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</si>
  <si>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</si>
  <si>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</si>
  <si>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</si>
  <si>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</si>
  <si>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</si>
  <si>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</si>
  <si>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</si>
  <si>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</si>
  <si>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</si>
  <si>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</si>
  <si>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</si>
  <si>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</si>
  <si>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</si>
  <si>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</si>
  <si>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</si>
  <si>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</si>
  <si>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</si>
  <si>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</si>
  <si>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</si>
  <si>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</si>
  <si>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</si>
  <si>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</si>
  <si>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</si>
  <si>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</si>
  <si>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</si>
  <si>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</si>
  <si>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</si>
  <si>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</si>
  <si>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</si>
  <si>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</si>
  <si>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</si>
  <si>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</si>
  <si>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</si>
  <si>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</si>
  <si>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</si>
  <si>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</si>
  <si>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</si>
  <si>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</si>
  <si>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</si>
  <si>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</si>
  <si>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</si>
  <si>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</si>
  <si>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</si>
  <si>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</si>
  <si>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</si>
  <si>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</si>
  <si>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</si>
  <si>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</si>
  <si>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</si>
  <si>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</si>
  <si>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</si>
  <si>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</si>
  <si>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</si>
  <si>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</si>
  <si>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</si>
  <si>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</si>
  <si>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</si>
  <si>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</si>
  <si>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</si>
  <si>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</si>
  <si>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</si>
  <si>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</si>
  <si>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</si>
  <si>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</si>
  <si>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</si>
  <si>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</si>
  <si>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</si>
  <si>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</si>
  <si>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</si>
  <si>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</si>
  <si>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</si>
  <si>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</si>
  <si>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</si>
  <si>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</si>
  <si>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</si>
  <si>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</si>
  <si>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</si>
  <si>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</si>
  <si>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</si>
  <si>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</si>
  <si>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</si>
  <si>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</si>
  <si>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</si>
  <si>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</si>
  <si>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</si>
  <si>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</si>
  <si>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</si>
  <si>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</si>
  <si>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</si>
  <si>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</si>
  <si>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</si>
  <si>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</si>
  <si>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</si>
  <si>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</si>
  <si>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</si>
  <si>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</si>
  <si>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</si>
  <si>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</si>
  <si>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</si>
  <si>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</si>
  <si>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</si>
  <si>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</si>
  <si>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</si>
  <si>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</si>
  <si>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</si>
  <si>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</si>
  <si>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</si>
  <si>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</si>
  <si>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</si>
  <si>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</si>
  <si>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</si>
  <si>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</si>
  <si>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</si>
  <si>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</si>
  <si>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</si>
  <si>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</si>
  <si>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</si>
  <si>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</si>
  <si>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</si>
  <si>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</si>
  <si>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</si>
  <si>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</si>
  <si>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</si>
  <si>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</si>
  <si>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</si>
  <si>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</si>
  <si>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</si>
  <si>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</si>
  <si>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</si>
  <si>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</si>
  <si>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</si>
  <si>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</si>
  <si>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</si>
  <si>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</si>
  <si>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</si>
  <si>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</si>
  <si>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</si>
  <si>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</si>
  <si>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</si>
  <si>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</si>
  <si>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</si>
  <si>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</si>
  <si>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</si>
  <si>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</si>
  <si>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</si>
  <si>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</si>
  <si>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</si>
  <si>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</si>
  <si>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</si>
  <si>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</si>
  <si>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</si>
  <si>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</si>
  <si>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</si>
  <si>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</si>
  <si>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</si>
  <si>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</si>
  <si>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</si>
  <si>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</si>
  <si>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</si>
  <si>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</si>
  <si>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</si>
  <si>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</si>
  <si>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</si>
  <si>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</si>
  <si>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</si>
  <si>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</si>
  <si>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</si>
  <si>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</si>
  <si>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</si>
  <si>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</si>
  <si>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</si>
  <si>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</si>
  <si>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</si>
  <si>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</si>
  <si>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</si>
  <si>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</si>
  <si>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</si>
  <si>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</si>
  <si>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</si>
  <si>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</si>
  <si>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</si>
  <si>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29/3/2010</t>
  </si>
  <si>
    <t>SpeedMessage (0x20E 0x08 0x03)</t>
  </si>
  <si>
    <t xml:space="preserve">Delta  </t>
  </si>
  <si>
    <t>Release: 0.6   added the information about the anolog input from the strain and mais board and I have changed the PID of the hands.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</si>
  <si>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</si>
  <si>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</si>
  <si>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</si>
  <si>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</si>
  <si>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</si>
  <si>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</si>
  <si>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</si>
  <si>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</si>
  <si>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</si>
  <si>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>D:\icub\app\iCubGenova01\conf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</si>
</sst>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3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2" fontId="0" fillId="0" borderId="0" xfId="0" applyNumberFormat="1"/>
    <xf numFmtId="0" fontId="19" fillId="26" borderId="19" xfId="0" applyFont="1" applyFill="1" applyBorder="1"/>
    <xf numFmtId="0" fontId="19" fillId="26" borderId="20" xfId="0" applyFont="1" applyFill="1" applyBorder="1"/>
    <xf numFmtId="0" fontId="19" fillId="26" borderId="21" xfId="0" applyFont="1" applyFill="1" applyBorder="1"/>
    <xf numFmtId="0" fontId="17" fillId="27" borderId="18" xfId="0" applyFont="1" applyFill="1" applyBorder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3" xfId="0" applyFont="1" applyFill="1" applyBorder="1"/>
    <xf numFmtId="0" fontId="18" fillId="8" borderId="23" xfId="0" applyFont="1" applyFill="1" applyBorder="1"/>
    <xf numFmtId="0" fontId="17" fillId="8" borderId="24" xfId="0" applyFont="1" applyFill="1" applyBorder="1"/>
    <xf numFmtId="0" fontId="23" fillId="29" borderId="15" xfId="0" applyFont="1" applyFill="1" applyBorder="1"/>
    <xf numFmtId="165" fontId="23" fillId="17" borderId="15" xfId="0" applyNumberFormat="1" applyFont="1" applyFill="1" applyBorder="1"/>
    <xf numFmtId="0" fontId="19" fillId="28" borderId="15" xfId="0" applyFont="1" applyFill="1" applyBorder="1"/>
    <xf numFmtId="0" fontId="17" fillId="8" borderId="25" xfId="0" applyFont="1" applyFill="1" applyBorder="1"/>
    <xf numFmtId="0" fontId="17" fillId="8" borderId="26" xfId="0" applyFont="1" applyFill="1" applyBorder="1"/>
    <xf numFmtId="0" fontId="18" fillId="8" borderId="26" xfId="0" applyFont="1" applyFill="1" applyBorder="1"/>
    <xf numFmtId="0" fontId="17" fillId="8" borderId="27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8" xfId="0" applyNumberFormat="1" applyFont="1" applyFill="1" applyBorder="1"/>
    <xf numFmtId="0" fontId="23" fillId="25" borderId="28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5" xfId="0" applyNumberFormat="1" applyFont="1" applyFill="1" applyBorder="1"/>
    <xf numFmtId="164" fontId="23" fillId="32" borderId="15" xfId="0" applyNumberFormat="1" applyFont="1" applyFill="1" applyBorder="1"/>
    <xf numFmtId="164" fontId="23" fillId="33" borderId="15" xfId="0" applyNumberFormat="1" applyFont="1" applyFill="1" applyBorder="1"/>
    <xf numFmtId="0" fontId="23" fillId="34" borderId="15" xfId="0" applyFont="1" applyFill="1" applyBorder="1"/>
    <xf numFmtId="0" fontId="0" fillId="35" borderId="0" xfId="0" applyFill="1"/>
    <xf numFmtId="0" fontId="23" fillId="31" borderId="15" xfId="0" applyFont="1" applyFill="1" applyBorder="1"/>
    <xf numFmtId="165" fontId="23" fillId="31" borderId="15" xfId="0" applyNumberFormat="1" applyFont="1" applyFill="1" applyBorder="1"/>
    <xf numFmtId="0" fontId="19" fillId="35" borderId="15" xfId="0" applyFont="1" applyFill="1" applyBorder="1"/>
    <xf numFmtId="0" fontId="23" fillId="35" borderId="15" xfId="0" applyFont="1" applyFill="1" applyBorder="1"/>
    <xf numFmtId="164" fontId="19" fillId="35" borderId="15" xfId="0" applyNumberFormat="1" applyFont="1" applyFill="1" applyBorder="1"/>
    <xf numFmtId="49" fontId="24" fillId="21" borderId="15" xfId="0" applyNumberFormat="1" applyFont="1" applyFill="1" applyBorder="1" applyAlignment="1">
      <alignment horizontal="center" vertical="center" wrapText="1"/>
    </xf>
    <xf numFmtId="164" fontId="23" fillId="36" borderId="15" xfId="0" applyNumberFormat="1" applyFont="1" applyFill="1" applyBorder="1"/>
    <xf numFmtId="164" fontId="24" fillId="21" borderId="29" xfId="0" applyNumberFormat="1" applyFont="1" applyFill="1" applyBorder="1" applyAlignment="1">
      <alignment horizontal="center" vertical="center"/>
    </xf>
    <xf numFmtId="0" fontId="23" fillId="25" borderId="15" xfId="0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cub\app\iCubGenova02\conf\iCub_Calibration_V1_1_Genova_00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Legs"/>
      <sheetName val="Left_arm"/>
      <sheetName val="Left_hand"/>
      <sheetName val="Right_arm"/>
      <sheetName val="Right_hand"/>
      <sheetName val="Head_Torso"/>
      <sheetName val="robotmotorgui.ini"/>
    </sheetNames>
    <sheetDataSet>
      <sheetData sheetId="0">
        <row r="48">
          <cell r="G48">
            <v>-10</v>
          </cell>
          <cell r="H48">
            <v>90</v>
          </cell>
        </row>
        <row r="49">
          <cell r="G49">
            <v>0</v>
          </cell>
          <cell r="H49">
            <v>90</v>
          </cell>
        </row>
        <row r="50">
          <cell r="G50">
            <v>0</v>
          </cell>
          <cell r="H50">
            <v>180</v>
          </cell>
        </row>
        <row r="51">
          <cell r="G51">
            <v>0</v>
          </cell>
          <cell r="H51">
            <v>90</v>
          </cell>
        </row>
        <row r="52">
          <cell r="G52">
            <v>0</v>
          </cell>
          <cell r="H52">
            <v>180</v>
          </cell>
        </row>
        <row r="53">
          <cell r="G53">
            <v>0</v>
          </cell>
          <cell r="H53">
            <v>90</v>
          </cell>
        </row>
        <row r="54">
          <cell r="G54">
            <v>0</v>
          </cell>
          <cell r="H54">
            <v>180</v>
          </cell>
        </row>
        <row r="55">
          <cell r="G55">
            <v>0</v>
          </cell>
          <cell r="H55">
            <v>270</v>
          </cell>
        </row>
        <row r="56">
          <cell r="G56">
            <v>0</v>
          </cell>
          <cell r="H56">
            <v>0</v>
          </cell>
        </row>
        <row r="57">
          <cell r="G57">
            <v>0</v>
          </cell>
          <cell r="H57">
            <v>0</v>
          </cell>
        </row>
        <row r="58">
          <cell r="G58" t="str">
            <v xml:space="preserve">Min </v>
          </cell>
          <cell r="H58" t="str">
            <v>Max</v>
          </cell>
        </row>
        <row r="59">
          <cell r="G59">
            <v>-95.5</v>
          </cell>
          <cell r="H59">
            <v>10</v>
          </cell>
        </row>
        <row r="60">
          <cell r="G60">
            <v>0</v>
          </cell>
          <cell r="H60">
            <v>161</v>
          </cell>
        </row>
        <row r="61">
          <cell r="G61">
            <v>-37</v>
          </cell>
          <cell r="H61">
            <v>80</v>
          </cell>
        </row>
        <row r="62">
          <cell r="G62">
            <v>15</v>
          </cell>
          <cell r="H62">
            <v>106</v>
          </cell>
        </row>
        <row r="63">
          <cell r="G63">
            <v>-90</v>
          </cell>
          <cell r="H63">
            <v>90</v>
          </cell>
        </row>
        <row r="64">
          <cell r="G64">
            <v>-90</v>
          </cell>
          <cell r="H64">
            <v>0</v>
          </cell>
        </row>
        <row r="65">
          <cell r="G65">
            <v>-20</v>
          </cell>
          <cell r="H65">
            <v>40</v>
          </cell>
        </row>
        <row r="66">
          <cell r="G66">
            <v>0</v>
          </cell>
          <cell r="H66">
            <v>60</v>
          </cell>
        </row>
        <row r="67">
          <cell r="G67">
            <v>0</v>
          </cell>
          <cell r="H67">
            <v>0</v>
          </cell>
        </row>
        <row r="68">
          <cell r="G68">
            <v>0</v>
          </cell>
          <cell r="H68">
            <v>0</v>
          </cell>
        </row>
        <row r="69">
          <cell r="G69" t="str">
            <v xml:space="preserve">Min </v>
          </cell>
          <cell r="H69" t="str">
            <v>Max</v>
          </cell>
        </row>
        <row r="70">
          <cell r="G70">
            <v>-10</v>
          </cell>
          <cell r="H70">
            <v>90</v>
          </cell>
        </row>
        <row r="71">
          <cell r="G71">
            <v>0</v>
          </cell>
          <cell r="H71">
            <v>90</v>
          </cell>
        </row>
        <row r="72">
          <cell r="G72">
            <v>0</v>
          </cell>
          <cell r="H72">
            <v>180</v>
          </cell>
        </row>
        <row r="73">
          <cell r="G73">
            <v>0</v>
          </cell>
          <cell r="H73">
            <v>90</v>
          </cell>
        </row>
        <row r="74">
          <cell r="G74">
            <v>0</v>
          </cell>
          <cell r="H74">
            <v>180</v>
          </cell>
        </row>
        <row r="75">
          <cell r="G75">
            <v>0</v>
          </cell>
          <cell r="H75">
            <v>90</v>
          </cell>
        </row>
        <row r="76">
          <cell r="G76">
            <v>0</v>
          </cell>
          <cell r="H76">
            <v>180</v>
          </cell>
        </row>
        <row r="77">
          <cell r="G77">
            <v>0</v>
          </cell>
          <cell r="H77">
            <v>270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107"/>
  <sheetViews>
    <sheetView tabSelected="1" topLeftCell="A88" zoomScale="70" zoomScaleNormal="70" workbookViewId="0">
      <selection activeCell="K99" sqref="K99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6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41" t="s">
        <v>0</v>
      </c>
      <c r="C5" s="41"/>
      <c r="D5" s="41"/>
      <c r="E5" s="47"/>
      <c r="F5" s="47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</row>
    <row r="6" spans="1:25" ht="47.25" customHeight="1" thickBot="1">
      <c r="A6" s="42" t="s">
        <v>1</v>
      </c>
      <c r="B6" s="61" t="s">
        <v>2</v>
      </c>
      <c r="C6" s="43" t="s">
        <v>3</v>
      </c>
      <c r="D6" s="43" t="s">
        <v>4</v>
      </c>
      <c r="E6" s="44" t="s">
        <v>5</v>
      </c>
      <c r="F6" s="45" t="s">
        <v>162</v>
      </c>
      <c r="G6" s="43" t="s">
        <v>6</v>
      </c>
      <c r="H6" s="43" t="s">
        <v>7</v>
      </c>
      <c r="I6" s="43" t="s">
        <v>8</v>
      </c>
      <c r="J6" s="43" t="s">
        <v>9</v>
      </c>
      <c r="K6" s="43" t="s">
        <v>10</v>
      </c>
      <c r="L6" s="43" t="s">
        <v>11</v>
      </c>
      <c r="M6" s="43" t="s">
        <v>12</v>
      </c>
      <c r="N6" s="43" t="s">
        <v>13</v>
      </c>
      <c r="O6" s="79" t="s">
        <v>286</v>
      </c>
      <c r="P6" s="43" t="s">
        <v>250</v>
      </c>
      <c r="Q6" s="43" t="s">
        <v>206</v>
      </c>
      <c r="R6" s="43" t="s">
        <v>207</v>
      </c>
      <c r="S6" s="43" t="s">
        <v>284</v>
      </c>
      <c r="T6" s="43" t="s">
        <v>289</v>
      </c>
      <c r="U6" s="43" t="s">
        <v>290</v>
      </c>
      <c r="V6" s="43" t="s">
        <v>291</v>
      </c>
      <c r="W6" s="81" t="s">
        <v>292</v>
      </c>
      <c r="X6" s="81" t="s">
        <v>293</v>
      </c>
      <c r="Y6" s="81" t="s">
        <v>294</v>
      </c>
    </row>
    <row r="7" spans="1:25" ht="18.75">
      <c r="A7" s="27">
        <v>0</v>
      </c>
      <c r="B7" s="46" t="s">
        <v>14</v>
      </c>
      <c r="C7" s="4">
        <v>53.2</v>
      </c>
      <c r="D7" s="25">
        <v>180</v>
      </c>
      <c r="E7" s="71">
        <f>(ABS(C7)-ABS(D7))</f>
        <v>-126.8</v>
      </c>
      <c r="F7" s="71">
        <f>IF(E7&gt;=0,(E7*11.375),(360+E7)*11.375)</f>
        <v>2652.65</v>
      </c>
      <c r="G7" s="76">
        <v>-30</v>
      </c>
      <c r="H7" s="76">
        <v>90</v>
      </c>
      <c r="I7" s="34"/>
      <c r="J7" s="34"/>
      <c r="K7" s="28">
        <v>11.375</v>
      </c>
      <c r="L7" s="74">
        <f>D7*K7</f>
        <v>2047.5</v>
      </c>
      <c r="M7" s="74">
        <v>10</v>
      </c>
      <c r="N7" s="69">
        <f>+F7</f>
        <v>2652.65</v>
      </c>
      <c r="O7" s="69">
        <v>0</v>
      </c>
      <c r="P7" s="69">
        <v>10</v>
      </c>
      <c r="Q7" s="69">
        <v>0</v>
      </c>
      <c r="R7" s="69">
        <v>10</v>
      </c>
      <c r="S7" s="70">
        <v>0</v>
      </c>
      <c r="T7" s="69"/>
      <c r="U7" s="69"/>
      <c r="V7" s="69"/>
      <c r="W7" s="69"/>
      <c r="X7" s="69"/>
      <c r="Y7" s="69"/>
    </row>
    <row r="8" spans="1:25" ht="18.75">
      <c r="A8" s="23">
        <v>1</v>
      </c>
      <c r="B8" s="46" t="s">
        <v>15</v>
      </c>
      <c r="C8" s="4">
        <v>78.8</v>
      </c>
      <c r="D8" s="25">
        <v>180</v>
      </c>
      <c r="E8" s="71">
        <f t="shared" ref="E8:E18" si="0">(ABS(C8)-ABS(D8))</f>
        <v>-101.2</v>
      </c>
      <c r="F8" s="71">
        <f t="shared" ref="F8:F18" si="1">IF(E8&gt;=0,(E8*11.375),(360+E8)*11.375)</f>
        <v>2943.85</v>
      </c>
      <c r="G8" s="76">
        <v>0</v>
      </c>
      <c r="H8" s="76">
        <v>90</v>
      </c>
      <c r="I8" s="34"/>
      <c r="J8" s="34"/>
      <c r="K8" s="28">
        <v>11.375</v>
      </c>
      <c r="L8" s="74">
        <f t="shared" ref="L8:L18" si="2">D8*K8</f>
        <v>2047.5</v>
      </c>
      <c r="M8" s="74">
        <v>10</v>
      </c>
      <c r="N8" s="69">
        <f>F8</f>
        <v>2943.85</v>
      </c>
      <c r="O8" s="69">
        <v>0</v>
      </c>
      <c r="P8" s="69">
        <v>10</v>
      </c>
      <c r="Q8" s="69">
        <v>0</v>
      </c>
      <c r="R8" s="69">
        <v>10</v>
      </c>
      <c r="S8" s="70">
        <v>0</v>
      </c>
      <c r="T8" s="69"/>
      <c r="U8" s="69"/>
      <c r="V8" s="69"/>
      <c r="W8" s="69"/>
      <c r="X8" s="69"/>
      <c r="Y8" s="69"/>
    </row>
    <row r="9" spans="1:25" ht="18.75">
      <c r="A9" s="23">
        <v>2</v>
      </c>
      <c r="B9" s="46" t="s">
        <v>16</v>
      </c>
      <c r="C9" s="4">
        <v>353.8</v>
      </c>
      <c r="D9" s="25">
        <v>180</v>
      </c>
      <c r="E9" s="71">
        <f t="shared" si="0"/>
        <v>173.8</v>
      </c>
      <c r="F9" s="71">
        <f t="shared" si="1"/>
        <v>1976.9750000000001</v>
      </c>
      <c r="G9" s="76">
        <v>-80</v>
      </c>
      <c r="H9" s="76">
        <v>78</v>
      </c>
      <c r="I9" s="34"/>
      <c r="J9" s="34"/>
      <c r="K9" s="28">
        <v>11.375</v>
      </c>
      <c r="L9" s="74">
        <f t="shared" si="2"/>
        <v>2047.5</v>
      </c>
      <c r="M9" s="74">
        <v>10</v>
      </c>
      <c r="N9" s="69">
        <f t="shared" ref="N9:N18" si="3">+F9</f>
        <v>1976.9750000000001</v>
      </c>
      <c r="O9" s="69">
        <v>0</v>
      </c>
      <c r="P9" s="69">
        <v>10</v>
      </c>
      <c r="Q9" s="69">
        <v>0</v>
      </c>
      <c r="R9" s="69">
        <v>10</v>
      </c>
      <c r="S9" s="70">
        <v>0</v>
      </c>
      <c r="T9" s="69"/>
      <c r="U9" s="69"/>
      <c r="V9" s="69"/>
      <c r="W9" s="69"/>
      <c r="X9" s="69"/>
      <c r="Y9" s="69"/>
    </row>
    <row r="10" spans="1:25" ht="18.75">
      <c r="A10" s="23">
        <v>3</v>
      </c>
      <c r="B10" s="46" t="s">
        <v>17</v>
      </c>
      <c r="C10" s="4">
        <v>324.60000000000002</v>
      </c>
      <c r="D10" s="25">
        <v>180</v>
      </c>
      <c r="E10" s="71">
        <f t="shared" si="0"/>
        <v>144.60000000000002</v>
      </c>
      <c r="F10" s="71">
        <f t="shared" si="1"/>
        <v>1644.8250000000003</v>
      </c>
      <c r="G10" s="76">
        <v>-125</v>
      </c>
      <c r="H10" s="76">
        <v>15</v>
      </c>
      <c r="I10" s="34"/>
      <c r="J10" s="34"/>
      <c r="K10" s="28">
        <v>11.375</v>
      </c>
      <c r="L10" s="74">
        <f t="shared" si="2"/>
        <v>2047.5</v>
      </c>
      <c r="M10" s="74">
        <v>10</v>
      </c>
      <c r="N10" s="69">
        <f t="shared" si="3"/>
        <v>1644.8250000000003</v>
      </c>
      <c r="O10" s="69">
        <v>0</v>
      </c>
      <c r="P10" s="69">
        <v>10</v>
      </c>
      <c r="Q10" s="69">
        <v>0</v>
      </c>
      <c r="R10" s="69">
        <v>10</v>
      </c>
      <c r="S10" s="70">
        <v>0</v>
      </c>
      <c r="T10" s="69"/>
      <c r="U10" s="69"/>
      <c r="V10" s="69"/>
      <c r="W10" s="69"/>
      <c r="X10" s="69"/>
      <c r="Y10" s="69"/>
    </row>
    <row r="11" spans="1:25" ht="18.75">
      <c r="A11" s="23">
        <v>4</v>
      </c>
      <c r="B11" s="46" t="s">
        <v>18</v>
      </c>
      <c r="C11" s="4">
        <v>30.7</v>
      </c>
      <c r="D11" s="25">
        <v>180</v>
      </c>
      <c r="E11" s="71">
        <f t="shared" si="0"/>
        <v>-149.30000000000001</v>
      </c>
      <c r="F11" s="71">
        <f t="shared" si="1"/>
        <v>2396.7125000000001</v>
      </c>
      <c r="G11" s="76">
        <v>-20</v>
      </c>
      <c r="H11" s="76">
        <v>39</v>
      </c>
      <c r="I11" s="34"/>
      <c r="J11" s="34"/>
      <c r="K11" s="28">
        <v>11.375</v>
      </c>
      <c r="L11" s="74">
        <f t="shared" si="2"/>
        <v>2047.5</v>
      </c>
      <c r="M11" s="74">
        <v>10</v>
      </c>
      <c r="N11" s="69">
        <f t="shared" si="3"/>
        <v>2396.7125000000001</v>
      </c>
      <c r="O11" s="69">
        <v>0</v>
      </c>
      <c r="P11" s="69">
        <v>10</v>
      </c>
      <c r="Q11" s="69">
        <v>0</v>
      </c>
      <c r="R11" s="69">
        <v>10</v>
      </c>
      <c r="S11" s="70">
        <v>0</v>
      </c>
      <c r="T11" s="69"/>
      <c r="U11" s="69"/>
      <c r="V11" s="69"/>
      <c r="W11" s="69"/>
      <c r="X11" s="69"/>
      <c r="Y11" s="69"/>
    </row>
    <row r="12" spans="1:25" ht="18.75">
      <c r="A12" s="23">
        <v>5</v>
      </c>
      <c r="B12" s="46" t="s">
        <v>19</v>
      </c>
      <c r="C12" s="4">
        <v>332.1</v>
      </c>
      <c r="D12" s="25">
        <v>180</v>
      </c>
      <c r="E12" s="71">
        <f t="shared" si="0"/>
        <v>152.10000000000002</v>
      </c>
      <c r="F12" s="71">
        <f t="shared" si="1"/>
        <v>1730.1375000000003</v>
      </c>
      <c r="G12" s="76">
        <v>-22</v>
      </c>
      <c r="H12" s="76">
        <v>22</v>
      </c>
      <c r="I12" s="34"/>
      <c r="J12" s="34"/>
      <c r="K12" s="28">
        <v>11.375</v>
      </c>
      <c r="L12" s="74">
        <f t="shared" si="2"/>
        <v>2047.5</v>
      </c>
      <c r="M12" s="74">
        <v>10</v>
      </c>
      <c r="N12" s="69">
        <f t="shared" si="3"/>
        <v>1730.1375000000003</v>
      </c>
      <c r="O12" s="69">
        <v>0</v>
      </c>
      <c r="P12" s="69">
        <v>10</v>
      </c>
      <c r="Q12" s="69">
        <v>0</v>
      </c>
      <c r="R12" s="69">
        <v>10</v>
      </c>
      <c r="S12" s="70">
        <v>0</v>
      </c>
      <c r="T12" s="69"/>
      <c r="U12" s="69"/>
      <c r="V12" s="69"/>
      <c r="W12" s="69"/>
      <c r="X12" s="69"/>
      <c r="Y12" s="69"/>
    </row>
    <row r="13" spans="1:25" ht="18.75">
      <c r="A13" s="23">
        <v>6</v>
      </c>
      <c r="B13" s="46" t="s">
        <v>20</v>
      </c>
      <c r="C13" s="4">
        <v>-165.6</v>
      </c>
      <c r="D13" s="25">
        <v>-180</v>
      </c>
      <c r="E13" s="71">
        <f t="shared" si="0"/>
        <v>-14.400000000000006</v>
      </c>
      <c r="F13" s="71">
        <f t="shared" si="1"/>
        <v>3931.2000000000003</v>
      </c>
      <c r="G13" s="76">
        <v>-30</v>
      </c>
      <c r="H13" s="76">
        <v>90</v>
      </c>
      <c r="I13" s="34"/>
      <c r="J13" s="34"/>
      <c r="K13" s="28">
        <v>-11.375</v>
      </c>
      <c r="L13" s="74">
        <f t="shared" si="2"/>
        <v>2047.5</v>
      </c>
      <c r="M13" s="74">
        <v>10</v>
      </c>
      <c r="N13" s="69">
        <f t="shared" si="3"/>
        <v>3931.2000000000003</v>
      </c>
      <c r="O13" s="69">
        <v>0</v>
      </c>
      <c r="P13" s="69">
        <v>10</v>
      </c>
      <c r="Q13" s="69">
        <v>0</v>
      </c>
      <c r="R13" s="69">
        <v>10</v>
      </c>
      <c r="S13" s="70">
        <v>0</v>
      </c>
      <c r="T13" s="69"/>
      <c r="U13" s="69"/>
      <c r="V13" s="69"/>
      <c r="W13" s="69"/>
      <c r="X13" s="69"/>
      <c r="Y13" s="69"/>
    </row>
    <row r="14" spans="1:25" ht="18.75">
      <c r="A14" s="23">
        <v>7</v>
      </c>
      <c r="B14" s="46" t="s">
        <v>21</v>
      </c>
      <c r="C14" s="4">
        <v>-94.7</v>
      </c>
      <c r="D14" s="25">
        <v>-180</v>
      </c>
      <c r="E14" s="71">
        <f t="shared" si="0"/>
        <v>-85.3</v>
      </c>
      <c r="F14" s="71">
        <f t="shared" si="1"/>
        <v>3124.7125000000001</v>
      </c>
      <c r="G14" s="76">
        <v>0</v>
      </c>
      <c r="H14" s="76">
        <v>90</v>
      </c>
      <c r="I14" s="34"/>
      <c r="J14" s="34"/>
      <c r="K14" s="28">
        <v>-11.375</v>
      </c>
      <c r="L14" s="74">
        <f t="shared" si="2"/>
        <v>2047.5</v>
      </c>
      <c r="M14" s="74">
        <v>10</v>
      </c>
      <c r="N14" s="69">
        <f t="shared" si="3"/>
        <v>3124.7125000000001</v>
      </c>
      <c r="O14" s="69">
        <v>0</v>
      </c>
      <c r="P14" s="69">
        <v>10</v>
      </c>
      <c r="Q14" s="69">
        <v>0</v>
      </c>
      <c r="R14" s="69">
        <v>10</v>
      </c>
      <c r="S14" s="70">
        <v>0</v>
      </c>
      <c r="T14" s="69"/>
      <c r="U14" s="69"/>
      <c r="V14" s="69"/>
      <c r="W14" s="69"/>
      <c r="X14" s="69"/>
      <c r="Y14" s="69"/>
    </row>
    <row r="15" spans="1:25" ht="18.75">
      <c r="A15" s="23">
        <v>8</v>
      </c>
      <c r="B15" s="46" t="s">
        <v>22</v>
      </c>
      <c r="C15" s="4">
        <v>289.8</v>
      </c>
      <c r="D15" s="25">
        <v>-180</v>
      </c>
      <c r="E15" s="71">
        <f t="shared" si="0"/>
        <v>109.80000000000001</v>
      </c>
      <c r="F15" s="71">
        <f t="shared" si="1"/>
        <v>1248.9750000000001</v>
      </c>
      <c r="G15" s="76">
        <v>-80</v>
      </c>
      <c r="H15" s="76">
        <v>78</v>
      </c>
      <c r="I15" s="34"/>
      <c r="J15" s="34"/>
      <c r="K15" s="28">
        <v>-11.375</v>
      </c>
      <c r="L15" s="74">
        <f t="shared" si="2"/>
        <v>2047.5</v>
      </c>
      <c r="M15" s="74">
        <v>10</v>
      </c>
      <c r="N15" s="69">
        <f t="shared" si="3"/>
        <v>1248.9750000000001</v>
      </c>
      <c r="O15" s="69">
        <v>0</v>
      </c>
      <c r="P15" s="69">
        <v>10</v>
      </c>
      <c r="Q15" s="69">
        <v>0</v>
      </c>
      <c r="R15" s="69">
        <v>10</v>
      </c>
      <c r="S15" s="70">
        <v>0</v>
      </c>
      <c r="T15" s="69"/>
      <c r="U15" s="69"/>
      <c r="V15" s="69"/>
      <c r="W15" s="69"/>
      <c r="X15" s="69"/>
      <c r="Y15" s="69"/>
    </row>
    <row r="16" spans="1:25" ht="18.75">
      <c r="A16" s="23">
        <v>9</v>
      </c>
      <c r="B16" s="46" t="s">
        <v>23</v>
      </c>
      <c r="C16" s="4">
        <v>-169.4</v>
      </c>
      <c r="D16" s="25">
        <v>-180</v>
      </c>
      <c r="E16" s="71">
        <f t="shared" si="0"/>
        <v>-10.599999999999994</v>
      </c>
      <c r="F16" s="71">
        <f t="shared" si="1"/>
        <v>3974.4249999999997</v>
      </c>
      <c r="G16" s="76">
        <v>-125</v>
      </c>
      <c r="H16" s="76">
        <v>15</v>
      </c>
      <c r="I16" s="34"/>
      <c r="J16" s="34"/>
      <c r="K16" s="28">
        <v>-11.375</v>
      </c>
      <c r="L16" s="74">
        <f t="shared" si="2"/>
        <v>2047.5</v>
      </c>
      <c r="M16" s="74">
        <v>10</v>
      </c>
      <c r="N16" s="69">
        <f t="shared" si="3"/>
        <v>3974.4249999999997</v>
      </c>
      <c r="O16" s="69">
        <v>0</v>
      </c>
      <c r="P16" s="69">
        <v>10</v>
      </c>
      <c r="Q16" s="69">
        <v>0</v>
      </c>
      <c r="R16" s="69">
        <v>10</v>
      </c>
      <c r="S16" s="70">
        <v>0</v>
      </c>
      <c r="T16" s="69"/>
      <c r="U16" s="69"/>
      <c r="V16" s="69"/>
      <c r="W16" s="69"/>
      <c r="X16" s="69"/>
      <c r="Y16" s="69"/>
    </row>
    <row r="17" spans="1:25" ht="18.75">
      <c r="A17" s="23">
        <v>10</v>
      </c>
      <c r="B17" s="46" t="s">
        <v>24</v>
      </c>
      <c r="C17" s="4">
        <v>-36.700000000000003</v>
      </c>
      <c r="D17" s="25">
        <v>-180</v>
      </c>
      <c r="E17" s="71">
        <f t="shared" si="0"/>
        <v>-143.30000000000001</v>
      </c>
      <c r="F17" s="71">
        <f t="shared" si="1"/>
        <v>2464.9625000000001</v>
      </c>
      <c r="G17" s="76">
        <v>-20</v>
      </c>
      <c r="H17" s="76">
        <v>39</v>
      </c>
      <c r="I17" s="34"/>
      <c r="J17" s="34"/>
      <c r="K17" s="28">
        <v>-11.375</v>
      </c>
      <c r="L17" s="74">
        <f t="shared" si="2"/>
        <v>2047.5</v>
      </c>
      <c r="M17" s="74">
        <v>10</v>
      </c>
      <c r="N17" s="69">
        <f t="shared" si="3"/>
        <v>2464.9625000000001</v>
      </c>
      <c r="O17" s="69">
        <v>0</v>
      </c>
      <c r="P17" s="69">
        <v>10</v>
      </c>
      <c r="Q17" s="69">
        <v>0</v>
      </c>
      <c r="R17" s="69">
        <v>10</v>
      </c>
      <c r="S17" s="70">
        <v>0</v>
      </c>
      <c r="T17" s="69"/>
      <c r="U17" s="69"/>
      <c r="V17" s="69"/>
      <c r="W17" s="69"/>
      <c r="X17" s="69"/>
      <c r="Y17" s="69"/>
    </row>
    <row r="18" spans="1:25" ht="18.75">
      <c r="A18" s="23">
        <v>11</v>
      </c>
      <c r="B18" s="46" t="s">
        <v>25</v>
      </c>
      <c r="C18" s="4">
        <v>-218.9</v>
      </c>
      <c r="D18" s="25">
        <v>-180</v>
      </c>
      <c r="E18" s="71">
        <f t="shared" si="0"/>
        <v>38.900000000000006</v>
      </c>
      <c r="F18" s="71">
        <f t="shared" si="1"/>
        <v>442.48750000000007</v>
      </c>
      <c r="G18" s="76">
        <v>-22</v>
      </c>
      <c r="H18" s="76">
        <v>22</v>
      </c>
      <c r="I18" s="34"/>
      <c r="J18" s="34"/>
      <c r="K18" s="28">
        <v>-11.375</v>
      </c>
      <c r="L18" s="74">
        <f t="shared" si="2"/>
        <v>2047.5</v>
      </c>
      <c r="M18" s="74">
        <v>10</v>
      </c>
      <c r="N18" s="69">
        <f t="shared" si="3"/>
        <v>442.48750000000007</v>
      </c>
      <c r="O18" s="69">
        <v>0</v>
      </c>
      <c r="P18" s="69">
        <v>10</v>
      </c>
      <c r="Q18" s="69">
        <v>0</v>
      </c>
      <c r="R18" s="69">
        <v>10</v>
      </c>
      <c r="S18" s="70">
        <v>0</v>
      </c>
      <c r="T18" s="69"/>
      <c r="U18" s="69"/>
      <c r="V18" s="69"/>
      <c r="W18" s="69"/>
      <c r="X18" s="69"/>
      <c r="Y18" s="69"/>
    </row>
    <row r="19" spans="1:25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25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25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25" ht="21">
      <c r="B22" s="41" t="s">
        <v>26</v>
      </c>
      <c r="C22" s="41"/>
      <c r="D22" s="41"/>
      <c r="E22" s="47"/>
      <c r="F22" s="47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</row>
    <row r="23" spans="1:25" ht="48" customHeight="1">
      <c r="A23" s="79" t="s">
        <v>1</v>
      </c>
      <c r="B23" s="79" t="s">
        <v>2</v>
      </c>
      <c r="C23" s="79" t="s">
        <v>27</v>
      </c>
      <c r="D23" s="79" t="s">
        <v>4</v>
      </c>
      <c r="E23" s="79" t="s">
        <v>5</v>
      </c>
      <c r="F23" s="79" t="s">
        <v>162</v>
      </c>
      <c r="G23" s="79" t="s">
        <v>6</v>
      </c>
      <c r="H23" s="79" t="s">
        <v>7</v>
      </c>
      <c r="I23" s="79" t="s">
        <v>8</v>
      </c>
      <c r="J23" s="79" t="s">
        <v>9</v>
      </c>
      <c r="K23" s="79" t="s">
        <v>10</v>
      </c>
      <c r="L23" s="79" t="s">
        <v>11</v>
      </c>
      <c r="M23" s="79" t="s">
        <v>12</v>
      </c>
      <c r="N23" s="79" t="s">
        <v>13</v>
      </c>
      <c r="O23" s="79" t="s">
        <v>249</v>
      </c>
      <c r="P23" s="79" t="s">
        <v>250</v>
      </c>
      <c r="Q23" s="79" t="s">
        <v>206</v>
      </c>
      <c r="R23" s="79" t="s">
        <v>207</v>
      </c>
      <c r="S23" s="79" t="s">
        <v>284</v>
      </c>
      <c r="T23" s="43" t="s">
        <v>289</v>
      </c>
      <c r="U23" s="43" t="s">
        <v>290</v>
      </c>
      <c r="V23" s="43" t="s">
        <v>291</v>
      </c>
      <c r="W23" s="81" t="s">
        <v>292</v>
      </c>
      <c r="X23" s="81" t="s">
        <v>293</v>
      </c>
      <c r="Y23" s="81" t="s">
        <v>294</v>
      </c>
    </row>
    <row r="24" spans="1:25" ht="18.75">
      <c r="A24" s="27">
        <v>0</v>
      </c>
      <c r="B24" s="46" t="s">
        <v>28</v>
      </c>
      <c r="C24" s="32"/>
      <c r="D24" s="25">
        <v>40</v>
      </c>
      <c r="E24" s="32"/>
      <c r="F24" s="32"/>
      <c r="G24" s="76">
        <v>-39</v>
      </c>
      <c r="H24" s="76">
        <v>24</v>
      </c>
      <c r="I24" s="33"/>
      <c r="J24" s="33"/>
      <c r="K24" s="26">
        <v>-1951.29</v>
      </c>
      <c r="L24" s="74">
        <v>500</v>
      </c>
      <c r="M24" s="69">
        <v>20</v>
      </c>
      <c r="N24" s="69">
        <v>0</v>
      </c>
      <c r="O24" s="69">
        <v>0</v>
      </c>
      <c r="P24" s="69">
        <v>10</v>
      </c>
      <c r="Q24" s="69">
        <v>-40</v>
      </c>
      <c r="R24" s="69">
        <v>10</v>
      </c>
      <c r="S24" s="70">
        <v>0</v>
      </c>
      <c r="T24" s="69"/>
      <c r="U24" s="69"/>
      <c r="V24" s="69"/>
      <c r="W24" s="69"/>
      <c r="X24" s="69"/>
      <c r="Y24" s="69"/>
    </row>
    <row r="25" spans="1:25" ht="18.75">
      <c r="A25" s="23">
        <v>1</v>
      </c>
      <c r="B25" s="46" t="s">
        <v>29</v>
      </c>
      <c r="C25" s="32"/>
      <c r="D25" s="25">
        <v>47</v>
      </c>
      <c r="E25" s="32"/>
      <c r="F25" s="32"/>
      <c r="G25" s="77">
        <v>-47</v>
      </c>
      <c r="H25" s="76">
        <v>47</v>
      </c>
      <c r="I25" s="33"/>
      <c r="J25" s="33"/>
      <c r="K25" s="26">
        <v>-1951.29</v>
      </c>
      <c r="L25" s="74">
        <v>1000</v>
      </c>
      <c r="M25" s="69">
        <v>20</v>
      </c>
      <c r="N25" s="69">
        <f t="shared" ref="N25:N32" si="4">+F25</f>
        <v>0</v>
      </c>
      <c r="O25" s="69">
        <v>0</v>
      </c>
      <c r="P25" s="69">
        <v>10</v>
      </c>
      <c r="Q25" s="69">
        <v>0</v>
      </c>
      <c r="R25" s="69">
        <v>10</v>
      </c>
      <c r="S25" s="70">
        <v>0</v>
      </c>
      <c r="T25" s="69"/>
      <c r="U25" s="69"/>
      <c r="V25" s="69"/>
      <c r="W25" s="69"/>
      <c r="X25" s="69"/>
      <c r="Y25" s="69"/>
    </row>
    <row r="26" spans="1:25" ht="18.75">
      <c r="A26" s="23">
        <v>2</v>
      </c>
      <c r="B26" s="46" t="s">
        <v>30</v>
      </c>
      <c r="C26" s="32"/>
      <c r="D26" s="25">
        <v>55.45</v>
      </c>
      <c r="E26" s="32"/>
      <c r="F26" s="32"/>
      <c r="G26" s="76">
        <v>-52</v>
      </c>
      <c r="H26" s="76">
        <v>52</v>
      </c>
      <c r="I26" s="33"/>
      <c r="J26" s="33"/>
      <c r="K26" s="26">
        <v>-1399.46</v>
      </c>
      <c r="L26" s="74">
        <v>900</v>
      </c>
      <c r="M26" s="69">
        <v>20</v>
      </c>
      <c r="N26" s="69">
        <f t="shared" si="4"/>
        <v>0</v>
      </c>
      <c r="O26" s="69">
        <v>0</v>
      </c>
      <c r="P26" s="69">
        <v>10</v>
      </c>
      <c r="Q26" s="69">
        <v>0</v>
      </c>
      <c r="R26" s="69">
        <v>10</v>
      </c>
      <c r="S26" s="70">
        <v>0</v>
      </c>
      <c r="T26" s="69"/>
      <c r="U26" s="69"/>
      <c r="V26" s="69"/>
      <c r="W26" s="69"/>
      <c r="X26" s="69"/>
      <c r="Y26" s="69"/>
    </row>
    <row r="27" spans="1:25" ht="18.75">
      <c r="A27" s="23">
        <v>3</v>
      </c>
      <c r="B27" s="46" t="s">
        <v>31</v>
      </c>
      <c r="C27" s="32"/>
      <c r="D27" s="25">
        <v>-38.4</v>
      </c>
      <c r="E27" s="32"/>
      <c r="F27" s="32"/>
      <c r="G27" s="76">
        <v>-44</v>
      </c>
      <c r="H27" s="76">
        <v>19</v>
      </c>
      <c r="I27" s="33"/>
      <c r="J27" s="33"/>
      <c r="K27" s="26">
        <v>-1093.33</v>
      </c>
      <c r="L27" s="74">
        <v>600</v>
      </c>
      <c r="M27" s="69">
        <v>-20</v>
      </c>
      <c r="N27" s="69">
        <f t="shared" si="4"/>
        <v>0</v>
      </c>
      <c r="O27" s="69">
        <v>0</v>
      </c>
      <c r="P27" s="69">
        <v>10</v>
      </c>
      <c r="Q27" s="69">
        <v>0</v>
      </c>
      <c r="R27" s="69">
        <v>10</v>
      </c>
      <c r="S27" s="70">
        <v>0</v>
      </c>
      <c r="T27" s="69"/>
      <c r="U27" s="69"/>
      <c r="V27" s="69"/>
      <c r="W27" s="69"/>
      <c r="X27" s="69"/>
      <c r="Y27" s="69"/>
    </row>
    <row r="28" spans="1:25" ht="18.75">
      <c r="A28" s="23">
        <v>4</v>
      </c>
      <c r="B28" s="46" t="s">
        <v>32</v>
      </c>
      <c r="C28" s="32"/>
      <c r="D28" s="25">
        <v>47.35</v>
      </c>
      <c r="E28" s="32"/>
      <c r="F28" s="32"/>
      <c r="G28" s="76">
        <v>-30</v>
      </c>
      <c r="H28" s="76">
        <v>30</v>
      </c>
      <c r="I28" s="33"/>
      <c r="J28" s="33"/>
      <c r="K28" s="26">
        <v>-586.66</v>
      </c>
      <c r="L28" s="74">
        <v>1333</v>
      </c>
      <c r="M28" s="69">
        <v>20</v>
      </c>
      <c r="N28" s="69">
        <f t="shared" si="4"/>
        <v>0</v>
      </c>
      <c r="O28" s="69">
        <v>0</v>
      </c>
      <c r="P28" s="69">
        <v>10</v>
      </c>
      <c r="Q28" s="69">
        <v>0</v>
      </c>
      <c r="R28" s="69">
        <v>10</v>
      </c>
      <c r="S28" s="70">
        <v>0</v>
      </c>
      <c r="T28" s="69"/>
      <c r="U28" s="69"/>
      <c r="V28" s="69"/>
      <c r="W28" s="69"/>
      <c r="X28" s="69"/>
      <c r="Y28" s="69"/>
    </row>
    <row r="29" spans="1:25" ht="18.75">
      <c r="A29" s="23">
        <v>5</v>
      </c>
      <c r="B29" s="46" t="s">
        <v>33</v>
      </c>
      <c r="C29" s="32"/>
      <c r="D29" s="25">
        <v>8.9600000000000009</v>
      </c>
      <c r="E29" s="32"/>
      <c r="F29" s="32"/>
      <c r="G29" s="76">
        <v>0</v>
      </c>
      <c r="H29" s="76">
        <v>50</v>
      </c>
      <c r="I29" s="33"/>
      <c r="J29" s="33"/>
      <c r="K29" s="26">
        <v>293.33</v>
      </c>
      <c r="L29" s="74">
        <v>1333</v>
      </c>
      <c r="M29" s="69">
        <v>20</v>
      </c>
      <c r="N29" s="69">
        <f t="shared" si="4"/>
        <v>0</v>
      </c>
      <c r="O29" s="69">
        <v>0</v>
      </c>
      <c r="P29" s="69">
        <v>10</v>
      </c>
      <c r="Q29" s="69">
        <v>0</v>
      </c>
      <c r="R29" s="69">
        <v>10</v>
      </c>
      <c r="S29" s="70">
        <v>0</v>
      </c>
      <c r="T29" s="69"/>
      <c r="U29" s="69"/>
      <c r="V29" s="69"/>
      <c r="W29" s="69"/>
      <c r="X29" s="69"/>
      <c r="Y29" s="69"/>
    </row>
    <row r="30" spans="1:25" ht="18.75">
      <c r="A30" s="23">
        <v>6</v>
      </c>
      <c r="B30" s="46" t="s">
        <v>34</v>
      </c>
      <c r="C30" s="4">
        <v>146.6</v>
      </c>
      <c r="D30" s="25">
        <v>180</v>
      </c>
      <c r="E30" s="71">
        <f>(C30-D30)</f>
        <v>-33.400000000000006</v>
      </c>
      <c r="F30" s="71">
        <f>IF(E30&gt;=0,(E30*11.375),(360+E30)*11.375)</f>
        <v>3715.0750000000003</v>
      </c>
      <c r="G30" s="76">
        <v>-50</v>
      </c>
      <c r="H30" s="76">
        <v>50</v>
      </c>
      <c r="I30" s="33"/>
      <c r="J30" s="33"/>
      <c r="K30" s="26">
        <v>11.375</v>
      </c>
      <c r="L30" s="74">
        <f>D30*K30</f>
        <v>2047.5</v>
      </c>
      <c r="M30" s="74">
        <v>10</v>
      </c>
      <c r="N30" s="69">
        <f t="shared" si="4"/>
        <v>3715.0750000000003</v>
      </c>
      <c r="O30" s="69">
        <v>0</v>
      </c>
      <c r="P30" s="69">
        <v>10</v>
      </c>
      <c r="Q30" s="69">
        <v>0</v>
      </c>
      <c r="R30" s="69">
        <v>10</v>
      </c>
      <c r="S30" s="70">
        <v>0</v>
      </c>
      <c r="T30" s="69"/>
      <c r="U30" s="69"/>
      <c r="V30" s="69"/>
      <c r="W30" s="69"/>
      <c r="X30" s="69"/>
      <c r="Y30" s="69"/>
    </row>
    <row r="31" spans="1:25" ht="18.75">
      <c r="A31" s="23">
        <v>7</v>
      </c>
      <c r="B31" s="46" t="s">
        <v>35</v>
      </c>
      <c r="C31" s="4">
        <v>52.7</v>
      </c>
      <c r="D31" s="25">
        <v>180</v>
      </c>
      <c r="E31" s="71">
        <f>(C31-D31)</f>
        <v>-127.3</v>
      </c>
      <c r="F31" s="71">
        <f>IF(E31&gt;=0,(E31*11.375),(360+E31)*11.375)</f>
        <v>2646.9625000000001</v>
      </c>
      <c r="G31" s="76">
        <v>-30</v>
      </c>
      <c r="H31" s="76">
        <v>30</v>
      </c>
      <c r="I31" s="33"/>
      <c r="J31" s="33"/>
      <c r="K31" s="26">
        <v>11.375</v>
      </c>
      <c r="L31" s="74">
        <f>D31*K31</f>
        <v>2047.5</v>
      </c>
      <c r="M31" s="74">
        <v>10</v>
      </c>
      <c r="N31" s="69">
        <f t="shared" si="4"/>
        <v>2646.9625000000001</v>
      </c>
      <c r="O31" s="69">
        <v>0</v>
      </c>
      <c r="P31" s="69">
        <v>10</v>
      </c>
      <c r="Q31" s="69">
        <v>0</v>
      </c>
      <c r="R31" s="69">
        <v>10</v>
      </c>
      <c r="S31" s="70">
        <v>0</v>
      </c>
      <c r="T31" s="69"/>
      <c r="U31" s="69"/>
      <c r="V31" s="69"/>
      <c r="W31" s="69"/>
      <c r="X31" s="69"/>
      <c r="Y31" s="69"/>
    </row>
    <row r="32" spans="1:25" ht="19.5" thickBot="1">
      <c r="A32" s="29">
        <v>8</v>
      </c>
      <c r="B32" s="46" t="s">
        <v>36</v>
      </c>
      <c r="C32" s="62">
        <v>133</v>
      </c>
      <c r="D32" s="25">
        <v>180</v>
      </c>
      <c r="E32" s="71">
        <f>(C32-D32)</f>
        <v>-47</v>
      </c>
      <c r="F32" s="71">
        <f>IF(E32&gt;=0,(E32*11.375),(360+E32)*11.375)</f>
        <v>3560.375</v>
      </c>
      <c r="G32" s="76">
        <v>-22</v>
      </c>
      <c r="H32" s="76">
        <v>70</v>
      </c>
      <c r="I32" s="33"/>
      <c r="J32" s="33"/>
      <c r="K32" s="26">
        <v>11.375</v>
      </c>
      <c r="L32" s="74">
        <f>D32*K32</f>
        <v>2047.5</v>
      </c>
      <c r="M32" s="74">
        <v>10</v>
      </c>
      <c r="N32" s="69">
        <f t="shared" si="4"/>
        <v>3560.375</v>
      </c>
      <c r="O32" s="69">
        <v>0</v>
      </c>
      <c r="P32" s="69">
        <v>10</v>
      </c>
      <c r="Q32" s="69">
        <v>-20</v>
      </c>
      <c r="R32" s="69">
        <v>10</v>
      </c>
      <c r="S32" s="70">
        <v>0</v>
      </c>
      <c r="T32" s="69"/>
      <c r="U32" s="69"/>
      <c r="V32" s="69"/>
      <c r="W32" s="69"/>
      <c r="X32" s="69"/>
      <c r="Y32" s="69"/>
    </row>
    <row r="33" spans="1:25" ht="18.75">
      <c r="A33" s="30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5" ht="18.75">
      <c r="A34" s="30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5" ht="21">
      <c r="A35" s="30"/>
      <c r="B35" s="41" t="s">
        <v>37</v>
      </c>
      <c r="C35" s="41"/>
      <c r="D35" s="41"/>
      <c r="E35" s="47"/>
      <c r="F35" s="47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</row>
    <row r="36" spans="1:25" ht="39" customHeight="1">
      <c r="A36" s="79" t="s">
        <v>1</v>
      </c>
      <c r="B36" s="79" t="s">
        <v>2</v>
      </c>
      <c r="C36" s="79" t="s">
        <v>38</v>
      </c>
      <c r="D36" s="79" t="s">
        <v>4</v>
      </c>
      <c r="E36" s="79" t="s">
        <v>5</v>
      </c>
      <c r="F36" s="79" t="s">
        <v>162</v>
      </c>
      <c r="G36" s="79" t="s">
        <v>6</v>
      </c>
      <c r="H36" s="79" t="s">
        <v>7</v>
      </c>
      <c r="I36" s="79" t="s">
        <v>8</v>
      </c>
      <c r="J36" s="79" t="s">
        <v>9</v>
      </c>
      <c r="K36" s="79" t="s">
        <v>10</v>
      </c>
      <c r="L36" s="79" t="s">
        <v>11</v>
      </c>
      <c r="M36" s="79" t="s">
        <v>12</v>
      </c>
      <c r="N36" s="79" t="s">
        <v>13</v>
      </c>
      <c r="O36" s="79" t="s">
        <v>249</v>
      </c>
      <c r="P36" s="79" t="s">
        <v>250</v>
      </c>
      <c r="Q36" s="79" t="s">
        <v>206</v>
      </c>
      <c r="R36" s="79" t="s">
        <v>207</v>
      </c>
      <c r="S36" s="79" t="s">
        <v>284</v>
      </c>
      <c r="T36" s="43" t="s">
        <v>289</v>
      </c>
      <c r="U36" s="43" t="s">
        <v>290</v>
      </c>
      <c r="V36" s="43" t="s">
        <v>291</v>
      </c>
      <c r="W36" s="81" t="s">
        <v>292</v>
      </c>
      <c r="X36" s="81" t="s">
        <v>293</v>
      </c>
      <c r="Y36" s="81" t="s">
        <v>294</v>
      </c>
    </row>
    <row r="37" spans="1:25" ht="18.75">
      <c r="A37" s="27">
        <v>0</v>
      </c>
      <c r="B37" s="46" t="s">
        <v>39</v>
      </c>
      <c r="C37" s="24">
        <v>-39</v>
      </c>
      <c r="D37" s="25">
        <v>-180</v>
      </c>
      <c r="E37" s="71">
        <f>(ABS(C37)-ABS(D37))</f>
        <v>-141</v>
      </c>
      <c r="F37" s="71">
        <f>IF(E37&gt;=0,(E37*11.375),(360+E37)*11.375)</f>
        <v>2491.125</v>
      </c>
      <c r="G37" s="76">
        <v>-95.5</v>
      </c>
      <c r="H37" s="76">
        <v>10</v>
      </c>
      <c r="I37" s="33"/>
      <c r="J37" s="34"/>
      <c r="K37" s="26">
        <v>-11.375</v>
      </c>
      <c r="L37" s="74">
        <f>(D37-30)*K37</f>
        <v>2388.75</v>
      </c>
      <c r="M37" s="74">
        <v>10</v>
      </c>
      <c r="N37" s="69">
        <f>+F37</f>
        <v>2491.125</v>
      </c>
      <c r="O37" s="69">
        <v>-30</v>
      </c>
      <c r="P37" s="69">
        <v>10</v>
      </c>
      <c r="Q37" s="69">
        <v>-30</v>
      </c>
      <c r="R37" s="69">
        <v>10</v>
      </c>
      <c r="S37" s="70">
        <v>0</v>
      </c>
      <c r="T37" s="69"/>
      <c r="U37" s="69"/>
      <c r="V37" s="69"/>
      <c r="W37" s="69"/>
      <c r="X37" s="69"/>
      <c r="Y37" s="69"/>
    </row>
    <row r="38" spans="1:25" ht="18.75">
      <c r="A38" s="23">
        <v>1</v>
      </c>
      <c r="B38" s="46" t="s">
        <v>40</v>
      </c>
      <c r="C38" s="24">
        <v>-271.10000000000002</v>
      </c>
      <c r="D38" s="25">
        <v>-315</v>
      </c>
      <c r="E38" s="71">
        <f>(ABS(C38)-ABS(D38))</f>
        <v>-43.899999999999977</v>
      </c>
      <c r="F38" s="71">
        <f>IF(E38&gt;=0,(E38*11.375),(360+E38)*11.375)</f>
        <v>3595.6375000000003</v>
      </c>
      <c r="G38" s="76">
        <v>0</v>
      </c>
      <c r="H38" s="76">
        <v>160.80000000000001</v>
      </c>
      <c r="I38" s="33"/>
      <c r="J38" s="33"/>
      <c r="K38" s="26">
        <v>-11.375</v>
      </c>
      <c r="L38" s="74">
        <f>K38*(D38+30)</f>
        <v>3241.875</v>
      </c>
      <c r="M38" s="74">
        <v>10</v>
      </c>
      <c r="N38" s="69">
        <f>+F38</f>
        <v>3595.6375000000003</v>
      </c>
      <c r="O38" s="69">
        <v>30</v>
      </c>
      <c r="P38" s="69">
        <v>10</v>
      </c>
      <c r="Q38" s="69">
        <v>30</v>
      </c>
      <c r="R38" s="69">
        <v>10</v>
      </c>
      <c r="S38" s="70">
        <v>0</v>
      </c>
      <c r="T38" s="69"/>
      <c r="U38" s="69"/>
      <c r="V38" s="69"/>
      <c r="W38" s="69"/>
      <c r="X38" s="69"/>
      <c r="Y38" s="69"/>
    </row>
    <row r="39" spans="1:25" ht="18.75">
      <c r="A39" s="23">
        <v>2</v>
      </c>
      <c r="B39" s="46" t="s">
        <v>41</v>
      </c>
      <c r="C39" s="24">
        <v>153</v>
      </c>
      <c r="D39" s="25">
        <f>-L39/-K39</f>
        <v>24.257819103972956</v>
      </c>
      <c r="E39" s="72">
        <f>ABS((+C39/(40/65)-(C37-C38)/(40/65)))-ABS(180)</f>
        <v>-51.462499999999977</v>
      </c>
      <c r="F39" s="72">
        <f>IF(E39&gt;=0,(E39*11.375),(360+E39)*11.375)</f>
        <v>3509.6140625000003</v>
      </c>
      <c r="G39" s="76">
        <v>-37</v>
      </c>
      <c r="H39" s="76">
        <v>80</v>
      </c>
      <c r="I39" s="33"/>
      <c r="J39" s="33"/>
      <c r="K39" s="26">
        <v>-11.375</v>
      </c>
      <c r="L39" s="75">
        <f>2047*40/65+((D37*K37)-(D38*K38))</f>
        <v>-275.93269230769238</v>
      </c>
      <c r="M39" s="74">
        <v>10</v>
      </c>
      <c r="N39" s="74">
        <f>F39</f>
        <v>3509.6140625000003</v>
      </c>
      <c r="O39" s="74">
        <v>0</v>
      </c>
      <c r="P39" s="69">
        <v>10</v>
      </c>
      <c r="Q39" s="74">
        <v>0</v>
      </c>
      <c r="R39" s="69">
        <v>10</v>
      </c>
      <c r="S39" s="70">
        <v>0</v>
      </c>
      <c r="T39" s="69"/>
      <c r="U39" s="69"/>
      <c r="V39" s="69"/>
      <c r="W39" s="69"/>
      <c r="X39" s="69"/>
      <c r="Y39" s="69"/>
    </row>
    <row r="40" spans="1:25" ht="18.75">
      <c r="A40" s="23">
        <v>3</v>
      </c>
      <c r="B40" s="46" t="s">
        <v>42</v>
      </c>
      <c r="C40" s="24">
        <v>0.7</v>
      </c>
      <c r="D40" s="25">
        <v>-180</v>
      </c>
      <c r="E40" s="71">
        <f>(ABS(C40)-ABS(D40))</f>
        <v>-179.3</v>
      </c>
      <c r="F40" s="71">
        <f>IF(E40&gt;=0,(E40*11.375),(360+E40)*11.375)</f>
        <v>2055.4625000000001</v>
      </c>
      <c r="G40" s="76">
        <v>5.5</v>
      </c>
      <c r="H40" s="76">
        <v>106</v>
      </c>
      <c r="I40" s="33"/>
      <c r="J40" s="33"/>
      <c r="K40" s="26">
        <v>-11.375</v>
      </c>
      <c r="L40" s="74">
        <v>1532</v>
      </c>
      <c r="M40" s="74">
        <v>10</v>
      </c>
      <c r="N40" s="69">
        <f>+F40</f>
        <v>2055.4625000000001</v>
      </c>
      <c r="O40" s="69">
        <v>45</v>
      </c>
      <c r="P40" s="69">
        <v>10</v>
      </c>
      <c r="Q40" s="69">
        <v>45</v>
      </c>
      <c r="R40" s="69">
        <v>10</v>
      </c>
      <c r="S40" s="70">
        <v>0</v>
      </c>
      <c r="T40" s="69"/>
      <c r="U40" s="69"/>
      <c r="V40" s="69"/>
      <c r="W40" s="69"/>
      <c r="X40" s="69"/>
      <c r="Y40" s="69"/>
    </row>
    <row r="41" spans="1:25" ht="18.75">
      <c r="A41" s="23">
        <v>4</v>
      </c>
      <c r="B41" s="46" t="s">
        <v>43</v>
      </c>
      <c r="C41" s="32"/>
      <c r="D41" s="25">
        <v>90</v>
      </c>
      <c r="E41" s="32"/>
      <c r="F41" s="32"/>
      <c r="G41" s="76">
        <v>-90</v>
      </c>
      <c r="H41" s="76">
        <v>90</v>
      </c>
      <c r="I41" s="33"/>
      <c r="J41" s="33"/>
      <c r="K41" s="26">
        <f>-706.67</f>
        <v>-706.67</v>
      </c>
      <c r="L41" s="74">
        <v>550</v>
      </c>
      <c r="M41" s="74">
        <v>20</v>
      </c>
      <c r="N41" s="69">
        <v>0</v>
      </c>
      <c r="O41" s="69">
        <v>0</v>
      </c>
      <c r="P41" s="69">
        <v>30</v>
      </c>
      <c r="Q41" s="69">
        <v>0</v>
      </c>
      <c r="R41" s="69">
        <v>30</v>
      </c>
      <c r="S41" s="70">
        <v>0</v>
      </c>
      <c r="T41" s="69"/>
      <c r="U41" s="69"/>
      <c r="V41" s="69"/>
      <c r="W41" s="69"/>
      <c r="X41" s="69"/>
      <c r="Y41" s="69"/>
    </row>
    <row r="42" spans="1:25" ht="18.75">
      <c r="A42" s="23">
        <v>5</v>
      </c>
      <c r="B42" s="46" t="s">
        <v>44</v>
      </c>
      <c r="C42" s="32"/>
      <c r="D42" s="25">
        <v>-20</v>
      </c>
      <c r="E42" s="32"/>
      <c r="F42" s="32"/>
      <c r="G42" s="76">
        <v>-90</v>
      </c>
      <c r="H42" s="76">
        <v>0</v>
      </c>
      <c r="I42" s="33"/>
      <c r="J42" s="33"/>
      <c r="K42" s="26">
        <v>-978.46</v>
      </c>
      <c r="L42" s="74">
        <v>750</v>
      </c>
      <c r="M42" s="74">
        <v>-10</v>
      </c>
      <c r="N42" s="69">
        <v>0</v>
      </c>
      <c r="O42" s="69">
        <v>0</v>
      </c>
      <c r="P42" s="69">
        <v>30</v>
      </c>
      <c r="Q42" s="69">
        <v>0</v>
      </c>
      <c r="R42" s="69">
        <v>30</v>
      </c>
      <c r="S42" s="70">
        <v>0</v>
      </c>
      <c r="T42" s="69"/>
      <c r="U42" s="69"/>
      <c r="V42" s="69"/>
      <c r="W42" s="69"/>
      <c r="X42" s="69"/>
      <c r="Y42" s="69"/>
    </row>
    <row r="43" spans="1:25" ht="18.75">
      <c r="A43" s="23">
        <v>6</v>
      </c>
      <c r="B43" s="46" t="s">
        <v>45</v>
      </c>
      <c r="C43" s="32"/>
      <c r="D43" s="25">
        <v>-52</v>
      </c>
      <c r="E43" s="32"/>
      <c r="F43" s="32"/>
      <c r="G43" s="76">
        <v>-20</v>
      </c>
      <c r="H43" s="76">
        <v>40</v>
      </c>
      <c r="I43" s="33"/>
      <c r="J43" s="33"/>
      <c r="K43" s="26">
        <v>-978.46</v>
      </c>
      <c r="L43" s="74">
        <v>750</v>
      </c>
      <c r="M43" s="74">
        <v>-10</v>
      </c>
      <c r="N43" s="69">
        <v>0</v>
      </c>
      <c r="O43" s="69">
        <v>0</v>
      </c>
      <c r="P43" s="69">
        <v>30</v>
      </c>
      <c r="Q43" s="69">
        <v>40</v>
      </c>
      <c r="R43" s="69">
        <v>30</v>
      </c>
      <c r="S43" s="70">
        <v>0</v>
      </c>
      <c r="T43" s="69"/>
      <c r="U43" s="69"/>
      <c r="V43" s="69"/>
      <c r="W43" s="69"/>
      <c r="X43" s="69"/>
      <c r="Y43" s="69"/>
    </row>
    <row r="44" spans="1:25" ht="18.75">
      <c r="A44" s="23">
        <v>7</v>
      </c>
      <c r="B44" s="46" t="s">
        <v>46</v>
      </c>
      <c r="C44" s="32"/>
      <c r="D44" s="26">
        <f>IF(K44&gt;0,+I44/K44+G44,+I44/K44-G44)</f>
        <v>281.11764705882354</v>
      </c>
      <c r="E44" s="32"/>
      <c r="F44" s="32"/>
      <c r="G44" s="74">
        <v>0</v>
      </c>
      <c r="H44" s="74">
        <v>60</v>
      </c>
      <c r="I44" s="82">
        <v>1593</v>
      </c>
      <c r="J44" s="82">
        <v>1933</v>
      </c>
      <c r="K44" s="28">
        <f>(J44-I44)/(H44-G44)</f>
        <v>5.666666666666667</v>
      </c>
      <c r="L44" s="74">
        <f>ABS(+D44*K44)</f>
        <v>1593.0000000000002</v>
      </c>
      <c r="M44" s="74">
        <v>100</v>
      </c>
      <c r="N44" s="74">
        <v>0</v>
      </c>
      <c r="O44" s="74">
        <v>0</v>
      </c>
      <c r="P44" s="69">
        <v>100</v>
      </c>
      <c r="Q44" s="74">
        <v>0</v>
      </c>
      <c r="R44" s="69">
        <v>100</v>
      </c>
      <c r="S44" s="70">
        <v>0</v>
      </c>
      <c r="T44" s="69"/>
      <c r="U44" s="69"/>
      <c r="V44" s="69"/>
      <c r="W44" s="69"/>
      <c r="X44" s="69"/>
      <c r="Y44" s="69"/>
    </row>
    <row r="45" spans="1:25" ht="18.75">
      <c r="A45" s="31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5" ht="21">
      <c r="B46" s="41" t="s">
        <v>47</v>
      </c>
      <c r="C46" s="41"/>
      <c r="D46" s="41"/>
      <c r="E46" s="47"/>
      <c r="F46" s="47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68"/>
      <c r="T46" s="41"/>
      <c r="U46" s="41"/>
      <c r="V46" s="41"/>
      <c r="W46" s="41"/>
      <c r="X46" s="41"/>
      <c r="Y46" s="41"/>
    </row>
    <row r="47" spans="1:25" ht="36.75" customHeight="1">
      <c r="A47" s="79" t="s">
        <v>1</v>
      </c>
      <c r="B47" s="79" t="s">
        <v>2</v>
      </c>
      <c r="C47" s="79" t="s">
        <v>38</v>
      </c>
      <c r="D47" s="79" t="s">
        <v>4</v>
      </c>
      <c r="E47" s="79" t="s">
        <v>5</v>
      </c>
      <c r="F47" s="79" t="s">
        <v>162</v>
      </c>
      <c r="G47" s="79" t="s">
        <v>6</v>
      </c>
      <c r="H47" s="79" t="s">
        <v>7</v>
      </c>
      <c r="I47" s="79" t="s">
        <v>8</v>
      </c>
      <c r="J47" s="79" t="s">
        <v>9</v>
      </c>
      <c r="K47" s="79" t="s">
        <v>10</v>
      </c>
      <c r="L47" s="79" t="s">
        <v>11</v>
      </c>
      <c r="M47" s="79" t="s">
        <v>12</v>
      </c>
      <c r="N47" s="79" t="s">
        <v>13</v>
      </c>
      <c r="O47" s="79" t="s">
        <v>249</v>
      </c>
      <c r="P47" s="79" t="s">
        <v>250</v>
      </c>
      <c r="Q47" s="79" t="s">
        <v>206</v>
      </c>
      <c r="R47" s="79" t="s">
        <v>207</v>
      </c>
      <c r="S47" s="79"/>
      <c r="T47" s="43" t="s">
        <v>289</v>
      </c>
      <c r="U47" s="43" t="s">
        <v>290</v>
      </c>
      <c r="V47" s="43" t="s">
        <v>291</v>
      </c>
      <c r="W47" s="81" t="s">
        <v>292</v>
      </c>
      <c r="X47" s="81" t="s">
        <v>293</v>
      </c>
      <c r="Y47" s="81" t="s">
        <v>294</v>
      </c>
    </row>
    <row r="48" spans="1:25" ht="18.75">
      <c r="A48" s="27">
        <v>0</v>
      </c>
      <c r="B48" s="46" t="s">
        <v>48</v>
      </c>
      <c r="C48" s="32"/>
      <c r="D48" s="28">
        <f>IF(K48&gt;0,+I48/K48-G48,+I48/K48-G48)</f>
        <v>28.480360592401805</v>
      </c>
      <c r="E48" s="32"/>
      <c r="F48" s="32"/>
      <c r="G48" s="74">
        <v>-10</v>
      </c>
      <c r="H48" s="74">
        <v>90</v>
      </c>
      <c r="I48" s="40">
        <v>287</v>
      </c>
      <c r="J48" s="40">
        <v>1840</v>
      </c>
      <c r="K48" s="28">
        <f t="shared" ref="K48:K55" si="5">(J48-I48)/(H48-G48)</f>
        <v>15.53</v>
      </c>
      <c r="L48" s="74">
        <f>ABS(D48*K48)</f>
        <v>442.3</v>
      </c>
      <c r="M48" s="74">
        <v>10</v>
      </c>
      <c r="N48" s="74">
        <v>0</v>
      </c>
      <c r="O48" s="74">
        <v>0</v>
      </c>
      <c r="P48" s="74">
        <v>100</v>
      </c>
      <c r="Q48" s="74">
        <v>0</v>
      </c>
      <c r="R48" s="74">
        <v>10</v>
      </c>
      <c r="S48" s="80">
        <v>0</v>
      </c>
      <c r="T48" s="69"/>
      <c r="U48" s="69"/>
      <c r="V48" s="69"/>
      <c r="W48" s="69"/>
      <c r="X48" s="69"/>
      <c r="Y48" s="69"/>
    </row>
    <row r="49" spans="1:25" ht="19.5" thickBot="1">
      <c r="A49" s="23">
        <v>1</v>
      </c>
      <c r="B49" s="46" t="s">
        <v>49</v>
      </c>
      <c r="C49" s="32"/>
      <c r="D49" s="28">
        <f>-G49+(+I49/K49)</f>
        <v>-101.61290322580646</v>
      </c>
      <c r="E49" s="32"/>
      <c r="F49" s="32"/>
      <c r="G49" s="74">
        <v>0</v>
      </c>
      <c r="H49" s="74">
        <v>90</v>
      </c>
      <c r="I49" s="63">
        <v>245</v>
      </c>
      <c r="J49" s="63">
        <v>28</v>
      </c>
      <c r="K49" s="28">
        <f t="shared" si="5"/>
        <v>-2.411111111111111</v>
      </c>
      <c r="L49" s="74">
        <f>I49</f>
        <v>245</v>
      </c>
      <c r="M49" s="74">
        <v>10</v>
      </c>
      <c r="N49" s="74">
        <v>6000</v>
      </c>
      <c r="O49" s="74">
        <v>0</v>
      </c>
      <c r="P49" s="74">
        <v>100</v>
      </c>
      <c r="Q49" s="74">
        <v>0</v>
      </c>
      <c r="R49" s="74">
        <v>10</v>
      </c>
      <c r="S49" s="80">
        <v>0</v>
      </c>
      <c r="T49" s="69"/>
      <c r="U49" s="69"/>
      <c r="V49" s="69"/>
      <c r="W49" s="69"/>
      <c r="X49" s="69"/>
      <c r="Y49" s="69"/>
    </row>
    <row r="50" spans="1:25" ht="19.5" thickBot="1">
      <c r="A50" s="23">
        <v>2</v>
      </c>
      <c r="B50" s="46" t="s">
        <v>50</v>
      </c>
      <c r="C50" s="32"/>
      <c r="D50" s="28">
        <f t="shared" ref="D50:D55" si="6">-G50+(+I50/K50)</f>
        <v>-187.725321888412</v>
      </c>
      <c r="E50" s="32"/>
      <c r="F50" s="32"/>
      <c r="G50" s="74">
        <v>0</v>
      </c>
      <c r="H50" s="74">
        <v>180</v>
      </c>
      <c r="I50" s="63">
        <v>486</v>
      </c>
      <c r="J50" s="63">
        <v>20</v>
      </c>
      <c r="K50" s="28">
        <f t="shared" si="5"/>
        <v>-2.588888888888889</v>
      </c>
      <c r="L50" s="74">
        <f>J50</f>
        <v>20</v>
      </c>
      <c r="M50" s="74">
        <v>10</v>
      </c>
      <c r="N50" s="74">
        <v>6500</v>
      </c>
      <c r="O50" s="74">
        <v>0</v>
      </c>
      <c r="P50" s="74">
        <v>100</v>
      </c>
      <c r="Q50" s="74">
        <v>0</v>
      </c>
      <c r="R50" s="74">
        <v>10</v>
      </c>
      <c r="S50" s="80">
        <v>0</v>
      </c>
      <c r="T50" s="69"/>
      <c r="U50" s="69"/>
      <c r="V50" s="69"/>
      <c r="W50" s="69"/>
      <c r="X50" s="69"/>
      <c r="Y50" s="69"/>
    </row>
    <row r="51" spans="1:25" ht="19.5" thickBot="1">
      <c r="A51" s="23">
        <v>3</v>
      </c>
      <c r="B51" s="46" t="s">
        <v>51</v>
      </c>
      <c r="C51" s="32"/>
      <c r="D51" s="28">
        <f t="shared" si="6"/>
        <v>-111.09375</v>
      </c>
      <c r="E51" s="32"/>
      <c r="F51" s="32"/>
      <c r="G51" s="74">
        <v>0</v>
      </c>
      <c r="H51" s="74">
        <v>90</v>
      </c>
      <c r="I51" s="63">
        <v>237</v>
      </c>
      <c r="J51" s="63">
        <v>45</v>
      </c>
      <c r="K51" s="28">
        <f t="shared" si="5"/>
        <v>-2.1333333333333333</v>
      </c>
      <c r="L51" s="74">
        <f>I51</f>
        <v>237</v>
      </c>
      <c r="M51" s="74">
        <v>10</v>
      </c>
      <c r="N51" s="74">
        <v>6000</v>
      </c>
      <c r="O51" s="74">
        <v>0</v>
      </c>
      <c r="P51" s="74">
        <v>100</v>
      </c>
      <c r="Q51" s="74">
        <v>0</v>
      </c>
      <c r="R51" s="74">
        <v>10</v>
      </c>
      <c r="S51" s="80">
        <v>0</v>
      </c>
      <c r="T51" s="69"/>
      <c r="U51" s="69"/>
      <c r="V51" s="69"/>
      <c r="W51" s="69"/>
      <c r="X51" s="69"/>
      <c r="Y51" s="69"/>
    </row>
    <row r="52" spans="1:25" ht="19.5" thickBot="1">
      <c r="A52" s="23">
        <v>4</v>
      </c>
      <c r="B52" s="46" t="s">
        <v>52</v>
      </c>
      <c r="C52" s="32"/>
      <c r="D52" s="28">
        <f t="shared" si="6"/>
        <v>-208.78281622911692</v>
      </c>
      <c r="E52" s="32"/>
      <c r="F52" s="32"/>
      <c r="G52" s="74">
        <v>0</v>
      </c>
      <c r="H52" s="74">
        <v>180</v>
      </c>
      <c r="I52" s="63">
        <v>486</v>
      </c>
      <c r="J52" s="63">
        <v>67</v>
      </c>
      <c r="K52" s="28">
        <f t="shared" si="5"/>
        <v>-2.3277777777777779</v>
      </c>
      <c r="L52" s="74">
        <f>J52</f>
        <v>67</v>
      </c>
      <c r="M52" s="74">
        <v>10</v>
      </c>
      <c r="N52" s="74">
        <v>6500</v>
      </c>
      <c r="O52" s="74">
        <v>0</v>
      </c>
      <c r="P52" s="74">
        <v>100</v>
      </c>
      <c r="Q52" s="74">
        <v>0</v>
      </c>
      <c r="R52" s="74">
        <v>10</v>
      </c>
      <c r="S52" s="80">
        <v>0</v>
      </c>
      <c r="T52" s="69"/>
      <c r="U52" s="69"/>
      <c r="V52" s="69"/>
      <c r="W52" s="69"/>
      <c r="X52" s="69"/>
      <c r="Y52" s="69"/>
    </row>
    <row r="53" spans="1:25" ht="19.5" thickBot="1">
      <c r="A53" s="23">
        <v>5</v>
      </c>
      <c r="B53" s="46" t="s">
        <v>53</v>
      </c>
      <c r="C53" s="32"/>
      <c r="D53" s="28">
        <f t="shared" si="6"/>
        <v>-103.84615384615385</v>
      </c>
      <c r="E53" s="32"/>
      <c r="F53" s="32"/>
      <c r="G53" s="74">
        <v>0</v>
      </c>
      <c r="H53" s="74">
        <v>90</v>
      </c>
      <c r="I53" s="63">
        <v>240</v>
      </c>
      <c r="J53" s="63">
        <v>32</v>
      </c>
      <c r="K53" s="28">
        <f t="shared" si="5"/>
        <v>-2.3111111111111109</v>
      </c>
      <c r="L53" s="74">
        <f>I53</f>
        <v>240</v>
      </c>
      <c r="M53" s="74">
        <v>10</v>
      </c>
      <c r="N53" s="74">
        <v>6000</v>
      </c>
      <c r="O53" s="74">
        <v>0</v>
      </c>
      <c r="P53" s="74">
        <v>100</v>
      </c>
      <c r="Q53" s="74">
        <v>0</v>
      </c>
      <c r="R53" s="74">
        <v>10</v>
      </c>
      <c r="S53" s="80">
        <v>0</v>
      </c>
      <c r="T53" s="69"/>
      <c r="U53" s="69"/>
      <c r="V53" s="69"/>
      <c r="W53" s="69"/>
      <c r="X53" s="69"/>
      <c r="Y53" s="69"/>
    </row>
    <row r="54" spans="1:25" ht="19.5" thickBot="1">
      <c r="A54" s="23">
        <v>6</v>
      </c>
      <c r="B54" s="46" t="s">
        <v>54</v>
      </c>
      <c r="C54" s="32"/>
      <c r="D54" s="28">
        <f t="shared" si="6"/>
        <v>-182.27848101265823</v>
      </c>
      <c r="E54" s="32"/>
      <c r="F54" s="32"/>
      <c r="G54" s="74">
        <v>0</v>
      </c>
      <c r="H54" s="74">
        <v>180</v>
      </c>
      <c r="I54" s="63">
        <v>480</v>
      </c>
      <c r="J54" s="63">
        <v>6</v>
      </c>
      <c r="K54" s="28">
        <f t="shared" si="5"/>
        <v>-2.6333333333333333</v>
      </c>
      <c r="L54" s="74">
        <f>J54</f>
        <v>6</v>
      </c>
      <c r="M54" s="74">
        <v>10</v>
      </c>
      <c r="N54" s="74">
        <v>-6500</v>
      </c>
      <c r="O54" s="74">
        <v>0</v>
      </c>
      <c r="P54" s="74">
        <v>100</v>
      </c>
      <c r="Q54" s="74">
        <v>0</v>
      </c>
      <c r="R54" s="74">
        <v>10</v>
      </c>
      <c r="S54" s="80">
        <v>0</v>
      </c>
      <c r="T54" s="69"/>
      <c r="U54" s="69"/>
      <c r="V54" s="69"/>
      <c r="W54" s="69"/>
      <c r="X54" s="69"/>
      <c r="Y54" s="69"/>
    </row>
    <row r="55" spans="1:25" ht="19.5" thickBot="1">
      <c r="A55" s="23">
        <v>7</v>
      </c>
      <c r="B55" s="46" t="s">
        <v>55</v>
      </c>
      <c r="C55" s="32"/>
      <c r="D55" s="28">
        <f t="shared" si="6"/>
        <v>-316.23287671232879</v>
      </c>
      <c r="E55" s="32"/>
      <c r="F55" s="32"/>
      <c r="G55" s="74">
        <v>0</v>
      </c>
      <c r="H55" s="74">
        <v>270</v>
      </c>
      <c r="I55" s="63">
        <v>684</v>
      </c>
      <c r="J55" s="63">
        <v>100</v>
      </c>
      <c r="K55" s="28">
        <f t="shared" si="5"/>
        <v>-2.162962962962963</v>
      </c>
      <c r="L55" s="74">
        <f>I55</f>
        <v>684</v>
      </c>
      <c r="M55" s="74">
        <v>10</v>
      </c>
      <c r="N55" s="74">
        <v>26000</v>
      </c>
      <c r="O55" s="74">
        <v>0</v>
      </c>
      <c r="P55" s="74">
        <v>100</v>
      </c>
      <c r="Q55" s="74">
        <v>0</v>
      </c>
      <c r="R55" s="74">
        <v>10</v>
      </c>
      <c r="S55" s="80">
        <v>0</v>
      </c>
    </row>
    <row r="56" spans="1:25" ht="18.75">
      <c r="B56" s="59"/>
      <c r="C56" s="32"/>
      <c r="D56" s="32"/>
      <c r="E56" s="60"/>
      <c r="F56" s="60"/>
      <c r="G56" s="59"/>
      <c r="H56" s="59"/>
      <c r="I56" s="59"/>
      <c r="J56" s="59"/>
      <c r="K56" s="59"/>
      <c r="L56" s="59"/>
      <c r="M56" s="59"/>
      <c r="N56" s="59"/>
      <c r="O56" s="59"/>
      <c r="P56" s="59"/>
    </row>
    <row r="57" spans="1:25" ht="21.75" thickBot="1">
      <c r="B57" s="55" t="s">
        <v>56</v>
      </c>
      <c r="C57" s="56"/>
      <c r="D57" s="56"/>
      <c r="E57" s="57"/>
      <c r="F57" s="57"/>
      <c r="G57" s="56"/>
      <c r="H57" s="56"/>
      <c r="I57" s="56"/>
      <c r="J57" s="56"/>
      <c r="K57" s="56"/>
      <c r="L57" s="56"/>
      <c r="M57" s="56"/>
      <c r="N57" s="56"/>
      <c r="O57" s="56"/>
      <c r="P57" s="58"/>
      <c r="Q57" s="56"/>
      <c r="R57" s="58"/>
      <c r="S57" s="41"/>
      <c r="T57" s="41"/>
      <c r="U57" s="41"/>
      <c r="V57" s="41"/>
      <c r="W57" s="41"/>
      <c r="X57" s="41"/>
      <c r="Y57" s="41"/>
    </row>
    <row r="58" spans="1:25" ht="51.75" customHeight="1">
      <c r="A58" s="79" t="s">
        <v>1</v>
      </c>
      <c r="B58" s="79" t="s">
        <v>2</v>
      </c>
      <c r="C58" s="79" t="s">
        <v>38</v>
      </c>
      <c r="D58" s="79" t="s">
        <v>4</v>
      </c>
      <c r="E58" s="79" t="s">
        <v>5</v>
      </c>
      <c r="F58" s="79" t="s">
        <v>162</v>
      </c>
      <c r="G58" s="79" t="s">
        <v>6</v>
      </c>
      <c r="H58" s="79" t="s">
        <v>7</v>
      </c>
      <c r="I58" s="79" t="s">
        <v>8</v>
      </c>
      <c r="J58" s="79" t="s">
        <v>9</v>
      </c>
      <c r="K58" s="79" t="s">
        <v>10</v>
      </c>
      <c r="L58" s="79" t="s">
        <v>11</v>
      </c>
      <c r="M58" s="79" t="s">
        <v>12</v>
      </c>
      <c r="N58" s="79" t="s">
        <v>13</v>
      </c>
      <c r="O58" s="79" t="s">
        <v>249</v>
      </c>
      <c r="P58" s="79" t="s">
        <v>250</v>
      </c>
      <c r="Q58" s="79" t="s">
        <v>206</v>
      </c>
      <c r="R58" s="79" t="s">
        <v>207</v>
      </c>
      <c r="S58" s="79" t="s">
        <v>284</v>
      </c>
      <c r="T58" s="43" t="s">
        <v>289</v>
      </c>
      <c r="U58" s="43" t="s">
        <v>290</v>
      </c>
      <c r="V58" s="43" t="s">
        <v>291</v>
      </c>
      <c r="W58" s="81" t="s">
        <v>292</v>
      </c>
      <c r="X58" s="81" t="s">
        <v>293</v>
      </c>
      <c r="Y58" s="81" t="s">
        <v>294</v>
      </c>
    </row>
    <row r="59" spans="1:25" ht="18.75">
      <c r="A59" s="27">
        <v>0</v>
      </c>
      <c r="B59" s="46" t="s">
        <v>57</v>
      </c>
      <c r="C59" s="24">
        <v>197.2</v>
      </c>
      <c r="D59" s="25">
        <v>180</v>
      </c>
      <c r="E59" s="71">
        <f>(ABS(C59)-ABS(D59))</f>
        <v>17.199999999999989</v>
      </c>
      <c r="F59" s="71">
        <f>IF(E59&gt;=0,(E59*11.375),(360+E59)*11.375)</f>
        <v>195.64999999999986</v>
      </c>
      <c r="G59" s="76">
        <v>-95.5</v>
      </c>
      <c r="H59" s="76">
        <v>10</v>
      </c>
      <c r="I59" s="52"/>
      <c r="J59" s="52"/>
      <c r="K59" s="53">
        <v>11.375</v>
      </c>
      <c r="L59" s="69">
        <f>(D59-30)*K59</f>
        <v>1706.25</v>
      </c>
      <c r="M59" s="69">
        <v>10</v>
      </c>
      <c r="N59" s="69">
        <f>+F59</f>
        <v>195.64999999999986</v>
      </c>
      <c r="O59" s="69">
        <v>-30</v>
      </c>
      <c r="P59" s="69">
        <v>10</v>
      </c>
      <c r="Q59" s="69">
        <v>-30</v>
      </c>
      <c r="R59" s="69">
        <v>10</v>
      </c>
      <c r="S59" s="70">
        <v>0</v>
      </c>
      <c r="T59" s="69"/>
      <c r="U59" s="69"/>
      <c r="V59" s="69"/>
      <c r="W59" s="69"/>
      <c r="X59" s="69"/>
      <c r="Y59" s="69"/>
    </row>
    <row r="60" spans="1:25" ht="18.75">
      <c r="A60" s="23">
        <v>1</v>
      </c>
      <c r="B60" s="46" t="s">
        <v>58</v>
      </c>
      <c r="C60" s="24">
        <v>83.4</v>
      </c>
      <c r="D60" s="25">
        <f>45</f>
        <v>45</v>
      </c>
      <c r="E60" s="71">
        <f>(ABS(C60)-ABS(D60))</f>
        <v>38.400000000000006</v>
      </c>
      <c r="F60" s="71">
        <f>IF(E60&gt;=0,(E60*11.375),(360+E60)*11.375)</f>
        <v>436.80000000000007</v>
      </c>
      <c r="G60" s="76">
        <v>0</v>
      </c>
      <c r="H60" s="76">
        <v>161</v>
      </c>
      <c r="I60" s="52"/>
      <c r="J60" s="52"/>
      <c r="K60" s="53">
        <v>11.375</v>
      </c>
      <c r="L60" s="69">
        <f>(D60+30)*K60</f>
        <v>853.125</v>
      </c>
      <c r="M60" s="69">
        <v>10</v>
      </c>
      <c r="N60" s="69">
        <f>+F60</f>
        <v>436.80000000000007</v>
      </c>
      <c r="O60" s="69">
        <v>30</v>
      </c>
      <c r="P60" s="69">
        <v>10</v>
      </c>
      <c r="Q60" s="69">
        <v>30</v>
      </c>
      <c r="R60" s="69">
        <v>10</v>
      </c>
      <c r="S60" s="70">
        <v>0</v>
      </c>
      <c r="T60" s="69"/>
      <c r="U60" s="69"/>
      <c r="V60" s="69"/>
      <c r="W60" s="69"/>
      <c r="X60" s="69"/>
      <c r="Y60" s="69"/>
    </row>
    <row r="61" spans="1:25" ht="18.75">
      <c r="A61" s="23">
        <v>2</v>
      </c>
      <c r="B61" s="46" t="s">
        <v>59</v>
      </c>
      <c r="C61" s="54">
        <v>318.10000000000002</v>
      </c>
      <c r="D61" s="25">
        <f>L61/K61</f>
        <v>245.74218089602704</v>
      </c>
      <c r="E61" s="72">
        <f>ABS((+C61/(40/65)-(C59-C60)/(40/65)))-ABS(180)</f>
        <v>151.98750000000007</v>
      </c>
      <c r="F61" s="72">
        <f>IF(E61&gt;=0,(E61*11.375),(360+E61)*11.375)</f>
        <v>1728.8578125000008</v>
      </c>
      <c r="G61" s="76">
        <v>-37</v>
      </c>
      <c r="H61" s="76">
        <v>80</v>
      </c>
      <c r="I61" s="52"/>
      <c r="J61" s="52"/>
      <c r="K61" s="53">
        <v>11.375</v>
      </c>
      <c r="L61" s="75">
        <f>2047*40/65+((D59*K59)-(D60*K60))</f>
        <v>2795.3173076923076</v>
      </c>
      <c r="M61" s="69">
        <v>10</v>
      </c>
      <c r="N61" s="69">
        <f>F61</f>
        <v>1728.8578125000008</v>
      </c>
      <c r="O61" s="74">
        <v>0</v>
      </c>
      <c r="P61" s="69">
        <v>10</v>
      </c>
      <c r="Q61" s="74">
        <v>0</v>
      </c>
      <c r="R61" s="69">
        <v>10</v>
      </c>
      <c r="S61" s="70">
        <v>0</v>
      </c>
      <c r="T61" s="69"/>
      <c r="U61" s="69"/>
      <c r="V61" s="69"/>
      <c r="W61" s="69"/>
      <c r="X61" s="69"/>
      <c r="Y61" s="69"/>
    </row>
    <row r="62" spans="1:25" ht="18.75">
      <c r="A62" s="23">
        <v>3</v>
      </c>
      <c r="B62" s="46" t="s">
        <v>60</v>
      </c>
      <c r="C62" s="24">
        <v>40.9</v>
      </c>
      <c r="D62" s="25">
        <v>180</v>
      </c>
      <c r="E62" s="71">
        <f>(ABS(C62)-ABS(D62))</f>
        <v>-139.1</v>
      </c>
      <c r="F62" s="71">
        <f>IF(E62&gt;=0,(E62*11.375),(360+E62)*11.375)</f>
        <v>2512.7375000000002</v>
      </c>
      <c r="G62" s="76">
        <v>15</v>
      </c>
      <c r="H62" s="76">
        <v>106</v>
      </c>
      <c r="I62" s="52"/>
      <c r="J62" s="52"/>
      <c r="K62" s="53">
        <v>11.375</v>
      </c>
      <c r="L62" s="74">
        <v>2558</v>
      </c>
      <c r="M62" s="69">
        <v>10</v>
      </c>
      <c r="N62" s="69">
        <f>+F62</f>
        <v>2512.7375000000002</v>
      </c>
      <c r="O62" s="69">
        <v>45</v>
      </c>
      <c r="P62" s="69">
        <v>10</v>
      </c>
      <c r="Q62" s="69">
        <v>45</v>
      </c>
      <c r="R62" s="69">
        <v>10</v>
      </c>
      <c r="S62" s="70">
        <v>0</v>
      </c>
      <c r="T62" s="69"/>
      <c r="U62" s="69"/>
      <c r="V62" s="69"/>
      <c r="W62" s="69"/>
      <c r="X62" s="69"/>
      <c r="Y62" s="69"/>
    </row>
    <row r="63" spans="1:25" ht="18.75">
      <c r="A63" s="23">
        <v>4</v>
      </c>
      <c r="B63" s="46" t="s">
        <v>61</v>
      </c>
      <c r="C63" s="33"/>
      <c r="D63" s="26">
        <v>90</v>
      </c>
      <c r="E63" s="32"/>
      <c r="F63" s="32"/>
      <c r="G63" s="78">
        <v>-90</v>
      </c>
      <c r="H63" s="78">
        <v>90</v>
      </c>
      <c r="I63" s="32"/>
      <c r="J63" s="32"/>
      <c r="K63" s="53">
        <f>706.67</f>
        <v>706.67</v>
      </c>
      <c r="L63" s="69">
        <v>550</v>
      </c>
      <c r="M63" s="69">
        <v>-20</v>
      </c>
      <c r="N63" s="69">
        <v>0</v>
      </c>
      <c r="O63" s="69">
        <v>0</v>
      </c>
      <c r="P63" s="69">
        <v>30</v>
      </c>
      <c r="Q63" s="69">
        <v>0</v>
      </c>
      <c r="R63" s="69">
        <v>30</v>
      </c>
      <c r="S63" s="70">
        <v>0</v>
      </c>
      <c r="T63" s="69"/>
      <c r="U63" s="69"/>
      <c r="V63" s="69"/>
      <c r="W63" s="69"/>
      <c r="X63" s="69"/>
      <c r="Y63" s="69"/>
    </row>
    <row r="64" spans="1:25" ht="18.75">
      <c r="A64" s="23">
        <v>5</v>
      </c>
      <c r="B64" s="46" t="s">
        <v>62</v>
      </c>
      <c r="C64" s="32"/>
      <c r="D64" s="26">
        <v>-20</v>
      </c>
      <c r="E64" s="32"/>
      <c r="F64" s="32"/>
      <c r="G64" s="78">
        <v>-90</v>
      </c>
      <c r="H64" s="78">
        <v>0</v>
      </c>
      <c r="I64" s="32"/>
      <c r="J64" s="32"/>
      <c r="K64" s="53">
        <v>978.46</v>
      </c>
      <c r="L64" s="69">
        <v>750</v>
      </c>
      <c r="M64" s="69">
        <v>10</v>
      </c>
      <c r="N64" s="69">
        <v>0</v>
      </c>
      <c r="O64" s="69">
        <v>0</v>
      </c>
      <c r="P64" s="69">
        <v>30</v>
      </c>
      <c r="Q64" s="69">
        <v>0</v>
      </c>
      <c r="R64" s="69">
        <v>30</v>
      </c>
      <c r="S64" s="70">
        <v>0</v>
      </c>
      <c r="T64" s="69"/>
      <c r="U64" s="69"/>
      <c r="V64" s="69"/>
      <c r="W64" s="69"/>
      <c r="X64" s="69"/>
      <c r="Y64" s="69"/>
    </row>
    <row r="65" spans="1:25" ht="18.75">
      <c r="A65" s="23">
        <v>6</v>
      </c>
      <c r="B65" s="46" t="s">
        <v>63</v>
      </c>
      <c r="C65" s="32"/>
      <c r="D65" s="26">
        <v>-52</v>
      </c>
      <c r="E65" s="32"/>
      <c r="F65" s="32"/>
      <c r="G65" s="78">
        <v>-20</v>
      </c>
      <c r="H65" s="78">
        <v>40</v>
      </c>
      <c r="I65" s="32"/>
      <c r="J65" s="32"/>
      <c r="K65" s="53">
        <v>978.46</v>
      </c>
      <c r="L65" s="69">
        <v>750</v>
      </c>
      <c r="M65" s="69">
        <v>10</v>
      </c>
      <c r="N65" s="69">
        <v>0</v>
      </c>
      <c r="O65" s="69">
        <v>0</v>
      </c>
      <c r="P65" s="69">
        <v>30</v>
      </c>
      <c r="Q65" s="69">
        <v>40</v>
      </c>
      <c r="R65" s="69">
        <v>30</v>
      </c>
      <c r="S65" s="70">
        <v>0</v>
      </c>
      <c r="T65" s="69"/>
      <c r="U65" s="69"/>
      <c r="V65" s="69"/>
      <c r="W65" s="69"/>
      <c r="X65" s="69"/>
      <c r="Y65" s="69"/>
    </row>
    <row r="66" spans="1:25" ht="18.75">
      <c r="A66" s="23">
        <v>7</v>
      </c>
      <c r="B66" s="46" t="s">
        <v>64</v>
      </c>
      <c r="C66" s="32"/>
      <c r="D66" s="26">
        <f>IF(K66&gt;0,+I66/K66+G66,+I66/K66-G66)</f>
        <v>603.15789473684208</v>
      </c>
      <c r="E66" s="32"/>
      <c r="F66" s="32"/>
      <c r="G66" s="69">
        <v>0</v>
      </c>
      <c r="H66" s="69">
        <v>60</v>
      </c>
      <c r="I66" s="82">
        <v>1910</v>
      </c>
      <c r="J66" s="82">
        <v>2100</v>
      </c>
      <c r="K66" s="53">
        <f>(J66-I66)/(H66-G66)</f>
        <v>3.1666666666666665</v>
      </c>
      <c r="L66" s="69">
        <f>ABS(+D66*K66)</f>
        <v>1909.9999999999998</v>
      </c>
      <c r="M66" s="69">
        <v>100</v>
      </c>
      <c r="N66" s="69">
        <v>0</v>
      </c>
      <c r="O66" s="74">
        <v>0</v>
      </c>
      <c r="P66" s="69">
        <v>100</v>
      </c>
      <c r="Q66" s="74">
        <v>0</v>
      </c>
      <c r="R66" s="69">
        <v>100</v>
      </c>
      <c r="S66" s="70">
        <v>0</v>
      </c>
    </row>
    <row r="67" spans="1:25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25" ht="21.75" thickBot="1">
      <c r="B68" s="48" t="s">
        <v>65</v>
      </c>
      <c r="C68" s="49"/>
      <c r="D68" s="49"/>
      <c r="E68" s="50"/>
      <c r="F68" s="50"/>
      <c r="G68" s="49"/>
      <c r="H68" s="49"/>
      <c r="I68" s="49"/>
      <c r="J68" s="49"/>
      <c r="K68" s="49"/>
      <c r="L68" s="49"/>
      <c r="M68" s="49"/>
      <c r="N68" s="49"/>
      <c r="O68" s="49"/>
      <c r="P68" s="51"/>
      <c r="Q68" s="49"/>
      <c r="R68" s="51"/>
      <c r="S68" s="68"/>
      <c r="T68" s="41"/>
      <c r="U68" s="41"/>
      <c r="V68" s="41"/>
      <c r="W68" s="41"/>
      <c r="X68" s="41"/>
      <c r="Y68" s="41"/>
    </row>
    <row r="69" spans="1:25" ht="36.75" customHeight="1">
      <c r="A69" s="79" t="s">
        <v>1</v>
      </c>
      <c r="B69" s="79" t="s">
        <v>2</v>
      </c>
      <c r="C69" s="79" t="s">
        <v>38</v>
      </c>
      <c r="D69" s="79" t="s">
        <v>4</v>
      </c>
      <c r="E69" s="79" t="s">
        <v>5</v>
      </c>
      <c r="F69" s="79" t="s">
        <v>162</v>
      </c>
      <c r="G69" s="79" t="s">
        <v>6</v>
      </c>
      <c r="H69" s="79" t="s">
        <v>7</v>
      </c>
      <c r="I69" s="79" t="s">
        <v>8</v>
      </c>
      <c r="J69" s="79" t="s">
        <v>9</v>
      </c>
      <c r="K69" s="79" t="s">
        <v>10</v>
      </c>
      <c r="L69" s="79" t="s">
        <v>11</v>
      </c>
      <c r="M69" s="79" t="s">
        <v>12</v>
      </c>
      <c r="N69" s="79" t="s">
        <v>13</v>
      </c>
      <c r="O69" s="79" t="s">
        <v>249</v>
      </c>
      <c r="P69" s="79" t="s">
        <v>250</v>
      </c>
      <c r="Q69" s="79" t="s">
        <v>206</v>
      </c>
      <c r="R69" s="79" t="s">
        <v>207</v>
      </c>
      <c r="S69" s="79"/>
      <c r="T69" s="43" t="s">
        <v>289</v>
      </c>
      <c r="U69" s="43" t="s">
        <v>290</v>
      </c>
      <c r="V69" s="43" t="s">
        <v>291</v>
      </c>
      <c r="W69" s="81" t="s">
        <v>292</v>
      </c>
      <c r="X69" s="81" t="s">
        <v>293</v>
      </c>
      <c r="Y69" s="81" t="s">
        <v>294</v>
      </c>
    </row>
    <row r="70" spans="1:25" ht="18.75">
      <c r="A70" s="27">
        <v>0</v>
      </c>
      <c r="B70" s="46" t="s">
        <v>66</v>
      </c>
      <c r="C70" s="32"/>
      <c r="D70" s="28">
        <f>IF(K70&gt;0,+I70/K70-G70,+I70/K70+G70)</f>
        <v>39.429892141756547</v>
      </c>
      <c r="E70" s="32"/>
      <c r="F70" s="32"/>
      <c r="G70" s="74">
        <v>-10</v>
      </c>
      <c r="H70" s="74">
        <v>90</v>
      </c>
      <c r="I70" s="40">
        <v>382</v>
      </c>
      <c r="J70" s="40">
        <v>1680</v>
      </c>
      <c r="K70" s="28">
        <f t="shared" ref="K70:K77" si="7">(J70-I70)/(H70-G70)</f>
        <v>12.98</v>
      </c>
      <c r="L70" s="69">
        <f>ABS(D70*K70)</f>
        <v>511.8</v>
      </c>
      <c r="M70" s="74">
        <v>10</v>
      </c>
      <c r="N70" s="74">
        <v>0</v>
      </c>
      <c r="O70" s="74">
        <v>0</v>
      </c>
      <c r="P70" s="74">
        <v>100</v>
      </c>
      <c r="Q70" s="74">
        <v>0</v>
      </c>
      <c r="R70" s="74">
        <v>10</v>
      </c>
      <c r="S70" s="80">
        <v>0</v>
      </c>
      <c r="T70" s="69"/>
      <c r="U70" s="69"/>
      <c r="V70" s="69"/>
      <c r="W70" s="69"/>
      <c r="X70" s="69"/>
      <c r="Y70" s="69"/>
    </row>
    <row r="71" spans="1:25" ht="19.5" thickBot="1">
      <c r="A71" s="23">
        <v>1</v>
      </c>
      <c r="B71" s="46" t="s">
        <v>67</v>
      </c>
      <c r="C71" s="32"/>
      <c r="D71" s="28">
        <f t="shared" ref="D71:D77" si="8">-G71+(+I71/K71)</f>
        <v>-90</v>
      </c>
      <c r="E71" s="32"/>
      <c r="F71" s="32"/>
      <c r="G71" s="74">
        <v>0</v>
      </c>
      <c r="H71" s="74">
        <v>90</v>
      </c>
      <c r="I71" s="63">
        <v>230</v>
      </c>
      <c r="J71" s="63">
        <v>0</v>
      </c>
      <c r="K71" s="28">
        <f t="shared" si="7"/>
        <v>-2.5555555555555554</v>
      </c>
      <c r="L71" s="74">
        <f>I71</f>
        <v>230</v>
      </c>
      <c r="M71" s="74">
        <v>10</v>
      </c>
      <c r="N71" s="74">
        <v>6000</v>
      </c>
      <c r="O71" s="74">
        <v>0</v>
      </c>
      <c r="P71" s="74">
        <v>100</v>
      </c>
      <c r="Q71" s="74">
        <v>0</v>
      </c>
      <c r="R71" s="74">
        <v>10</v>
      </c>
      <c r="S71" s="80">
        <v>0</v>
      </c>
      <c r="T71" s="69"/>
      <c r="U71" s="69"/>
      <c r="V71" s="69"/>
      <c r="W71" s="69"/>
      <c r="X71" s="69"/>
      <c r="Y71" s="69"/>
    </row>
    <row r="72" spans="1:25" ht="19.5" thickBot="1">
      <c r="A72" s="23">
        <v>2</v>
      </c>
      <c r="B72" s="46" t="s">
        <v>68</v>
      </c>
      <c r="C72" s="32"/>
      <c r="D72" s="28">
        <f t="shared" si="8"/>
        <v>-194.48275862068968</v>
      </c>
      <c r="E72" s="32"/>
      <c r="F72" s="32"/>
      <c r="G72" s="74">
        <v>0</v>
      </c>
      <c r="H72" s="74">
        <v>180</v>
      </c>
      <c r="I72" s="63">
        <v>470</v>
      </c>
      <c r="J72" s="63">
        <v>35</v>
      </c>
      <c r="K72" s="28">
        <f t="shared" si="7"/>
        <v>-2.4166666666666665</v>
      </c>
      <c r="L72" s="74">
        <f>+J72</f>
        <v>35</v>
      </c>
      <c r="M72" s="74">
        <v>10</v>
      </c>
      <c r="N72" s="74">
        <v>6600</v>
      </c>
      <c r="O72" s="74">
        <v>0</v>
      </c>
      <c r="P72" s="74">
        <v>100</v>
      </c>
      <c r="Q72" s="74">
        <v>0</v>
      </c>
      <c r="R72" s="74">
        <v>10</v>
      </c>
      <c r="S72" s="80">
        <v>0</v>
      </c>
      <c r="T72" s="69"/>
      <c r="U72" s="69"/>
      <c r="V72" s="69"/>
      <c r="W72" s="69"/>
      <c r="X72" s="69"/>
      <c r="Y72" s="69"/>
    </row>
    <row r="73" spans="1:25" ht="19.5" thickBot="1">
      <c r="A73" s="23">
        <v>3</v>
      </c>
      <c r="B73" s="46" t="s">
        <v>69</v>
      </c>
      <c r="C73" s="32"/>
      <c r="D73" s="28">
        <f t="shared" si="8"/>
        <v>-90</v>
      </c>
      <c r="E73" s="32"/>
      <c r="F73" s="32"/>
      <c r="G73" s="74">
        <v>0</v>
      </c>
      <c r="H73" s="74">
        <v>90</v>
      </c>
      <c r="I73" s="63">
        <v>224</v>
      </c>
      <c r="J73" s="63">
        <v>0</v>
      </c>
      <c r="K73" s="28">
        <f t="shared" si="7"/>
        <v>-2.4888888888888889</v>
      </c>
      <c r="L73" s="74">
        <f>I73</f>
        <v>224</v>
      </c>
      <c r="M73" s="74">
        <v>10</v>
      </c>
      <c r="N73" s="74">
        <v>6000</v>
      </c>
      <c r="O73" s="74">
        <v>0</v>
      </c>
      <c r="P73" s="74">
        <v>100</v>
      </c>
      <c r="Q73" s="74">
        <v>0</v>
      </c>
      <c r="R73" s="74">
        <v>10</v>
      </c>
      <c r="S73" s="80">
        <v>0</v>
      </c>
      <c r="T73" s="69"/>
      <c r="U73" s="69"/>
      <c r="V73" s="69"/>
      <c r="W73" s="69"/>
      <c r="X73" s="69"/>
      <c r="Y73" s="69"/>
    </row>
    <row r="74" spans="1:25" ht="19.5" thickBot="1">
      <c r="A74" s="23">
        <v>4</v>
      </c>
      <c r="B74" s="46" t="s">
        <v>70</v>
      </c>
      <c r="C74" s="32"/>
      <c r="D74" s="28">
        <f t="shared" si="8"/>
        <v>-187.67590618336885</v>
      </c>
      <c r="E74" s="32"/>
      <c r="F74" s="32"/>
      <c r="G74" s="74">
        <v>0</v>
      </c>
      <c r="H74" s="74">
        <v>180</v>
      </c>
      <c r="I74" s="63">
        <v>489</v>
      </c>
      <c r="J74" s="63">
        <v>20</v>
      </c>
      <c r="K74" s="28">
        <f t="shared" si="7"/>
        <v>-2.6055555555555556</v>
      </c>
      <c r="L74" s="74">
        <f>+J74</f>
        <v>20</v>
      </c>
      <c r="M74" s="74">
        <v>10</v>
      </c>
      <c r="N74" s="74">
        <v>-6600</v>
      </c>
      <c r="O74" s="74">
        <v>0</v>
      </c>
      <c r="P74" s="74">
        <v>100</v>
      </c>
      <c r="Q74" s="74">
        <v>0</v>
      </c>
      <c r="R74" s="74">
        <v>10</v>
      </c>
      <c r="S74" s="80">
        <v>0</v>
      </c>
      <c r="T74" s="69"/>
      <c r="U74" s="69"/>
      <c r="V74" s="69"/>
      <c r="W74" s="69"/>
      <c r="X74" s="69"/>
      <c r="Y74" s="69"/>
    </row>
    <row r="75" spans="1:25" ht="19.5" thickBot="1">
      <c r="A75" s="23">
        <v>5</v>
      </c>
      <c r="B75" s="46" t="s">
        <v>71</v>
      </c>
      <c r="C75" s="32"/>
      <c r="D75" s="28">
        <f t="shared" si="8"/>
        <v>-92.027027027027017</v>
      </c>
      <c r="E75" s="32"/>
      <c r="F75" s="32"/>
      <c r="G75" s="74">
        <v>0</v>
      </c>
      <c r="H75" s="74">
        <v>90</v>
      </c>
      <c r="I75" s="63">
        <v>227</v>
      </c>
      <c r="J75" s="63">
        <v>5</v>
      </c>
      <c r="K75" s="28">
        <f t="shared" si="7"/>
        <v>-2.4666666666666668</v>
      </c>
      <c r="L75" s="74">
        <f>I75</f>
        <v>227</v>
      </c>
      <c r="M75" s="74">
        <v>10</v>
      </c>
      <c r="N75" s="74">
        <v>6000</v>
      </c>
      <c r="O75" s="74">
        <v>0</v>
      </c>
      <c r="P75" s="74">
        <v>100</v>
      </c>
      <c r="Q75" s="74">
        <v>0</v>
      </c>
      <c r="R75" s="74">
        <v>10</v>
      </c>
      <c r="S75" s="80">
        <v>0</v>
      </c>
      <c r="T75" s="69"/>
      <c r="U75" s="69"/>
      <c r="V75" s="69"/>
      <c r="W75" s="69"/>
      <c r="X75" s="69"/>
      <c r="Y75" s="69"/>
    </row>
    <row r="76" spans="1:25" ht="19.5" thickBot="1">
      <c r="A76" s="23">
        <v>6</v>
      </c>
      <c r="B76" s="46" t="s">
        <v>72</v>
      </c>
      <c r="C76" s="32"/>
      <c r="D76" s="28">
        <f t="shared" si="8"/>
        <v>-202.85714285714283</v>
      </c>
      <c r="E76" s="32"/>
      <c r="F76" s="32"/>
      <c r="G76" s="74">
        <v>0</v>
      </c>
      <c r="H76" s="74">
        <v>180</v>
      </c>
      <c r="I76" s="63">
        <v>497</v>
      </c>
      <c r="J76" s="63">
        <v>56</v>
      </c>
      <c r="K76" s="28">
        <f t="shared" si="7"/>
        <v>-2.4500000000000002</v>
      </c>
      <c r="L76" s="74">
        <f>J76</f>
        <v>56</v>
      </c>
      <c r="M76" s="74">
        <v>10</v>
      </c>
      <c r="N76" s="74">
        <v>6600</v>
      </c>
      <c r="O76" s="74">
        <v>0</v>
      </c>
      <c r="P76" s="74">
        <v>100</v>
      </c>
      <c r="Q76" s="74">
        <v>0</v>
      </c>
      <c r="R76" s="74">
        <v>10</v>
      </c>
      <c r="S76" s="80">
        <v>0</v>
      </c>
      <c r="T76" s="69"/>
      <c r="U76" s="69"/>
      <c r="V76" s="69"/>
      <c r="W76" s="69"/>
      <c r="X76" s="69"/>
      <c r="Y76" s="69"/>
    </row>
    <row r="77" spans="1:25" ht="19.5" thickBot="1">
      <c r="A77" s="23">
        <v>7</v>
      </c>
      <c r="B77" s="46" t="s">
        <v>73</v>
      </c>
      <c r="C77" s="32"/>
      <c r="D77" s="28">
        <f t="shared" si="8"/>
        <v>-300.54298642533934</v>
      </c>
      <c r="E77" s="32"/>
      <c r="F77" s="32"/>
      <c r="G77" s="74">
        <v>0</v>
      </c>
      <c r="H77" s="74">
        <v>270</v>
      </c>
      <c r="I77" s="63">
        <v>738</v>
      </c>
      <c r="J77" s="63">
        <v>75</v>
      </c>
      <c r="K77" s="28">
        <f t="shared" si="7"/>
        <v>-2.4555555555555557</v>
      </c>
      <c r="L77" s="74">
        <v>738</v>
      </c>
      <c r="M77" s="74">
        <v>10</v>
      </c>
      <c r="N77" s="74">
        <v>26000</v>
      </c>
      <c r="O77" s="74">
        <v>0</v>
      </c>
      <c r="P77" s="74">
        <v>100</v>
      </c>
      <c r="Q77" s="74">
        <v>0</v>
      </c>
      <c r="R77" s="74">
        <v>10</v>
      </c>
      <c r="S77" s="80">
        <v>0</v>
      </c>
      <c r="T77" s="69"/>
      <c r="U77" s="69"/>
      <c r="V77" s="69"/>
      <c r="W77" s="69"/>
      <c r="X77" s="69"/>
      <c r="Y77" s="69"/>
    </row>
    <row r="78" spans="1:25">
      <c r="C78" s="3"/>
      <c r="D78" s="3"/>
      <c r="E78" s="10"/>
      <c r="F78" s="10"/>
    </row>
    <row r="79" spans="1:25">
      <c r="C79" s="3"/>
      <c r="D79" s="3"/>
    </row>
    <row r="80" spans="1:25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287</v>
      </c>
    </row>
    <row r="84" spans="1:5">
      <c r="C84" s="3"/>
      <c r="D84" s="3"/>
    </row>
    <row r="85" spans="1:5">
      <c r="B85" s="13"/>
      <c r="C85" s="3"/>
      <c r="D85" s="3" t="s">
        <v>75</v>
      </c>
    </row>
    <row r="86" spans="1:5">
      <c r="C86" s="3"/>
      <c r="D86" s="3"/>
    </row>
    <row r="87" spans="1:5">
      <c r="B87" s="73"/>
      <c r="D87" s="1" t="s">
        <v>288</v>
      </c>
    </row>
    <row r="89" spans="1:5">
      <c r="B89" s="14"/>
      <c r="C89" s="3"/>
      <c r="D89" s="3" t="s">
        <v>164</v>
      </c>
    </row>
    <row r="90" spans="1:5">
      <c r="C90" s="3"/>
      <c r="D90" s="3"/>
    </row>
    <row r="91" spans="1:5">
      <c r="B91" s="15"/>
      <c r="C91" s="3"/>
      <c r="D91" s="3" t="s">
        <v>76</v>
      </c>
    </row>
    <row r="92" spans="1:5" ht="21">
      <c r="A92" s="65" t="s">
        <v>163</v>
      </c>
      <c r="B92" s="65"/>
      <c r="C92" s="3"/>
      <c r="D92" s="3"/>
    </row>
    <row r="93" spans="1:5" ht="21">
      <c r="A93" s="65" t="s">
        <v>285</v>
      </c>
      <c r="B93" s="65"/>
      <c r="C93" s="3"/>
      <c r="D93" s="3"/>
    </row>
    <row r="94" spans="1:5" ht="21">
      <c r="A94" s="66" t="s">
        <v>282</v>
      </c>
      <c r="B94" s="65"/>
      <c r="C94" s="3"/>
      <c r="D94" s="3"/>
    </row>
    <row r="95" spans="1:5" ht="15.75" thickBot="1">
      <c r="C95" s="3"/>
      <c r="D95" s="3"/>
    </row>
    <row r="96" spans="1:5" ht="21.75" thickBot="1">
      <c r="A96" s="39" t="s">
        <v>165</v>
      </c>
      <c r="B96" s="38" t="s">
        <v>295</v>
      </c>
      <c r="C96" s="36"/>
      <c r="D96" s="36"/>
      <c r="E96" s="37"/>
    </row>
    <row r="97" spans="2:17">
      <c r="C97" s="3"/>
      <c r="D97" s="3"/>
    </row>
    <row r="98" spans="2:17">
      <c r="C98" s="3"/>
      <c r="D98" s="3"/>
    </row>
    <row r="99" spans="2:17">
      <c r="B99" s="3"/>
      <c r="C99" s="3"/>
      <c r="D99" s="3"/>
      <c r="E99" s="10"/>
      <c r="F99" s="10"/>
    </row>
    <row r="100" spans="2:17">
      <c r="B100" s="3"/>
      <c r="C100" s="3"/>
      <c r="D100" s="3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</row>
    <row r="101" spans="2:17">
      <c r="B101" s="3"/>
      <c r="C101" s="3"/>
      <c r="D101" s="3"/>
      <c r="E101" s="10"/>
      <c r="F101" s="10"/>
    </row>
    <row r="102" spans="2:17">
      <c r="B102" s="3"/>
      <c r="C102" s="3"/>
      <c r="D102" s="3"/>
      <c r="E102" s="10"/>
      <c r="F102" s="10"/>
    </row>
    <row r="103" spans="2:17">
      <c r="B103" s="3"/>
      <c r="C103" s="3"/>
      <c r="D103" s="3"/>
      <c r="E103" s="10"/>
      <c r="F103" s="10"/>
    </row>
    <row r="104" spans="2:17">
      <c r="B104" s="3"/>
      <c r="C104" s="3"/>
      <c r="D104" s="3"/>
      <c r="E104" s="10"/>
      <c r="F104" s="10"/>
    </row>
    <row r="105" spans="2:17">
      <c r="B105" s="3"/>
      <c r="C105" s="3"/>
      <c r="D105" s="3"/>
      <c r="E105" s="10"/>
      <c r="F105" s="10"/>
    </row>
    <row r="106" spans="2:17">
      <c r="B106" s="3"/>
      <c r="C106" s="3"/>
      <c r="D106" s="3"/>
      <c r="E106" s="10"/>
      <c r="F106" s="10"/>
    </row>
    <row r="107" spans="2:17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49" zoomScaleNormal="100" workbookViewId="0">
      <selection activeCell="B61" sqref="B61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77</v>
      </c>
      <c r="B3" s="17">
        <v>1333</v>
      </c>
      <c r="D3" t="s">
        <v>78</v>
      </c>
      <c r="F3" t="s">
        <v>79</v>
      </c>
    </row>
    <row r="4" spans="1:13">
      <c r="A4" s="18"/>
      <c r="B4" s="19"/>
    </row>
    <row r="5" spans="1:13">
      <c r="A5" s="20" t="s">
        <v>80</v>
      </c>
      <c r="B5" s="21">
        <v>7000</v>
      </c>
      <c r="D5" t="s">
        <v>81</v>
      </c>
    </row>
    <row r="10" spans="1:13">
      <c r="A10" s="64" t="s">
        <v>82</v>
      </c>
      <c r="B10" s="64"/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</row>
    <row r="11" spans="1:13">
      <c r="A11" s="64" t="s">
        <v>83</v>
      </c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64"/>
    </row>
    <row r="12" spans="1:13">
      <c r="A12" s="64" t="s">
        <v>84</v>
      </c>
      <c r="B12" s="64"/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</row>
    <row r="13" spans="1:13">
      <c r="A13" s="64" t="s">
        <v>85</v>
      </c>
      <c r="B13" s="64"/>
      <c r="C13" s="64"/>
      <c r="D13" s="64"/>
      <c r="E13" s="64"/>
      <c r="F13" s="64"/>
      <c r="G13" s="64"/>
      <c r="H13" s="64"/>
      <c r="I13" s="64"/>
      <c r="J13" s="64"/>
      <c r="K13" s="64"/>
      <c r="L13" s="64"/>
      <c r="M13" s="64"/>
    </row>
    <row r="14" spans="1:13">
      <c r="A14" s="64" t="s">
        <v>86</v>
      </c>
      <c r="B14" s="64" t="s">
        <v>87</v>
      </c>
      <c r="C14" s="64"/>
      <c r="D14" s="64"/>
      <c r="E14" s="64"/>
      <c r="F14" s="64"/>
      <c r="G14" s="64"/>
      <c r="H14" s="64"/>
      <c r="I14" s="64"/>
      <c r="J14" s="64"/>
      <c r="K14" s="64"/>
      <c r="L14" s="64"/>
      <c r="M14" s="64"/>
    </row>
    <row r="15" spans="1:13">
      <c r="A15" s="64" t="s">
        <v>88</v>
      </c>
      <c r="B15" s="64">
        <v>3</v>
      </c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4"/>
    </row>
    <row r="16" spans="1:13">
      <c r="A16" s="64" t="s">
        <v>89</v>
      </c>
      <c r="B16" s="64">
        <v>0</v>
      </c>
      <c r="C16" s="64"/>
      <c r="D16" s="64"/>
      <c r="E16" s="64"/>
      <c r="F16" s="64"/>
      <c r="G16" s="64"/>
      <c r="H16" s="64"/>
      <c r="I16" s="64"/>
      <c r="J16" s="64"/>
      <c r="K16" s="64"/>
      <c r="L16" s="64"/>
      <c r="M16" s="64"/>
    </row>
    <row r="17" spans="1:13">
      <c r="A17" s="64" t="s">
        <v>90</v>
      </c>
      <c r="B17" s="64">
        <v>10</v>
      </c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</row>
    <row r="18" spans="1:13">
      <c r="A18" s="64" t="s">
        <v>91</v>
      </c>
      <c r="B18" s="64">
        <v>300</v>
      </c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</row>
    <row r="19" spans="1:13">
      <c r="A19" s="64" t="s">
        <v>92</v>
      </c>
      <c r="B19" s="64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</row>
    <row r="20" spans="1:13">
      <c r="A20" s="64" t="s">
        <v>93</v>
      </c>
      <c r="B20" s="64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</row>
    <row r="21" spans="1:13">
      <c r="A21" s="64" t="s">
        <v>94</v>
      </c>
      <c r="B21" s="64">
        <v>1</v>
      </c>
      <c r="C21" s="64">
        <v>1</v>
      </c>
      <c r="D21" s="64">
        <v>1</v>
      </c>
      <c r="E21" s="64">
        <v>1</v>
      </c>
      <c r="F21" s="64">
        <v>1</v>
      </c>
      <c r="G21" s="64">
        <v>1</v>
      </c>
      <c r="H21" s="64">
        <v>1</v>
      </c>
      <c r="I21" s="64">
        <v>1</v>
      </c>
      <c r="J21" s="64">
        <v>1</v>
      </c>
      <c r="K21" s="64">
        <v>1</v>
      </c>
      <c r="L21" s="64">
        <v>1</v>
      </c>
      <c r="M21" s="64">
        <v>1</v>
      </c>
    </row>
    <row r="22" spans="1:13">
      <c r="A22" s="64" t="s">
        <v>95</v>
      </c>
      <c r="B22" s="64">
        <v>0</v>
      </c>
      <c r="C22" s="64">
        <v>0</v>
      </c>
      <c r="D22" s="64">
        <v>0</v>
      </c>
      <c r="E22" s="64">
        <v>0</v>
      </c>
      <c r="F22" s="64">
        <v>0</v>
      </c>
      <c r="G22" s="64">
        <v>0</v>
      </c>
      <c r="H22" s="64">
        <v>0</v>
      </c>
      <c r="I22" s="64">
        <v>0</v>
      </c>
      <c r="J22" s="64">
        <v>0</v>
      </c>
      <c r="K22" s="64">
        <v>0</v>
      </c>
      <c r="L22" s="64">
        <v>0</v>
      </c>
      <c r="M22" s="64">
        <v>0</v>
      </c>
    </row>
    <row r="23" spans="1:13">
      <c r="A23" s="64" t="s">
        <v>96</v>
      </c>
      <c r="B23" s="64">
        <v>1</v>
      </c>
      <c r="C23" s="64">
        <v>1</v>
      </c>
      <c r="D23" s="64">
        <v>1</v>
      </c>
      <c r="E23" s="64">
        <v>1</v>
      </c>
      <c r="F23" s="64">
        <v>1</v>
      </c>
      <c r="G23" s="64">
        <v>1</v>
      </c>
      <c r="H23" s="64">
        <v>1</v>
      </c>
      <c r="I23" s="64">
        <v>1</v>
      </c>
      <c r="J23" s="64">
        <v>1</v>
      </c>
      <c r="K23" s="64">
        <v>1</v>
      </c>
      <c r="L23" s="64">
        <v>1</v>
      </c>
      <c r="M23" s="64">
        <v>1</v>
      </c>
    </row>
    <row r="24" spans="1:13">
      <c r="A24" s="64" t="s">
        <v>97</v>
      </c>
      <c r="B24" s="64">
        <v>0</v>
      </c>
      <c r="C24" s="64">
        <v>0</v>
      </c>
      <c r="D24" s="64">
        <v>0</v>
      </c>
      <c r="E24" s="64">
        <v>0</v>
      </c>
      <c r="F24" s="64">
        <v>0</v>
      </c>
      <c r="G24" s="64">
        <v>0</v>
      </c>
      <c r="H24" s="64">
        <v>0</v>
      </c>
      <c r="I24" s="64">
        <v>0</v>
      </c>
      <c r="J24" s="64">
        <v>0</v>
      </c>
      <c r="K24" s="64">
        <v>0</v>
      </c>
      <c r="L24" s="64">
        <v>0</v>
      </c>
      <c r="M24" s="64">
        <v>0</v>
      </c>
    </row>
    <row r="25" spans="1:13">
      <c r="A25" s="64" t="s">
        <v>98</v>
      </c>
      <c r="B25" s="64">
        <v>1</v>
      </c>
      <c r="C25" s="64">
        <v>1</v>
      </c>
      <c r="D25" s="64">
        <v>1</v>
      </c>
      <c r="E25" s="64">
        <v>1</v>
      </c>
      <c r="F25" s="64">
        <v>1</v>
      </c>
      <c r="G25" s="64">
        <v>1</v>
      </c>
      <c r="H25" s="64">
        <v>1</v>
      </c>
      <c r="I25" s="64">
        <v>1</v>
      </c>
      <c r="J25" s="64">
        <v>1</v>
      </c>
      <c r="K25" s="64">
        <v>1</v>
      </c>
      <c r="L25" s="64">
        <v>1</v>
      </c>
      <c r="M25" s="64">
        <v>1</v>
      </c>
    </row>
    <row r="26" spans="1:13">
      <c r="A26" s="64" t="s">
        <v>99</v>
      </c>
      <c r="B26" s="64">
        <v>1</v>
      </c>
      <c r="C26" s="64">
        <v>1</v>
      </c>
      <c r="D26" s="64">
        <v>1</v>
      </c>
      <c r="E26" s="64">
        <v>1</v>
      </c>
      <c r="F26" s="64">
        <v>1</v>
      </c>
      <c r="G26" s="64">
        <v>1</v>
      </c>
      <c r="H26" s="64">
        <v>1</v>
      </c>
      <c r="I26" s="64">
        <v>1</v>
      </c>
      <c r="J26" s="64">
        <v>1</v>
      </c>
      <c r="K26" s="64">
        <v>1</v>
      </c>
      <c r="L26" s="64">
        <v>1</v>
      </c>
      <c r="M26" s="64">
        <v>1</v>
      </c>
    </row>
    <row r="27" spans="1:13">
      <c r="A27" s="64" t="s">
        <v>100</v>
      </c>
      <c r="B27" s="64">
        <v>0</v>
      </c>
      <c r="C27" s="64">
        <v>0</v>
      </c>
      <c r="D27" s="64">
        <v>0</v>
      </c>
      <c r="E27" s="64">
        <v>0</v>
      </c>
      <c r="F27" s="64">
        <v>0</v>
      </c>
      <c r="G27" s="64">
        <v>0</v>
      </c>
      <c r="H27" s="64">
        <v>0</v>
      </c>
      <c r="I27" s="64">
        <v>0</v>
      </c>
      <c r="J27" s="64">
        <v>0</v>
      </c>
      <c r="K27" s="64">
        <v>0</v>
      </c>
      <c r="L27" s="64">
        <v>0</v>
      </c>
      <c r="M27" s="64">
        <v>0</v>
      </c>
    </row>
    <row r="28" spans="1:13">
      <c r="A28" s="64"/>
      <c r="B28" s="64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</row>
    <row r="29" spans="1:13">
      <c r="A29" s="64" t="s">
        <v>260</v>
      </c>
      <c r="B29" s="64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</row>
    <row r="30" spans="1:13">
      <c r="A30" s="64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</row>
    <row r="31" spans="1:13">
      <c r="A31" s="64" t="s">
        <v>261</v>
      </c>
      <c r="B31" s="64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</row>
    <row r="32" spans="1:13">
      <c r="A32" s="64" t="s">
        <v>253</v>
      </c>
      <c r="B32" t="s">
        <v>281</v>
      </c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</row>
    <row r="33" spans="1:13">
      <c r="A33" s="64" t="s">
        <v>254</v>
      </c>
      <c r="B33" s="64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</row>
    <row r="34" spans="1:13">
      <c r="A34" s="64" t="s">
        <v>255</v>
      </c>
      <c r="B34" s="64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</row>
    <row r="35" spans="1:13">
      <c r="A35" s="64" t="s">
        <v>262</v>
      </c>
      <c r="B35" s="64"/>
      <c r="C35" s="64"/>
      <c r="D35" s="64"/>
      <c r="E35" s="64"/>
      <c r="F35" s="64"/>
      <c r="G35" s="64"/>
      <c r="H35" s="64"/>
      <c r="I35" s="64"/>
      <c r="J35" s="64"/>
      <c r="K35" s="64"/>
      <c r="L35" s="64"/>
      <c r="M35" s="64"/>
    </row>
    <row r="36" spans="1:13">
      <c r="A36" s="64" t="s">
        <v>256</v>
      </c>
      <c r="B36" s="64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</row>
    <row r="37" spans="1:13">
      <c r="A37" s="64" t="s">
        <v>263</v>
      </c>
      <c r="B37" s="64"/>
      <c r="C37" s="64" t="s">
        <v>264</v>
      </c>
      <c r="D37" s="64"/>
      <c r="E37" s="64"/>
      <c r="F37" s="64"/>
      <c r="G37" s="64"/>
      <c r="H37" s="64"/>
      <c r="I37" s="64"/>
      <c r="J37" s="64"/>
      <c r="K37" s="64"/>
      <c r="L37" s="64"/>
      <c r="M37" s="64"/>
    </row>
    <row r="38" spans="1:13">
      <c r="A38" s="64" t="s">
        <v>258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</row>
    <row r="39" spans="1:13">
      <c r="A39" s="64" t="s">
        <v>259</v>
      </c>
      <c r="B39" s="64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</row>
    <row r="40" spans="1:13">
      <c r="A40" s="64"/>
      <c r="B40" s="64"/>
      <c r="C40" s="64"/>
      <c r="D40" s="64"/>
      <c r="E40" s="64"/>
      <c r="F40" s="64"/>
      <c r="G40" s="64"/>
      <c r="H40" s="64"/>
      <c r="I40" s="64"/>
      <c r="J40" s="64"/>
      <c r="K40" s="64"/>
      <c r="L40" s="64"/>
      <c r="M40" s="64"/>
    </row>
    <row r="41" spans="1:13">
      <c r="A41" s="64" t="s">
        <v>265</v>
      </c>
      <c r="B41" s="64"/>
      <c r="C41" s="64"/>
      <c r="D41" s="64"/>
      <c r="E41" s="64"/>
      <c r="F41" s="64"/>
      <c r="G41" s="64"/>
      <c r="H41" s="64"/>
      <c r="I41" s="64"/>
      <c r="J41" s="64"/>
      <c r="K41" s="64"/>
      <c r="L41" s="64"/>
      <c r="M41" s="64"/>
    </row>
    <row r="42" spans="1:13">
      <c r="A42" s="64" t="s">
        <v>266</v>
      </c>
      <c r="B42" t="s">
        <v>281</v>
      </c>
      <c r="C42" s="64"/>
      <c r="D42" s="64"/>
      <c r="E42" s="64"/>
      <c r="F42" s="64"/>
      <c r="G42" s="64"/>
      <c r="H42" s="64"/>
      <c r="I42" s="64"/>
      <c r="J42" s="64"/>
      <c r="K42" s="64"/>
      <c r="L42" s="64"/>
      <c r="M42" s="64"/>
    </row>
    <row r="43" spans="1:13">
      <c r="A43" s="64" t="s">
        <v>254</v>
      </c>
      <c r="B43" s="64"/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</row>
    <row r="44" spans="1:13">
      <c r="A44" s="64" t="s">
        <v>255</v>
      </c>
      <c r="B44" s="64"/>
      <c r="C44" s="64"/>
      <c r="D44" s="64"/>
      <c r="E44" s="64"/>
      <c r="F44" s="64"/>
      <c r="G44" s="64"/>
      <c r="H44" s="64"/>
      <c r="I44" s="64"/>
      <c r="J44" s="64"/>
      <c r="K44" s="64"/>
      <c r="L44" s="64"/>
      <c r="M44" s="64"/>
    </row>
    <row r="45" spans="1:13">
      <c r="A45" s="64" t="s">
        <v>283</v>
      </c>
      <c r="B45" s="64"/>
      <c r="C45" s="64"/>
      <c r="D45" s="64"/>
      <c r="E45" s="64"/>
      <c r="F45" s="64"/>
      <c r="G45" s="64"/>
      <c r="H45" s="64"/>
      <c r="I45" s="64"/>
      <c r="J45" s="64"/>
      <c r="K45" s="64"/>
      <c r="L45" s="64"/>
      <c r="M45" s="64"/>
    </row>
    <row r="46" spans="1:13">
      <c r="A46" s="64" t="s">
        <v>267</v>
      </c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13">
      <c r="A47" s="64" t="s">
        <v>268</v>
      </c>
      <c r="B47" s="64"/>
      <c r="C47" s="64" t="s">
        <v>264</v>
      </c>
      <c r="D47" s="64"/>
      <c r="E47" s="64"/>
      <c r="F47" s="64"/>
      <c r="G47" s="64"/>
      <c r="H47" s="64"/>
      <c r="I47" s="64"/>
      <c r="J47" s="64"/>
      <c r="K47" s="64"/>
      <c r="L47" s="64"/>
      <c r="M47" s="64"/>
    </row>
    <row r="48" spans="1:13">
      <c r="A48" s="64" t="s">
        <v>269</v>
      </c>
      <c r="B48" s="64"/>
      <c r="C48" s="64"/>
      <c r="D48" s="64"/>
      <c r="E48" s="64"/>
      <c r="F48" s="64"/>
      <c r="G48" s="64"/>
      <c r="H48" s="64"/>
      <c r="I48" s="64"/>
      <c r="J48" s="64"/>
      <c r="K48" s="64"/>
      <c r="L48" s="64"/>
      <c r="M48" s="64"/>
    </row>
    <row r="49" spans="1:13">
      <c r="A49" s="64" t="s">
        <v>259</v>
      </c>
      <c r="B49" s="64"/>
      <c r="C49" s="64"/>
      <c r="D49" s="64"/>
      <c r="E49" s="64"/>
      <c r="F49" s="64"/>
      <c r="G49" s="64"/>
      <c r="H49" s="64"/>
      <c r="I49" s="64"/>
      <c r="J49" s="64"/>
      <c r="K49" s="64"/>
      <c r="L49" s="64"/>
      <c r="M49" s="64"/>
    </row>
    <row r="50" spans="1:13">
      <c r="A50" s="64"/>
      <c r="B50" s="64"/>
      <c r="C50" s="64"/>
      <c r="D50" s="64"/>
      <c r="E50" s="64"/>
      <c r="F50" s="64"/>
      <c r="G50" s="64"/>
      <c r="H50" s="64"/>
      <c r="I50" s="64"/>
      <c r="J50" s="64"/>
      <c r="K50" s="64"/>
      <c r="L50" s="64"/>
      <c r="M50" s="64"/>
    </row>
    <row r="51" spans="1:13">
      <c r="A51" s="64"/>
      <c r="B51" s="64"/>
      <c r="C51" s="64"/>
      <c r="D51" s="64"/>
      <c r="E51" s="64"/>
      <c r="F51" s="64"/>
      <c r="G51" s="64"/>
      <c r="H51" s="64"/>
      <c r="I51" s="64"/>
      <c r="J51" s="64"/>
      <c r="K51" s="64"/>
      <c r="L51" s="64"/>
      <c r="M51" s="64"/>
    </row>
    <row r="52" spans="1:13">
      <c r="A52" s="64" t="s">
        <v>101</v>
      </c>
      <c r="B52" s="64"/>
      <c r="C52" s="64"/>
      <c r="D52" s="64"/>
      <c r="E52" s="64"/>
      <c r="F52" s="64"/>
      <c r="G52" s="64"/>
      <c r="H52" s="64"/>
      <c r="I52" s="64"/>
      <c r="J52" s="64"/>
      <c r="K52" s="64"/>
      <c r="L52" s="64"/>
      <c r="M52" s="64"/>
    </row>
    <row r="53" spans="1:13">
      <c r="A53" s="64" t="s">
        <v>102</v>
      </c>
      <c r="B53" s="64">
        <v>12</v>
      </c>
      <c r="C53" s="64" t="s">
        <v>103</v>
      </c>
      <c r="D53" s="64"/>
      <c r="E53" s="64"/>
      <c r="F53" s="64"/>
      <c r="G53" s="64"/>
      <c r="H53" s="64"/>
      <c r="I53" s="64"/>
      <c r="J53" s="64"/>
      <c r="K53" s="64"/>
      <c r="L53" s="64"/>
      <c r="M53" s="64"/>
    </row>
    <row r="54" spans="1:13">
      <c r="A54" s="64" t="s">
        <v>217</v>
      </c>
      <c r="B54" s="64">
        <v>0</v>
      </c>
      <c r="C54" s="64">
        <v>1</v>
      </c>
      <c r="D54" s="64">
        <v>2</v>
      </c>
      <c r="E54" s="64">
        <v>3</v>
      </c>
      <c r="F54" s="64">
        <v>4</v>
      </c>
      <c r="G54" s="64">
        <v>5</v>
      </c>
      <c r="H54" s="64">
        <v>6</v>
      </c>
      <c r="I54" s="64">
        <v>7</v>
      </c>
      <c r="J54" s="64">
        <v>8</v>
      </c>
      <c r="K54" s="64">
        <v>9</v>
      </c>
      <c r="L54" s="64">
        <v>10</v>
      </c>
      <c r="M54" s="64">
        <v>11</v>
      </c>
    </row>
    <row r="55" spans="1:13">
      <c r="A55" s="64" t="s">
        <v>216</v>
      </c>
      <c r="B55" s="64">
        <v>100</v>
      </c>
      <c r="C55" s="64">
        <v>100</v>
      </c>
      <c r="D55" s="64">
        <v>100</v>
      </c>
      <c r="E55" s="64">
        <v>100</v>
      </c>
      <c r="F55" s="64">
        <v>100</v>
      </c>
      <c r="G55" s="64">
        <v>100</v>
      </c>
      <c r="H55" s="64">
        <v>100</v>
      </c>
      <c r="I55" s="64">
        <v>100</v>
      </c>
      <c r="J55" s="64">
        <v>100</v>
      </c>
      <c r="K55" s="64">
        <v>100</v>
      </c>
      <c r="L55" s="64">
        <v>100</v>
      </c>
      <c r="M55" s="64">
        <v>100</v>
      </c>
    </row>
    <row r="56" spans="1:13">
      <c r="A56" s="64" t="s">
        <v>104</v>
      </c>
      <c r="B56" s="64"/>
      <c r="C56" s="64"/>
      <c r="D56" s="64"/>
      <c r="E56" s="64"/>
      <c r="F56" s="64"/>
      <c r="G56" s="64"/>
      <c r="H56" s="64"/>
      <c r="I56" s="64"/>
      <c r="J56" s="64"/>
      <c r="K56" s="64"/>
      <c r="L56" s="64"/>
      <c r="M56" s="64"/>
    </row>
    <row r="57" spans="1:13">
      <c r="A57" s="64" t="s">
        <v>215</v>
      </c>
      <c r="B57" s="64">
        <v>0</v>
      </c>
      <c r="C57" s="64">
        <v>1</v>
      </c>
      <c r="D57" s="64">
        <v>2</v>
      </c>
      <c r="E57" s="64">
        <v>3</v>
      </c>
      <c r="F57" s="64">
        <v>4</v>
      </c>
      <c r="G57" s="64">
        <v>5</v>
      </c>
      <c r="H57" s="64">
        <v>6</v>
      </c>
      <c r="I57" s="64">
        <v>7</v>
      </c>
      <c r="J57" s="64">
        <v>8</v>
      </c>
      <c r="K57" s="64">
        <v>9</v>
      </c>
      <c r="L57" s="64">
        <v>10</v>
      </c>
      <c r="M57" s="64">
        <v>11</v>
      </c>
    </row>
    <row r="58" spans="1:13">
      <c r="A58" s="64" t="s">
        <v>214</v>
      </c>
      <c r="B58" s="64">
        <v>2</v>
      </c>
      <c r="C58" s="64">
        <v>3</v>
      </c>
      <c r="D58" s="64">
        <v>0</v>
      </c>
      <c r="E58" s="64">
        <v>1</v>
      </c>
      <c r="F58" s="64">
        <v>4</v>
      </c>
      <c r="G58" s="64">
        <v>5</v>
      </c>
      <c r="H58" s="64">
        <v>8</v>
      </c>
      <c r="I58" s="64">
        <v>9</v>
      </c>
      <c r="J58" s="64">
        <v>6</v>
      </c>
      <c r="K58" s="64">
        <v>7</v>
      </c>
      <c r="L58" s="64">
        <v>10</v>
      </c>
      <c r="M58" s="64">
        <v>11</v>
      </c>
    </row>
    <row r="59" spans="1:13">
      <c r="A59" s="64"/>
      <c r="B59" s="64"/>
      <c r="C59" s="64"/>
      <c r="D59" s="64"/>
      <c r="E59" s="64"/>
      <c r="F59" s="64"/>
      <c r="G59" s="64"/>
      <c r="H59" s="64"/>
      <c r="I59" s="64"/>
      <c r="J59" s="64"/>
      <c r="K59" s="64"/>
      <c r="L59" s="64"/>
      <c r="M59" s="64"/>
    </row>
    <row r="60" spans="1:13">
      <c r="A60" s="64" t="s">
        <v>213</v>
      </c>
      <c r="B60" s="64">
        <f>+INDEX(Sheet1!$K$7:$K18,COLUMN()-COLUMN($B$91)+1)</f>
        <v>11.375</v>
      </c>
      <c r="C60" s="64">
        <f>+INDEX(Sheet1!$K$7:$K18,COLUMN()-COLUMN($B$91)+1)</f>
        <v>11.375</v>
      </c>
      <c r="D60" s="64">
        <f>+INDEX(Sheet1!$K$7:$K18,COLUMN()-COLUMN($B$91)+1)</f>
        <v>11.375</v>
      </c>
      <c r="E60" s="64">
        <f>+INDEX(Sheet1!$K$7:$K18,COLUMN()-COLUMN($B$91)+1)</f>
        <v>11.375</v>
      </c>
      <c r="F60" s="64">
        <f>+INDEX(Sheet1!$K$7:$K18,COLUMN()-COLUMN($B$91)+1)</f>
        <v>11.375</v>
      </c>
      <c r="G60" s="64">
        <f>+INDEX(Sheet1!$K$7:$K18,COLUMN()-COLUMN($B$91)+1)</f>
        <v>11.375</v>
      </c>
      <c r="H60" s="64">
        <f>+INDEX(Sheet1!$K$7:$K18,COLUMN()-COLUMN($B$91)+1)</f>
        <v>-11.375</v>
      </c>
      <c r="I60" s="64">
        <f>+INDEX(Sheet1!$K$7:$K18,COLUMN()-COLUMN($B$91)+1)</f>
        <v>-11.375</v>
      </c>
      <c r="J60" s="64">
        <f>+INDEX(Sheet1!$K$7:$K18,COLUMN()-COLUMN($B$91)+1)</f>
        <v>-11.375</v>
      </c>
      <c r="K60" s="64">
        <f>+INDEX(Sheet1!$K$7:$K18,COLUMN()-COLUMN($B$91)+1)</f>
        <v>-11.375</v>
      </c>
      <c r="L60" s="64">
        <f>+INDEX(Sheet1!$K$7:$K18,COLUMN()-COLUMN($B$91)+1)</f>
        <v>-11.375</v>
      </c>
      <c r="M60" s="64">
        <f>+INDEX(Sheet1!$K$7:$K18,COLUMN()-COLUMN($B$91)+1)</f>
        <v>-11.375</v>
      </c>
    </row>
    <row r="61" spans="1:13">
      <c r="A61" s="64" t="s">
        <v>212</v>
      </c>
      <c r="B61" s="35">
        <f>+INDEX(Sheet1!$D$7:$D19,COLUMN()-COLUMN($B$91)+1)++INDEX(Sheet1!$S$7:$S19,COLUMN()-COLUMN($B$91)+1)</f>
        <v>180</v>
      </c>
      <c r="C61" s="35">
        <f>+INDEX(Sheet1!$D$7:$D19,COLUMN()-COLUMN($B$91)+1)++INDEX(Sheet1!$S$7:$S19,COLUMN()-COLUMN($B$91)+1)</f>
        <v>180</v>
      </c>
      <c r="D61" s="35">
        <f>+INDEX(Sheet1!$D$7:$D19,COLUMN()-COLUMN($B$91)+1)++INDEX(Sheet1!$S$7:$S19,COLUMN()-COLUMN($B$91)+1)</f>
        <v>180</v>
      </c>
      <c r="E61" s="35">
        <f>+INDEX(Sheet1!$D$7:$D19,COLUMN()-COLUMN($B$91)+1)++INDEX(Sheet1!$S$7:$S19,COLUMN()-COLUMN($B$91)+1)</f>
        <v>180</v>
      </c>
      <c r="F61" s="35">
        <f>+INDEX(Sheet1!$D$7:$D19,COLUMN()-COLUMN($B$91)+1)++INDEX(Sheet1!$S$7:$S19,COLUMN()-COLUMN($B$91)+1)</f>
        <v>180</v>
      </c>
      <c r="G61" s="35">
        <f>+INDEX(Sheet1!$D$7:$D19,COLUMN()-COLUMN($B$91)+1)++INDEX(Sheet1!$S$7:$S19,COLUMN()-COLUMN($B$91)+1)</f>
        <v>180</v>
      </c>
      <c r="H61" s="35">
        <f>+INDEX(Sheet1!$D$7:$D19,COLUMN()-COLUMN($B$91)+1)++INDEX(Sheet1!$S$7:$S19,COLUMN()-COLUMN($B$91)+1)</f>
        <v>-180</v>
      </c>
      <c r="I61" s="35">
        <f>+INDEX(Sheet1!$D$7:$D19,COLUMN()-COLUMN($B$91)+1)++INDEX(Sheet1!$S$7:$S19,COLUMN()-COLUMN($B$91)+1)</f>
        <v>-180</v>
      </c>
      <c r="J61" s="35">
        <f>+INDEX(Sheet1!$D$7:$D19,COLUMN()-COLUMN($B$91)+1)++INDEX(Sheet1!$S$7:$S19,COLUMN()-COLUMN($B$91)+1)</f>
        <v>-180</v>
      </c>
      <c r="K61" s="35">
        <f>+INDEX(Sheet1!$D$7:$D19,COLUMN()-COLUMN($B$91)+1)++INDEX(Sheet1!$S$7:$S19,COLUMN()-COLUMN($B$91)+1)</f>
        <v>-180</v>
      </c>
      <c r="L61" s="35">
        <f>+INDEX(Sheet1!$D$7:$D19,COLUMN()-COLUMN($B$91)+1)++INDEX(Sheet1!$S$7:$S19,COLUMN()-COLUMN($B$91)+1)</f>
        <v>-180</v>
      </c>
      <c r="M61" s="35">
        <f>+INDEX(Sheet1!$D$7:$D19,COLUMN()-COLUMN($B$91)+1)++INDEX(Sheet1!$S$7:$S19,COLUMN()-COLUMN($B$91)+1)</f>
        <v>-180</v>
      </c>
    </row>
    <row r="62" spans="1:13">
      <c r="A62" s="64"/>
      <c r="B62" s="64"/>
      <c r="C62" s="64"/>
      <c r="D62" s="64"/>
      <c r="E62" s="64"/>
      <c r="F62" s="64"/>
      <c r="G62" s="64"/>
      <c r="H62" s="64"/>
      <c r="I62" s="64"/>
      <c r="J62" s="64"/>
      <c r="K62" s="64"/>
      <c r="L62" s="64"/>
      <c r="M62" s="64"/>
    </row>
    <row r="63" spans="1:13">
      <c r="A63" s="64" t="s">
        <v>105</v>
      </c>
      <c r="B63" s="64">
        <v>0</v>
      </c>
      <c r="C63" s="64"/>
      <c r="D63" s="64"/>
      <c r="E63" s="64"/>
      <c r="F63" s="64"/>
      <c r="G63" s="64"/>
      <c r="H63" s="64"/>
      <c r="I63" s="64"/>
      <c r="J63" s="64"/>
      <c r="K63" s="64"/>
      <c r="L63" s="64"/>
      <c r="M63" s="64"/>
    </row>
    <row r="64" spans="1:13">
      <c r="A64" s="64"/>
      <c r="B64" s="64"/>
      <c r="C64" s="64"/>
      <c r="D64" s="64"/>
      <c r="E64" s="64"/>
      <c r="F64" s="64"/>
      <c r="G64" s="64"/>
      <c r="H64" s="64"/>
      <c r="I64" s="64"/>
      <c r="J64" s="64"/>
      <c r="K64" s="64"/>
      <c r="L64" s="64"/>
      <c r="M64" s="64"/>
    </row>
    <row r="65" spans="1:13">
      <c r="A65" s="64"/>
      <c r="B65" s="64"/>
      <c r="C65" s="64"/>
      <c r="D65" s="64"/>
      <c r="E65" s="64"/>
      <c r="F65" s="64"/>
      <c r="G65" s="64"/>
      <c r="H65" s="64"/>
      <c r="I65" s="64"/>
      <c r="J65" s="64"/>
      <c r="K65" s="64"/>
      <c r="L65" s="64"/>
      <c r="M65" s="64"/>
    </row>
    <row r="66" spans="1:13">
      <c r="A66" s="64" t="s">
        <v>221</v>
      </c>
      <c r="B66" s="64">
        <v>0</v>
      </c>
      <c r="C66" s="64">
        <v>1</v>
      </c>
      <c r="D66" s="64">
        <v>2</v>
      </c>
      <c r="E66" s="64">
        <v>3</v>
      </c>
      <c r="F66" s="64">
        <v>4</v>
      </c>
      <c r="G66" s="64">
        <v>5</v>
      </c>
      <c r="H66" s="64">
        <v>6</v>
      </c>
      <c r="I66" s="64">
        <v>7</v>
      </c>
      <c r="J66" s="64">
        <v>8</v>
      </c>
      <c r="K66" s="64">
        <v>9</v>
      </c>
      <c r="L66" s="64">
        <v>10</v>
      </c>
      <c r="M66" s="64">
        <v>11</v>
      </c>
    </row>
    <row r="67" spans="1:13">
      <c r="A67" s="64" t="s">
        <v>106</v>
      </c>
      <c r="B67" s="64"/>
      <c r="C67" s="64"/>
      <c r="D67" s="64"/>
      <c r="E67" s="64"/>
      <c r="F67" s="64"/>
      <c r="G67" s="64"/>
      <c r="H67" s="64"/>
      <c r="I67" s="64"/>
      <c r="J67" s="64"/>
      <c r="K67" s="64"/>
      <c r="L67" s="64"/>
      <c r="M67" s="64"/>
    </row>
    <row r="68" spans="1:13">
      <c r="A68" s="64" t="s">
        <v>210</v>
      </c>
      <c r="B68" s="64">
        <f>+INDEX(Sheet1!$H$7:$H26,COLUMN()-COLUMN($B$91)+1)</f>
        <v>90</v>
      </c>
      <c r="C68" s="64">
        <f>+INDEX(Sheet1!$H$7:$H26,COLUMN()-COLUMN($B$91)+1)</f>
        <v>90</v>
      </c>
      <c r="D68" s="64">
        <f>+INDEX(Sheet1!$H$7:$H26,COLUMN()-COLUMN($B$91)+1)</f>
        <v>78</v>
      </c>
      <c r="E68" s="64">
        <f>+INDEX(Sheet1!$H$7:$H26,COLUMN()-COLUMN($B$91)+1)</f>
        <v>15</v>
      </c>
      <c r="F68" s="64">
        <f>+INDEX(Sheet1!$H$7:$H26,COLUMN()-COLUMN($B$91)+1)</f>
        <v>39</v>
      </c>
      <c r="G68" s="64">
        <f>+INDEX(Sheet1!$H$7:$H26,COLUMN()-COLUMN($B$91)+1)</f>
        <v>22</v>
      </c>
      <c r="H68" s="64">
        <f>+INDEX(Sheet1!$H$7:$H26,COLUMN()-COLUMN($B$91)+1)</f>
        <v>90</v>
      </c>
      <c r="I68" s="64">
        <f>+INDEX(Sheet1!$H$7:$H26,COLUMN()-COLUMN($B$91)+1)</f>
        <v>90</v>
      </c>
      <c r="J68" s="64">
        <f>+INDEX(Sheet1!$H$7:$H26,COLUMN()-COLUMN($B$91)+1)</f>
        <v>78</v>
      </c>
      <c r="K68" s="64">
        <f>+INDEX(Sheet1!$H$7:$H26,COLUMN()-COLUMN($B$91)+1)</f>
        <v>15</v>
      </c>
      <c r="L68" s="64">
        <f>+INDEX(Sheet1!$H$7:$H26,COLUMN()-COLUMN($B$91)+1)</f>
        <v>39</v>
      </c>
      <c r="M68" s="64">
        <f>+INDEX(Sheet1!$H$7:$H26,COLUMN()-COLUMN($B$91)+1)</f>
        <v>22</v>
      </c>
    </row>
    <row r="69" spans="1:13">
      <c r="A69" s="64" t="s">
        <v>211</v>
      </c>
      <c r="B69" s="64">
        <f>+INDEX(Sheet1!$G$7:$G27,COLUMN()-COLUMN($B$91)+1)</f>
        <v>-30</v>
      </c>
      <c r="C69" s="64">
        <f>+INDEX(Sheet1!$G$7:$G27,COLUMN()-COLUMN($B$91)+1)</f>
        <v>0</v>
      </c>
      <c r="D69" s="64">
        <f>+INDEX(Sheet1!$G$7:$G27,COLUMN()-COLUMN($B$91)+1)</f>
        <v>-80</v>
      </c>
      <c r="E69" s="64">
        <f>+INDEX(Sheet1!$G$7:$G27,COLUMN()-COLUMN($B$91)+1)</f>
        <v>-125</v>
      </c>
      <c r="F69" s="64">
        <f>+INDEX(Sheet1!$G$7:$G27,COLUMN()-COLUMN($B$91)+1)</f>
        <v>-20</v>
      </c>
      <c r="G69" s="64">
        <f>+INDEX(Sheet1!$G$7:$G27,COLUMN()-COLUMN($B$91)+1)</f>
        <v>-22</v>
      </c>
      <c r="H69" s="64">
        <f>+INDEX(Sheet1!$G$7:$G27,COLUMN()-COLUMN($B$91)+1)</f>
        <v>-30</v>
      </c>
      <c r="I69" s="64">
        <f>+INDEX(Sheet1!$G$7:$G27,COLUMN()-COLUMN($B$91)+1)</f>
        <v>0</v>
      </c>
      <c r="J69" s="64">
        <f>+INDEX(Sheet1!$G$7:$G27,COLUMN()-COLUMN($B$91)+1)</f>
        <v>-80</v>
      </c>
      <c r="K69" s="64">
        <f>+INDEX(Sheet1!$G$7:$G27,COLUMN()-COLUMN($B$91)+1)</f>
        <v>-125</v>
      </c>
      <c r="L69" s="64">
        <f>+INDEX(Sheet1!$G$7:$G27,COLUMN()-COLUMN($B$91)+1)</f>
        <v>-20</v>
      </c>
      <c r="M69" s="64">
        <f>+INDEX(Sheet1!$G$7:$G27,COLUMN()-COLUMN($B$91)+1)</f>
        <v>-22</v>
      </c>
    </row>
    <row r="70" spans="1:13">
      <c r="A70" s="64"/>
      <c r="B70" s="64"/>
      <c r="C70" s="64"/>
      <c r="D70" s="64"/>
      <c r="E70" s="64"/>
      <c r="F70" s="64"/>
      <c r="G70" s="64"/>
      <c r="H70" s="64"/>
      <c r="I70" s="64"/>
      <c r="J70" s="64"/>
      <c r="K70" s="64"/>
      <c r="L70" s="64"/>
      <c r="M70" s="64"/>
    </row>
    <row r="71" spans="1:13">
      <c r="A71" s="64"/>
      <c r="B71" s="64"/>
      <c r="C71" s="64"/>
      <c r="D71" s="64"/>
      <c r="E71" s="64"/>
      <c r="F71" s="64"/>
      <c r="G71" s="64"/>
      <c r="H71" s="64"/>
      <c r="I71" s="64"/>
      <c r="J71" s="64"/>
      <c r="K71" s="64"/>
      <c r="L71" s="64"/>
      <c r="M71" s="64"/>
    </row>
    <row r="72" spans="1:13">
      <c r="A72" s="64" t="s">
        <v>219</v>
      </c>
      <c r="B72" s="64">
        <v>0</v>
      </c>
      <c r="C72" s="64">
        <v>1</v>
      </c>
      <c r="D72" s="64">
        <v>2</v>
      </c>
      <c r="E72" s="64">
        <v>3</v>
      </c>
      <c r="F72" s="64">
        <v>4</v>
      </c>
      <c r="G72" s="64">
        <v>5</v>
      </c>
      <c r="H72" s="64">
        <v>6</v>
      </c>
      <c r="I72" s="64">
        <v>7</v>
      </c>
      <c r="J72" s="64">
        <v>8</v>
      </c>
      <c r="K72" s="64">
        <v>9</v>
      </c>
      <c r="L72" s="64">
        <v>10</v>
      </c>
      <c r="M72" s="64">
        <v>11</v>
      </c>
    </row>
    <row r="73" spans="1:13">
      <c r="A73" s="64" t="s">
        <v>218</v>
      </c>
      <c r="B73" s="64">
        <f>+$B$5</f>
        <v>7000</v>
      </c>
      <c r="C73" s="64">
        <f t="shared" ref="C73:M73" si="0">+$B$5</f>
        <v>7000</v>
      </c>
      <c r="D73" s="64">
        <f t="shared" si="0"/>
        <v>7000</v>
      </c>
      <c r="E73" s="64">
        <f t="shared" si="0"/>
        <v>7000</v>
      </c>
      <c r="F73" s="64">
        <f t="shared" si="0"/>
        <v>7000</v>
      </c>
      <c r="G73" s="64">
        <f t="shared" si="0"/>
        <v>7000</v>
      </c>
      <c r="H73" s="64">
        <f t="shared" si="0"/>
        <v>7000</v>
      </c>
      <c r="I73" s="64">
        <f t="shared" si="0"/>
        <v>7000</v>
      </c>
      <c r="J73" s="64">
        <f t="shared" si="0"/>
        <v>7000</v>
      </c>
      <c r="K73" s="64">
        <f t="shared" si="0"/>
        <v>7000</v>
      </c>
      <c r="L73" s="64">
        <f t="shared" si="0"/>
        <v>7000</v>
      </c>
      <c r="M73" s="64">
        <f t="shared" si="0"/>
        <v>7000</v>
      </c>
    </row>
    <row r="74" spans="1:13">
      <c r="A74" s="64"/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</row>
    <row r="75" spans="1:13">
      <c r="A75" s="64" t="s">
        <v>107</v>
      </c>
      <c r="B75" s="64" t="s">
        <v>108</v>
      </c>
      <c r="C75" s="64" t="s">
        <v>109</v>
      </c>
      <c r="D75" s="64" t="s">
        <v>110</v>
      </c>
      <c r="E75" s="64" t="s">
        <v>111</v>
      </c>
      <c r="F75" s="64" t="s">
        <v>112</v>
      </c>
      <c r="G75" s="64" t="s">
        <v>113</v>
      </c>
      <c r="H75" s="64" t="s">
        <v>114</v>
      </c>
      <c r="I75" s="64"/>
      <c r="J75" s="64"/>
      <c r="K75" s="64"/>
      <c r="L75" s="64"/>
      <c r="M75" s="64"/>
    </row>
    <row r="76" spans="1:13">
      <c r="A76" s="64" t="s">
        <v>115</v>
      </c>
      <c r="B76" s="64"/>
      <c r="C76" s="64"/>
      <c r="D76" s="64"/>
      <c r="E76" s="64"/>
      <c r="F76" s="64"/>
      <c r="G76" s="64"/>
      <c r="H76" s="64"/>
      <c r="I76" s="64"/>
      <c r="J76" s="64"/>
      <c r="K76" s="64"/>
      <c r="L76" s="64"/>
      <c r="M76" s="64"/>
    </row>
    <row r="77" spans="1:13">
      <c r="A77" s="64" t="s">
        <v>116</v>
      </c>
      <c r="B77" s="64">
        <v>32000</v>
      </c>
      <c r="C77" s="64">
        <v>100</v>
      </c>
      <c r="D77" s="64">
        <v>60</v>
      </c>
      <c r="E77" s="64">
        <f>+$B$3</f>
        <v>1333</v>
      </c>
      <c r="F77" s="64">
        <f t="shared" ref="F77:F88" si="1">+$B$3</f>
        <v>1333</v>
      </c>
      <c r="G77" s="64">
        <v>13</v>
      </c>
      <c r="H77" s="64">
        <v>0</v>
      </c>
      <c r="I77" s="64"/>
      <c r="J77" s="64"/>
      <c r="K77" s="64"/>
      <c r="L77" s="64"/>
      <c r="M77" s="64"/>
    </row>
    <row r="78" spans="1:13">
      <c r="A78" s="64" t="s">
        <v>117</v>
      </c>
      <c r="B78" s="64">
        <v>-32000</v>
      </c>
      <c r="C78" s="64">
        <v>-100</v>
      </c>
      <c r="D78" s="64">
        <v>-60</v>
      </c>
      <c r="E78" s="64">
        <f t="shared" ref="E78:E88" si="2">+$B$3</f>
        <v>1333</v>
      </c>
      <c r="F78" s="64">
        <f t="shared" si="1"/>
        <v>1333</v>
      </c>
      <c r="G78" s="64">
        <v>13</v>
      </c>
      <c r="H78" s="64">
        <v>0</v>
      </c>
      <c r="I78" s="64"/>
      <c r="J78" s="64"/>
      <c r="K78" s="64"/>
      <c r="L78" s="64"/>
      <c r="M78" s="64"/>
    </row>
    <row r="79" spans="1:13">
      <c r="A79" s="64" t="s">
        <v>118</v>
      </c>
      <c r="B79" s="64">
        <v>32000</v>
      </c>
      <c r="C79" s="64">
        <v>100</v>
      </c>
      <c r="D79" s="64">
        <v>60</v>
      </c>
      <c r="E79" s="64">
        <f t="shared" si="2"/>
        <v>1333</v>
      </c>
      <c r="F79" s="64">
        <f t="shared" si="1"/>
        <v>1333</v>
      </c>
      <c r="G79" s="64">
        <v>13</v>
      </c>
      <c r="H79" s="64">
        <v>0</v>
      </c>
      <c r="I79" s="64"/>
      <c r="J79" s="64"/>
      <c r="K79" s="64"/>
      <c r="L79" s="64"/>
      <c r="M79" s="64"/>
    </row>
    <row r="80" spans="1:13">
      <c r="A80" s="64" t="s">
        <v>119</v>
      </c>
      <c r="B80" s="64">
        <v>-32000</v>
      </c>
      <c r="C80" s="64">
        <v>-100</v>
      </c>
      <c r="D80" s="64">
        <v>-60</v>
      </c>
      <c r="E80" s="64">
        <f t="shared" si="2"/>
        <v>1333</v>
      </c>
      <c r="F80" s="64">
        <f t="shared" si="1"/>
        <v>1333</v>
      </c>
      <c r="G80" s="64">
        <v>13</v>
      </c>
      <c r="H80" s="64">
        <v>0</v>
      </c>
      <c r="I80" s="64"/>
      <c r="J80" s="64"/>
      <c r="K80" s="64"/>
      <c r="L80" s="64"/>
      <c r="M80" s="64"/>
    </row>
    <row r="81" spans="1:13">
      <c r="A81" s="64" t="s">
        <v>120</v>
      </c>
      <c r="B81" s="64">
        <v>-32000</v>
      </c>
      <c r="C81" s="64">
        <v>-100</v>
      </c>
      <c r="D81" s="64">
        <v>-60</v>
      </c>
      <c r="E81" s="64">
        <f t="shared" si="2"/>
        <v>1333</v>
      </c>
      <c r="F81" s="64">
        <f t="shared" si="1"/>
        <v>1333</v>
      </c>
      <c r="G81" s="64">
        <v>13</v>
      </c>
      <c r="H81" s="64">
        <v>0</v>
      </c>
      <c r="I81" s="64"/>
      <c r="J81" s="64"/>
      <c r="K81" s="64"/>
      <c r="L81" s="64"/>
      <c r="M81" s="64"/>
    </row>
    <row r="82" spans="1:13">
      <c r="A82" s="64" t="s">
        <v>121</v>
      </c>
      <c r="B82" s="64">
        <v>-32000</v>
      </c>
      <c r="C82" s="64">
        <v>-100</v>
      </c>
      <c r="D82" s="64">
        <v>-60</v>
      </c>
      <c r="E82" s="64">
        <f t="shared" si="2"/>
        <v>1333</v>
      </c>
      <c r="F82" s="64">
        <f t="shared" si="1"/>
        <v>1333</v>
      </c>
      <c r="G82" s="64">
        <v>13</v>
      </c>
      <c r="H82" s="64">
        <v>0</v>
      </c>
      <c r="I82" s="64"/>
      <c r="J82" s="64"/>
      <c r="K82" s="64"/>
      <c r="L82" s="64"/>
      <c r="M82" s="64"/>
    </row>
    <row r="83" spans="1:13">
      <c r="A83" s="64" t="s">
        <v>122</v>
      </c>
      <c r="B83" s="64">
        <v>32000</v>
      </c>
      <c r="C83" s="64">
        <v>100</v>
      </c>
      <c r="D83" s="64">
        <v>60</v>
      </c>
      <c r="E83" s="64">
        <f t="shared" si="2"/>
        <v>1333</v>
      </c>
      <c r="F83" s="64">
        <f t="shared" si="1"/>
        <v>1333</v>
      </c>
      <c r="G83" s="64">
        <v>13</v>
      </c>
      <c r="H83" s="64">
        <v>0</v>
      </c>
      <c r="I83" s="64"/>
      <c r="J83" s="64"/>
      <c r="K83" s="64"/>
      <c r="L83" s="64"/>
      <c r="M83" s="64"/>
    </row>
    <row r="84" spans="1:13">
      <c r="A84" s="64" t="s">
        <v>123</v>
      </c>
      <c r="B84" s="64">
        <v>-32000</v>
      </c>
      <c r="C84" s="64">
        <v>-100</v>
      </c>
      <c r="D84" s="64">
        <v>-60</v>
      </c>
      <c r="E84" s="64">
        <f t="shared" si="2"/>
        <v>1333</v>
      </c>
      <c r="F84" s="64">
        <f t="shared" si="1"/>
        <v>1333</v>
      </c>
      <c r="G84" s="64">
        <v>13</v>
      </c>
      <c r="H84" s="64">
        <v>0</v>
      </c>
      <c r="I84" s="64"/>
      <c r="J84" s="64"/>
      <c r="K84" s="64"/>
      <c r="L84" s="64"/>
      <c r="M84" s="64"/>
    </row>
    <row r="85" spans="1:13">
      <c r="A85" s="64" t="s">
        <v>124</v>
      </c>
      <c r="B85" s="64">
        <v>32000</v>
      </c>
      <c r="C85" s="64">
        <v>100</v>
      </c>
      <c r="D85" s="64">
        <v>60</v>
      </c>
      <c r="E85" s="64">
        <f t="shared" si="2"/>
        <v>1333</v>
      </c>
      <c r="F85" s="64">
        <f t="shared" si="1"/>
        <v>1333</v>
      </c>
      <c r="G85" s="64">
        <v>13</v>
      </c>
      <c r="H85" s="64">
        <v>0</v>
      </c>
      <c r="I85" s="64"/>
      <c r="J85" s="64"/>
      <c r="K85" s="64"/>
      <c r="L85" s="64"/>
      <c r="M85" s="64"/>
    </row>
    <row r="86" spans="1:13">
      <c r="A86" s="64" t="s">
        <v>125</v>
      </c>
      <c r="B86" s="64">
        <v>-32000</v>
      </c>
      <c r="C86" s="64">
        <v>-100</v>
      </c>
      <c r="D86" s="64">
        <v>-60</v>
      </c>
      <c r="E86" s="64">
        <f t="shared" si="2"/>
        <v>1333</v>
      </c>
      <c r="F86" s="64">
        <f t="shared" si="1"/>
        <v>1333</v>
      </c>
      <c r="G86" s="64">
        <v>13</v>
      </c>
      <c r="H86" s="64">
        <v>0</v>
      </c>
      <c r="I86" s="64"/>
      <c r="J86" s="64"/>
      <c r="K86" s="64"/>
      <c r="L86" s="64"/>
      <c r="M86" s="64"/>
    </row>
    <row r="87" spans="1:13">
      <c r="A87" s="64" t="s">
        <v>126</v>
      </c>
      <c r="B87" s="64">
        <v>-32000</v>
      </c>
      <c r="C87" s="64">
        <v>-100</v>
      </c>
      <c r="D87" s="64">
        <v>-60</v>
      </c>
      <c r="E87" s="64">
        <f t="shared" si="2"/>
        <v>1333</v>
      </c>
      <c r="F87" s="64">
        <f t="shared" si="1"/>
        <v>1333</v>
      </c>
      <c r="G87" s="64">
        <v>13</v>
      </c>
      <c r="H87" s="64">
        <v>0</v>
      </c>
      <c r="I87" s="64"/>
      <c r="J87" s="64"/>
      <c r="K87" s="64"/>
      <c r="L87" s="64"/>
      <c r="M87" s="64"/>
    </row>
    <row r="88" spans="1:13">
      <c r="A88" s="64" t="s">
        <v>127</v>
      </c>
      <c r="B88" s="64">
        <v>-32000</v>
      </c>
      <c r="C88" s="64">
        <v>-100</v>
      </c>
      <c r="D88" s="64">
        <v>-60</v>
      </c>
      <c r="E88" s="64">
        <f t="shared" si="2"/>
        <v>1333</v>
      </c>
      <c r="F88" s="64">
        <f t="shared" si="1"/>
        <v>1333</v>
      </c>
      <c r="G88" s="64">
        <v>13</v>
      </c>
      <c r="H88" s="64">
        <v>0</v>
      </c>
      <c r="I88" s="64"/>
      <c r="J88" s="64"/>
      <c r="K88" s="64"/>
      <c r="L88" s="64"/>
      <c r="M88" s="64"/>
    </row>
    <row r="89" spans="1:13">
      <c r="A89" s="64"/>
      <c r="B89" s="64"/>
      <c r="C89" s="64"/>
      <c r="D89" s="64"/>
      <c r="E89" s="64"/>
      <c r="F89" s="64"/>
      <c r="G89" s="64"/>
      <c r="H89" s="64"/>
      <c r="I89" s="64"/>
      <c r="J89" s="64"/>
      <c r="K89" s="64"/>
      <c r="L89" s="64"/>
      <c r="M89" s="64"/>
    </row>
    <row r="90" spans="1:13">
      <c r="A90" s="64" t="s">
        <v>128</v>
      </c>
      <c r="B90" s="64"/>
      <c r="C90" s="64"/>
      <c r="D90" s="64"/>
      <c r="E90" s="64"/>
      <c r="F90" s="64"/>
      <c r="G90" s="64"/>
      <c r="H90" s="64"/>
      <c r="I90" s="64"/>
      <c r="J90" s="64"/>
      <c r="K90" s="64"/>
      <c r="L90" s="64"/>
      <c r="M90" s="64"/>
    </row>
    <row r="91" spans="1:13">
      <c r="A91" s="64" t="s">
        <v>208</v>
      </c>
      <c r="B91" s="64">
        <v>0</v>
      </c>
      <c r="C91" s="64">
        <v>1</v>
      </c>
      <c r="D91" s="64">
        <v>2</v>
      </c>
      <c r="E91" s="64">
        <v>3</v>
      </c>
      <c r="F91" s="64">
        <v>4</v>
      </c>
      <c r="G91" s="64">
        <v>5</v>
      </c>
      <c r="H91" s="64">
        <v>6</v>
      </c>
      <c r="I91" s="64">
        <v>7</v>
      </c>
      <c r="J91" s="64">
        <v>8</v>
      </c>
      <c r="K91" s="64">
        <v>9</v>
      </c>
      <c r="L91" s="64">
        <v>10</v>
      </c>
      <c r="M91" s="64">
        <v>11</v>
      </c>
    </row>
    <row r="92" spans="1:13">
      <c r="A92" s="64" t="s">
        <v>129</v>
      </c>
      <c r="B92" s="64">
        <v>3</v>
      </c>
      <c r="C92" s="64">
        <v>3</v>
      </c>
      <c r="D92" s="64">
        <v>3</v>
      </c>
      <c r="E92" s="64">
        <v>3</v>
      </c>
      <c r="F92" s="64">
        <v>3</v>
      </c>
      <c r="G92" s="64">
        <v>3</v>
      </c>
      <c r="H92" s="64">
        <v>3</v>
      </c>
      <c r="I92" s="64">
        <v>3</v>
      </c>
      <c r="J92" s="64">
        <v>3</v>
      </c>
      <c r="K92" s="64">
        <v>3</v>
      </c>
      <c r="L92" s="64">
        <v>3</v>
      </c>
      <c r="M92" s="64">
        <v>3</v>
      </c>
    </row>
    <row r="93" spans="1:13">
      <c r="A93" s="64" t="s">
        <v>130</v>
      </c>
      <c r="B93" s="64">
        <f>+INDEX(Sheet1!$L$7:$L18,COLUMN()-COLUMN($B$91)+1)</f>
        <v>2047.5</v>
      </c>
      <c r="C93" s="64">
        <f>+INDEX(Sheet1!$L$7:$L18,COLUMN()-COLUMN($B$91)+1)</f>
        <v>2047.5</v>
      </c>
      <c r="D93" s="64">
        <f>+INDEX(Sheet1!$L$7:$L18,COLUMN()-COLUMN($B$91)+1)</f>
        <v>2047.5</v>
      </c>
      <c r="E93" s="64">
        <f>+INDEX(Sheet1!$L$7:$L18,COLUMN()-COLUMN($B$91)+1)</f>
        <v>2047.5</v>
      </c>
      <c r="F93" s="64">
        <f>+INDEX(Sheet1!$L$7:$L18,COLUMN()-COLUMN($B$91)+1)</f>
        <v>2047.5</v>
      </c>
      <c r="G93" s="64">
        <f>+INDEX(Sheet1!$L$7:$L18,COLUMN()-COLUMN($B$91)+1)</f>
        <v>2047.5</v>
      </c>
      <c r="H93" s="64">
        <f>+INDEX(Sheet1!$L$7:$L18,COLUMN()-COLUMN($B$91)+1)</f>
        <v>2047.5</v>
      </c>
      <c r="I93" s="64">
        <f>+INDEX(Sheet1!$L$7:$L18,COLUMN()-COLUMN($B$91)+1)</f>
        <v>2047.5</v>
      </c>
      <c r="J93" s="64">
        <f>+INDEX(Sheet1!$L$7:$L18,COLUMN()-COLUMN($B$91)+1)</f>
        <v>2047.5</v>
      </c>
      <c r="K93" s="64">
        <f>+INDEX(Sheet1!$L$7:$L18,COLUMN()-COLUMN($B$91)+1)</f>
        <v>2047.5</v>
      </c>
      <c r="L93" s="64">
        <f>+INDEX(Sheet1!$L$7:$L18,COLUMN()-COLUMN($B$91)+1)</f>
        <v>2047.5</v>
      </c>
      <c r="M93" s="64">
        <f>+INDEX(Sheet1!$L$7:$L18,COLUMN()-COLUMN($B$91)+1)</f>
        <v>2047.5</v>
      </c>
    </row>
    <row r="94" spans="1:13">
      <c r="A94" s="64" t="s">
        <v>131</v>
      </c>
      <c r="B94" s="64">
        <f>+INDEX(Sheet1!$M$7:$M19,COLUMN()-COLUMN($B$91)+1)</f>
        <v>10</v>
      </c>
      <c r="C94" s="64">
        <f>+INDEX(Sheet1!$M$7:$M19,COLUMN()-COLUMN($B$91)+1)</f>
        <v>10</v>
      </c>
      <c r="D94" s="64">
        <f>+INDEX(Sheet1!$M$7:$M19,COLUMN()-COLUMN($B$91)+1)</f>
        <v>10</v>
      </c>
      <c r="E94" s="64">
        <f>+INDEX(Sheet1!$M$7:$M19,COLUMN()-COLUMN($B$91)+1)</f>
        <v>10</v>
      </c>
      <c r="F94" s="64">
        <f>+INDEX(Sheet1!$M$7:$M19,COLUMN()-COLUMN($B$91)+1)</f>
        <v>10</v>
      </c>
      <c r="G94" s="64">
        <f>+INDEX(Sheet1!$M$7:$M19,COLUMN()-COLUMN($B$91)+1)</f>
        <v>10</v>
      </c>
      <c r="H94" s="64">
        <f>+INDEX(Sheet1!$M$7:$M19,COLUMN()-COLUMN($B$91)+1)</f>
        <v>10</v>
      </c>
      <c r="I94" s="64">
        <f>+INDEX(Sheet1!$M$7:$M19,COLUMN()-COLUMN($B$91)+1)</f>
        <v>10</v>
      </c>
      <c r="J94" s="64">
        <f>+INDEX(Sheet1!$M$7:$M19,COLUMN()-COLUMN($B$91)+1)</f>
        <v>10</v>
      </c>
      <c r="K94" s="64">
        <f>+INDEX(Sheet1!$M$7:$M19,COLUMN()-COLUMN($B$91)+1)</f>
        <v>10</v>
      </c>
      <c r="L94" s="64">
        <f>+INDEX(Sheet1!$M$7:$M19,COLUMN()-COLUMN($B$91)+1)</f>
        <v>10</v>
      </c>
      <c r="M94" s="64">
        <f>+INDEX(Sheet1!$M$7:$M19,COLUMN()-COLUMN($B$91)+1)</f>
        <v>10</v>
      </c>
    </row>
    <row r="95" spans="1:13">
      <c r="A95" s="64" t="s">
        <v>132</v>
      </c>
      <c r="B95" s="64">
        <f>+INDEX(Sheet1!$N$7:$N20,COLUMN()-COLUMN($B$91)+1)</f>
        <v>2652.65</v>
      </c>
      <c r="C95" s="64">
        <f>+INDEX(Sheet1!$N$7:$N20,COLUMN()-COLUMN($B$91)+1)</f>
        <v>2943.85</v>
      </c>
      <c r="D95" s="64">
        <f>+INDEX(Sheet1!$N$7:$N20,COLUMN()-COLUMN($B$91)+1)</f>
        <v>1976.9750000000001</v>
      </c>
      <c r="E95" s="64">
        <f>+INDEX(Sheet1!$N$7:$N20,COLUMN()-COLUMN($B$91)+1)</f>
        <v>1644.8250000000003</v>
      </c>
      <c r="F95" s="64">
        <f>+INDEX(Sheet1!$N$7:$N20,COLUMN()-COLUMN($B$91)+1)</f>
        <v>2396.7125000000001</v>
      </c>
      <c r="G95" s="64">
        <f>+INDEX(Sheet1!$N$7:$N20,COLUMN()-COLUMN($B$91)+1)</f>
        <v>1730.1375000000003</v>
      </c>
      <c r="H95" s="64">
        <f>+INDEX(Sheet1!$N$7:$N20,COLUMN()-COLUMN($B$91)+1)</f>
        <v>3931.2000000000003</v>
      </c>
      <c r="I95" s="64">
        <f>+INDEX(Sheet1!$N$7:$N20,COLUMN()-COLUMN($B$91)+1)</f>
        <v>3124.7125000000001</v>
      </c>
      <c r="J95" s="64">
        <f>+INDEX(Sheet1!$N$7:$N20,COLUMN()-COLUMN($B$91)+1)</f>
        <v>1248.9750000000001</v>
      </c>
      <c r="K95" s="64">
        <f>+INDEX(Sheet1!$N$7:$N20,COLUMN()-COLUMN($B$91)+1)</f>
        <v>3974.4249999999997</v>
      </c>
      <c r="L95" s="64">
        <f>+INDEX(Sheet1!$N$7:$N20,COLUMN()-COLUMN($B$91)+1)</f>
        <v>2464.9625000000001</v>
      </c>
      <c r="M95" s="64">
        <f>+INDEX(Sheet1!$N$7:$N20,COLUMN()-COLUMN($B$91)+1)</f>
        <v>442.48750000000007</v>
      </c>
    </row>
    <row r="96" spans="1:13">
      <c r="A96" s="64" t="s">
        <v>133</v>
      </c>
      <c r="B96" s="67">
        <f>+INDEX(Sheet1!$O$7:$O21,COLUMN()-COLUMN($B$91)+1)</f>
        <v>0</v>
      </c>
      <c r="C96" s="67">
        <f>+INDEX(Sheet1!$O$7:$O21,COLUMN()-COLUMN($B$91)+1)</f>
        <v>0</v>
      </c>
      <c r="D96" s="67">
        <f>+INDEX(Sheet1!$O$7:$O21,COLUMN()-COLUMN($B$91)+1)</f>
        <v>0</v>
      </c>
      <c r="E96" s="67">
        <f>+INDEX(Sheet1!$O$7:$O21,COLUMN()-COLUMN($B$91)+1)</f>
        <v>0</v>
      </c>
      <c r="F96" s="67">
        <f>+INDEX(Sheet1!$O$7:$O21,COLUMN()-COLUMN($B$91)+1)</f>
        <v>0</v>
      </c>
      <c r="G96" s="67">
        <f>+INDEX(Sheet1!$O$7:$O21,COLUMN()-COLUMN($B$91)+1)</f>
        <v>0</v>
      </c>
      <c r="H96" s="67">
        <f>+INDEX(Sheet1!$O$7:$O21,COLUMN()-COLUMN($B$91)+1)</f>
        <v>0</v>
      </c>
      <c r="I96" s="67">
        <f>+INDEX(Sheet1!$O$7:$O21,COLUMN()-COLUMN($B$91)+1)</f>
        <v>0</v>
      </c>
      <c r="J96" s="67">
        <f>+INDEX(Sheet1!$O$7:$O21,COLUMN()-COLUMN($B$91)+1)</f>
        <v>0</v>
      </c>
      <c r="K96" s="67">
        <f>+INDEX(Sheet1!$O$7:$O21,COLUMN()-COLUMN($B$91)+1)</f>
        <v>0</v>
      </c>
      <c r="L96" s="67">
        <f>+INDEX(Sheet1!$O$7:$O21,COLUMN()-COLUMN($B$91)+1)</f>
        <v>0</v>
      </c>
      <c r="M96" s="67">
        <f>+INDEX(Sheet1!$O$7:$O21,COLUMN()-COLUMN($B$91)+1)</f>
        <v>0</v>
      </c>
    </row>
    <row r="97" spans="1:13">
      <c r="A97" s="64" t="s">
        <v>134</v>
      </c>
      <c r="B97" s="67">
        <f>+INDEX(Sheet1!$P$7:$P22,COLUMN()-COLUMN($B$91)+1)</f>
        <v>10</v>
      </c>
      <c r="C97" s="67">
        <f>+INDEX(Sheet1!$P$7:$P22,COLUMN()-COLUMN($B$91)+1)</f>
        <v>10</v>
      </c>
      <c r="D97" s="67">
        <f>+INDEX(Sheet1!$P$7:$P22,COLUMN()-COLUMN($B$91)+1)</f>
        <v>10</v>
      </c>
      <c r="E97" s="67">
        <f>+INDEX(Sheet1!$P$7:$P22,COLUMN()-COLUMN($B$91)+1)</f>
        <v>10</v>
      </c>
      <c r="F97" s="67">
        <f>+INDEX(Sheet1!$P$7:$P22,COLUMN()-COLUMN($B$91)+1)</f>
        <v>10</v>
      </c>
      <c r="G97" s="67">
        <f>+INDEX(Sheet1!$P$7:$P22,COLUMN()-COLUMN($B$91)+1)</f>
        <v>10</v>
      </c>
      <c r="H97" s="67">
        <f>+INDEX(Sheet1!$P$7:$P22,COLUMN()-COLUMN($B$91)+1)</f>
        <v>10</v>
      </c>
      <c r="I97" s="67">
        <f>+INDEX(Sheet1!$P$7:$P22,COLUMN()-COLUMN($B$91)+1)</f>
        <v>10</v>
      </c>
      <c r="J97" s="67">
        <f>+INDEX(Sheet1!$P$7:$P22,COLUMN()-COLUMN($B$91)+1)</f>
        <v>10</v>
      </c>
      <c r="K97" s="67">
        <f>+INDEX(Sheet1!$P$7:$P22,COLUMN()-COLUMN($B$91)+1)</f>
        <v>10</v>
      </c>
      <c r="L97" s="67">
        <f>+INDEX(Sheet1!$P$7:$P22,COLUMN()-COLUMN($B$91)+1)</f>
        <v>10</v>
      </c>
      <c r="M97" s="67">
        <f>+INDEX(Sheet1!$P$7:$P22,COLUMN()-COLUMN($B$91)+1)</f>
        <v>10</v>
      </c>
    </row>
    <row r="98" spans="1:13">
      <c r="A98" s="64"/>
      <c r="B98" s="64"/>
      <c r="C98" s="64"/>
      <c r="D98" s="64"/>
      <c r="E98" s="64"/>
      <c r="F98" s="64"/>
      <c r="G98" s="64"/>
      <c r="H98" s="64"/>
      <c r="I98" s="64"/>
      <c r="J98" s="64"/>
      <c r="K98" s="64"/>
      <c r="L98" s="64"/>
      <c r="M98" s="64"/>
    </row>
    <row r="99" spans="1:13">
      <c r="A99" s="64" t="s">
        <v>135</v>
      </c>
      <c r="B99" s="64"/>
      <c r="C99" s="64"/>
      <c r="D99" s="64"/>
      <c r="E99" s="64"/>
      <c r="F99" s="64"/>
      <c r="G99" s="64"/>
      <c r="H99" s="64"/>
      <c r="I99" s="64"/>
      <c r="J99" s="64"/>
      <c r="K99" s="64"/>
      <c r="L99" s="64"/>
      <c r="M99" s="64"/>
    </row>
    <row r="100" spans="1:13">
      <c r="A100" s="64" t="s">
        <v>209</v>
      </c>
      <c r="B100" s="64">
        <v>0</v>
      </c>
      <c r="C100" s="64">
        <v>1</v>
      </c>
      <c r="D100" s="64">
        <v>2</v>
      </c>
      <c r="E100" s="64">
        <v>3</v>
      </c>
      <c r="F100" s="64">
        <v>4</v>
      </c>
      <c r="G100" s="64">
        <v>5</v>
      </c>
      <c r="H100" s="64">
        <v>6</v>
      </c>
      <c r="I100" s="64">
        <v>7</v>
      </c>
      <c r="J100" s="64">
        <v>8</v>
      </c>
      <c r="K100" s="64">
        <v>9</v>
      </c>
      <c r="L100" s="64">
        <v>10</v>
      </c>
      <c r="M100" s="64">
        <v>11</v>
      </c>
    </row>
    <row r="101" spans="1:13">
      <c r="A101" s="64" t="s">
        <v>136</v>
      </c>
      <c r="B101" s="67">
        <f>+INDEX(Sheet1!$Q$7:$Q26,COLUMN()-COLUMN($B$91)+1)</f>
        <v>0</v>
      </c>
      <c r="C101" s="67">
        <f>+INDEX(Sheet1!$Q$7:$Q26,COLUMN()-COLUMN($B$91)+1)</f>
        <v>0</v>
      </c>
      <c r="D101" s="67">
        <f>+INDEX(Sheet1!$Q$7:$Q26,COLUMN()-COLUMN($B$91)+1)</f>
        <v>0</v>
      </c>
      <c r="E101" s="67">
        <f>+INDEX(Sheet1!$Q$7:$Q26,COLUMN()-COLUMN($B$91)+1)</f>
        <v>0</v>
      </c>
      <c r="F101" s="67">
        <f>+INDEX(Sheet1!$Q$7:$Q26,COLUMN()-COLUMN($B$91)+1)</f>
        <v>0</v>
      </c>
      <c r="G101" s="67">
        <f>+INDEX(Sheet1!$Q$7:$Q26,COLUMN()-COLUMN($B$91)+1)</f>
        <v>0</v>
      </c>
      <c r="H101" s="67">
        <f>+INDEX(Sheet1!$Q$7:$Q26,COLUMN()-COLUMN($B$91)+1)</f>
        <v>0</v>
      </c>
      <c r="I101" s="67">
        <f>+INDEX(Sheet1!$Q$7:$Q26,COLUMN()-COLUMN($B$91)+1)</f>
        <v>0</v>
      </c>
      <c r="J101" s="67">
        <f>+INDEX(Sheet1!$Q$7:$Q26,COLUMN()-COLUMN($B$91)+1)</f>
        <v>0</v>
      </c>
      <c r="K101" s="67">
        <f>+INDEX(Sheet1!$Q$7:$Q26,COLUMN()-COLUMN($B$91)+1)</f>
        <v>0</v>
      </c>
      <c r="L101" s="67">
        <f>+INDEX(Sheet1!$Q$7:$Q26,COLUMN()-COLUMN($B$91)+1)</f>
        <v>0</v>
      </c>
      <c r="M101" s="67">
        <f>+INDEX(Sheet1!$Q$7:$Q26,COLUMN()-COLUMN($B$91)+1)</f>
        <v>0</v>
      </c>
    </row>
    <row r="102" spans="1:13">
      <c r="A102" s="64" t="s">
        <v>137</v>
      </c>
      <c r="B102" s="67">
        <f>+INDEX(Sheet1!$R$7:$R27,COLUMN()-COLUMN($B$91)+1)</f>
        <v>10</v>
      </c>
      <c r="C102" s="67">
        <f>+INDEX(Sheet1!$R$7:$R27,COLUMN()-COLUMN($B$91)+1)</f>
        <v>10</v>
      </c>
      <c r="D102" s="67">
        <f>+INDEX(Sheet1!$R$7:$R27,COLUMN()-COLUMN($B$91)+1)</f>
        <v>10</v>
      </c>
      <c r="E102" s="67">
        <f>+INDEX(Sheet1!$R$7:$R27,COLUMN()-COLUMN($B$91)+1)</f>
        <v>10</v>
      </c>
      <c r="F102" s="67">
        <f>+INDEX(Sheet1!$R$7:$R27,COLUMN()-COLUMN($B$91)+1)</f>
        <v>10</v>
      </c>
      <c r="G102" s="67">
        <f>+INDEX(Sheet1!$R$7:$R27,COLUMN()-COLUMN($B$91)+1)</f>
        <v>10</v>
      </c>
      <c r="H102" s="67">
        <f>+INDEX(Sheet1!$R$7:$R27,COLUMN()-COLUMN($B$91)+1)</f>
        <v>10</v>
      </c>
      <c r="I102" s="67">
        <f>+INDEX(Sheet1!$R$7:$R27,COLUMN()-COLUMN($B$91)+1)</f>
        <v>10</v>
      </c>
      <c r="J102" s="67">
        <f>+INDEX(Sheet1!$R$7:$R27,COLUMN()-COLUMN($B$91)+1)</f>
        <v>10</v>
      </c>
      <c r="K102" s="67">
        <f>+INDEX(Sheet1!$R$7:$R27,COLUMN()-COLUMN($B$91)+1)</f>
        <v>10</v>
      </c>
      <c r="L102" s="67">
        <f>+INDEX(Sheet1!$R$7:$R27,COLUMN()-COLUMN($B$91)+1)</f>
        <v>10</v>
      </c>
      <c r="M102" s="67">
        <f>+INDEX(Sheet1!$R$7:$R27,COLUMN()-COLUMN($B$91)+1)</f>
        <v>10</v>
      </c>
    </row>
    <row r="103" spans="1:13">
      <c r="A103" s="64" t="s">
        <v>104</v>
      </c>
      <c r="B103" s="64"/>
      <c r="C103" s="64"/>
      <c r="D103" s="64"/>
      <c r="E103" s="64"/>
      <c r="F103" s="64"/>
      <c r="G103" s="64"/>
      <c r="H103" s="64"/>
      <c r="I103" s="64"/>
      <c r="J103" s="64"/>
      <c r="K103" s="64"/>
      <c r="L103" s="64"/>
      <c r="M103" s="64"/>
    </row>
    <row r="104" spans="1:13">
      <c r="A104" s="64" t="s">
        <v>138</v>
      </c>
      <c r="B104" s="64"/>
      <c r="C104" s="64"/>
      <c r="D104" s="64"/>
      <c r="E104" s="64"/>
      <c r="F104" s="64"/>
      <c r="G104" s="64"/>
      <c r="H104" s="64"/>
      <c r="I104" s="64"/>
      <c r="J104" s="64"/>
      <c r="K104" s="64"/>
      <c r="L104" s="64"/>
      <c r="M104" s="64"/>
    </row>
    <row r="105" spans="1:13">
      <c r="A105" s="64"/>
      <c r="B105" s="64"/>
      <c r="C105" s="64"/>
      <c r="D105" s="64"/>
      <c r="E105" s="64"/>
      <c r="F105" s="64"/>
      <c r="G105" s="64"/>
      <c r="H105" s="64"/>
      <c r="I105" s="64"/>
      <c r="J105" s="64"/>
      <c r="K105" s="64"/>
      <c r="L105" s="64"/>
      <c r="M105" s="64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3"/>
  <sheetViews>
    <sheetView topLeftCell="A56" zoomScaleNormal="100" workbookViewId="0">
      <selection activeCell="A96" sqref="A96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77</v>
      </c>
      <c r="B3" s="17">
        <v>1333</v>
      </c>
      <c r="D3" t="s">
        <v>78</v>
      </c>
      <c r="F3" t="s">
        <v>79</v>
      </c>
    </row>
    <row r="4" spans="1:6">
      <c r="A4" s="18"/>
      <c r="B4" s="19"/>
    </row>
    <row r="5" spans="1:6">
      <c r="A5" s="20" t="s">
        <v>80</v>
      </c>
      <c r="B5" s="21">
        <v>7000</v>
      </c>
      <c r="D5" t="s">
        <v>81</v>
      </c>
    </row>
    <row r="10" spans="1:6">
      <c r="A10" t="s">
        <v>82</v>
      </c>
    </row>
    <row r="11" spans="1:6">
      <c r="A11" t="s">
        <v>139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140</v>
      </c>
    </row>
    <row r="15" spans="1:6">
      <c r="A15" t="s">
        <v>88</v>
      </c>
      <c r="B15">
        <v>1</v>
      </c>
    </row>
    <row r="16" spans="1:6">
      <c r="A16" t="s">
        <v>89</v>
      </c>
      <c r="B16">
        <v>0</v>
      </c>
    </row>
    <row r="17" spans="1:9">
      <c r="A17" t="s">
        <v>90</v>
      </c>
      <c r="B17">
        <v>10</v>
      </c>
    </row>
    <row r="18" spans="1:9">
      <c r="A18" t="s">
        <v>91</v>
      </c>
      <c r="B18">
        <v>300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500</v>
      </c>
    </row>
    <row r="21" spans="1:9">
      <c r="A21" t="s">
        <v>94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95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251</v>
      </c>
    </row>
    <row r="32" spans="1:9">
      <c r="A32" t="s">
        <v>252</v>
      </c>
    </row>
    <row r="33" spans="1:9">
      <c r="A33" t="s">
        <v>253</v>
      </c>
      <c r="B33" t="s">
        <v>281</v>
      </c>
    </row>
    <row r="34" spans="1:9">
      <c r="A34" t="s">
        <v>254</v>
      </c>
    </row>
    <row r="35" spans="1:9">
      <c r="A35" t="s">
        <v>255</v>
      </c>
    </row>
    <row r="36" spans="1:9">
      <c r="A36" t="s">
        <v>256</v>
      </c>
    </row>
    <row r="37" spans="1:9">
      <c r="A37" t="s">
        <v>257</v>
      </c>
    </row>
    <row r="38" spans="1:9">
      <c r="A38" t="s">
        <v>258</v>
      </c>
    </row>
    <row r="39" spans="1:9">
      <c r="A39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2">
        <f>+INDEX(Sheet1!$K$37:$K$44,COLUMN()-COLUMN($B$82)+1)</f>
        <v>-11.375</v>
      </c>
      <c r="C49" s="22">
        <f>+INDEX(Sheet1!$K$37:$K$44,COLUMN()-COLUMN($B$82)+1)</f>
        <v>-11.375</v>
      </c>
      <c r="D49" s="22">
        <f>+INDEX(Sheet1!$K$37:$K$44,COLUMN()-COLUMN($B$82)+1)</f>
        <v>-11.375</v>
      </c>
      <c r="E49" s="22">
        <f>+INDEX(Sheet1!$K$37:$K$44,COLUMN()-COLUMN($B$82)+1)</f>
        <v>-11.375</v>
      </c>
      <c r="F49" s="22">
        <f>+INDEX(Sheet1!$K$37:$K$44,COLUMN()-COLUMN($B$82)+1)</f>
        <v>-706.67</v>
      </c>
      <c r="G49" s="22">
        <f>+INDEX(Sheet1!$K$37:$K$44,COLUMN()-COLUMN($B$82)+1)</f>
        <v>-978.46</v>
      </c>
      <c r="H49" s="22">
        <f>+INDEX(Sheet1!$K$37:$K$44,COLUMN()-COLUMN($B$82)+1)</f>
        <v>-978.46</v>
      </c>
      <c r="I49" s="22">
        <f>+INDEX(Sheet1!$K$37:$K$44,COLUMN()-COLUMN($B$82)+1)</f>
        <v>5.666666666666667</v>
      </c>
    </row>
    <row r="50" spans="1:9">
      <c r="A50" t="s">
        <v>222</v>
      </c>
      <c r="B50" s="22">
        <f>+INDEX(Sheet1!$D$37:$D$44,COLUMN()-COLUMN($B$82)+1)++INDEX(Sheet1!$S$37:$S$44,COLUMN()-COLUMN($B$82)+1)</f>
        <v>-180</v>
      </c>
      <c r="C50" s="22">
        <f>+INDEX(Sheet1!$D$37:$D$44,COLUMN()-COLUMN($B$82)+1)++INDEX(Sheet1!$S$37:$S$44,COLUMN()-COLUMN($B$82)+1)</f>
        <v>-315</v>
      </c>
      <c r="D50" s="22">
        <f>+INDEX(Sheet1!$D$37:$D$44,COLUMN()-COLUMN($B$82)+1)++INDEX(Sheet1!$S$37:$S$44,COLUMN()-COLUMN($B$82)+1)</f>
        <v>24.257819103972956</v>
      </c>
      <c r="E50" s="22">
        <f>+INDEX(Sheet1!$D$37:$D$44,COLUMN()-COLUMN($B$82)+1)++INDEX(Sheet1!$S$37:$S$44,COLUMN()-COLUMN($B$82)+1)</f>
        <v>-180</v>
      </c>
      <c r="F50" s="22">
        <f>+INDEX(Sheet1!$D$37:$D$44,COLUMN()-COLUMN($B$82)+1)++INDEX(Sheet1!$S$37:$S$44,COLUMN()-COLUMN($B$82)+1)</f>
        <v>90</v>
      </c>
      <c r="G50" s="22">
        <f>+INDEX(Sheet1!$D$37:$D$44,COLUMN()-COLUMN($B$82)+1)++INDEX(Sheet1!$S$37:$S$44,COLUMN()-COLUMN($B$82)+1)</f>
        <v>-20</v>
      </c>
      <c r="H50" s="22">
        <f>+INDEX(Sheet1!$D$37:$D$44,COLUMN()-COLUMN($B$82)+1)++INDEX(Sheet1!$S$37:$S$44,COLUMN()-COLUMN($B$82)+1)</f>
        <v>-52</v>
      </c>
      <c r="I50" s="22">
        <f>+INDEX(Sheet1!$D$37:$D$44,COLUMN()-COLUMN($B$82)+1)++INDEX(Sheet1!$S$37:$S$44,COLUMN()-COLUMN($B$82)+1)</f>
        <v>281.11764705882354</v>
      </c>
    </row>
    <row r="52" spans="1:9">
      <c r="A52" t="s">
        <v>105</v>
      </c>
      <c r="B52">
        <v>0</v>
      </c>
    </row>
    <row r="53" spans="1:9" ht="15.75" customHeight="1"/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2">
        <f>+INDEX(Sheet1!$H$37:$H$44,COLUMN()-COLUMN($B$82)+1)</f>
        <v>10</v>
      </c>
      <c r="C59" s="22">
        <f>+INDEX(Sheet1!$H$37:$H$44,COLUMN()-COLUMN($B$82)+1)</f>
        <v>160.80000000000001</v>
      </c>
      <c r="D59" s="22">
        <f>+INDEX(Sheet1!$H$37:$H$44,COLUMN()-COLUMN($B$82)+1)</f>
        <v>80</v>
      </c>
      <c r="E59" s="22">
        <f>+INDEX(Sheet1!$H$37:$H$44,COLUMN()-COLUMN($B$82)+1)</f>
        <v>106</v>
      </c>
      <c r="F59" s="22">
        <f>+INDEX(Sheet1!$H$37:$H$44,COLUMN()-COLUMN($B$82)+1)</f>
        <v>90</v>
      </c>
      <c r="G59" s="22">
        <f>+INDEX(Sheet1!$H$37:$H$44,COLUMN()-COLUMN($B$82)+1)</f>
        <v>0</v>
      </c>
      <c r="H59" s="22">
        <f>+INDEX(Sheet1!$H$37:$H$44,COLUMN()-COLUMN($B$82)+1)</f>
        <v>40</v>
      </c>
      <c r="I59" s="22">
        <f>+INDEX(Sheet1!$H$37:$H$44,COLUMN()-COLUMN($B$82)+1)</f>
        <v>60</v>
      </c>
    </row>
    <row r="60" spans="1:9">
      <c r="A60" t="s">
        <v>229</v>
      </c>
      <c r="B60" s="22">
        <f>+INDEX(Sheet1!$G$37:$G$44,COLUMN()-COLUMN($B$82)+1)</f>
        <v>-95.5</v>
      </c>
      <c r="C60" s="22">
        <f>+INDEX(Sheet1!$G$37:$G$44,COLUMN()-COLUMN($B$82)+1)</f>
        <v>0</v>
      </c>
      <c r="D60" s="22">
        <f>+INDEX(Sheet1!$G$37:$G$44,COLUMN()-COLUMN($B$82)+1)</f>
        <v>-37</v>
      </c>
      <c r="E60" s="22">
        <f>+INDEX(Sheet1!$G$37:$G$44,COLUMN()-COLUMN($B$82)+1)</f>
        <v>5.5</v>
      </c>
      <c r="F60" s="22">
        <f>+INDEX(Sheet1!$G$37:$G$44,COLUMN()-COLUMN($B$82)+1)</f>
        <v>-90</v>
      </c>
      <c r="G60" s="22">
        <f>+INDEX(Sheet1!$G$37:$G$44,COLUMN()-COLUMN($B$82)+1)</f>
        <v>-90</v>
      </c>
      <c r="H60" s="22">
        <f>+INDEX(Sheet1!$G$37:$G$44,COLUMN()-COLUMN($B$82)+1)</f>
        <v>-20</v>
      </c>
      <c r="I60" s="22">
        <f>+INDEX(Sheet1!$G$37:$G$44,COLUMN()-COLUMN($B$82)+1)</f>
        <v>0</v>
      </c>
    </row>
    <row r="63" spans="1:9">
      <c r="A63" t="s">
        <v>224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9">
      <c r="A64" t="s">
        <v>218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2">
        <f>+$B$3</f>
        <v>1333</v>
      </c>
      <c r="F68" s="22">
        <f t="shared" ref="F68:F75" si="0">+$B$3</f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2">
        <f>+$B$3</f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2">
        <f t="shared" ref="E70:E75" si="1">+$B$3</f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2">
        <f>+$B$3</f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2">
        <f t="shared" si="1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2">
        <f t="shared" si="1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2">
        <f t="shared" si="1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-200</v>
      </c>
      <c r="C75">
        <v>-200</v>
      </c>
      <c r="D75">
        <v>-1</v>
      </c>
      <c r="E75" s="22">
        <f t="shared" si="1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2">
        <f>+INDEX(Sheet1!$L$37:$L$44,COLUMN()-COLUMN($B$82)+1)</f>
        <v>2388.75</v>
      </c>
      <c r="C80" s="22">
        <f>+INDEX(Sheet1!$L$37:$L$44,COLUMN()-COLUMN($B$82)+1)</f>
        <v>3241.875</v>
      </c>
      <c r="D80" s="22">
        <f>+INDEX(Sheet1!$L$37:$L$44,COLUMN()-COLUMN($B$82)+1)</f>
        <v>-275.93269230769238</v>
      </c>
      <c r="E80" s="22">
        <f>+INDEX(Sheet1!$L$37:$L$44,COLUMN()-COLUMN($B$82)+1)</f>
        <v>1532</v>
      </c>
      <c r="F80" s="22">
        <f>+INDEX(Sheet1!$L$37:$L$44,COLUMN()-COLUMN($B$82)+1)</f>
        <v>550</v>
      </c>
      <c r="G80" s="22">
        <f>+INDEX(Sheet1!$L$37:$L$44,COLUMN()-COLUMN($B$82)+1)</f>
        <v>750</v>
      </c>
      <c r="H80" s="22">
        <f>+INDEX(Sheet1!$L$37:$L$44,COLUMN()-COLUMN($B$82)+1)</f>
        <v>750</v>
      </c>
      <c r="I80" s="22">
        <f>+INDEX(Sheet1!$L$37:$L$44,COLUMN()-COLUMN($B$82)+1)</f>
        <v>1593.0000000000002</v>
      </c>
    </row>
    <row r="81" spans="1:9">
      <c r="A81" t="s">
        <v>131</v>
      </c>
      <c r="B81" s="22">
        <f>+INDEX(Sheet1!$M$37:$M$44,COLUMN()-COLUMN($B$82)+1)</f>
        <v>10</v>
      </c>
      <c r="C81" s="22">
        <f>+INDEX(Sheet1!$M$37:$M$44,COLUMN()-COLUMN($B$82)+1)</f>
        <v>10</v>
      </c>
      <c r="D81" s="22">
        <f>+INDEX(Sheet1!$M$37:$M$44,COLUMN()-COLUMN($B$82)+1)</f>
        <v>10</v>
      </c>
      <c r="E81" s="22">
        <f>+INDEX(Sheet1!$M$37:$M$44,COLUMN()-COLUMN($B$82)+1)</f>
        <v>10</v>
      </c>
      <c r="F81" s="22">
        <f>+INDEX(Sheet1!$M$37:$M$44,COLUMN()-COLUMN($B$82)+1)</f>
        <v>20</v>
      </c>
      <c r="G81" s="22">
        <f>+INDEX(Sheet1!$M$37:$M$44,COLUMN()-COLUMN($B$82)+1)</f>
        <v>-10</v>
      </c>
      <c r="H81" s="22">
        <f>+INDEX(Sheet1!$M$37:$M$44,COLUMN()-COLUMN($B$82)+1)</f>
        <v>-10</v>
      </c>
      <c r="I81" s="22">
        <f>+INDEX(Sheet1!$M$37:$M$44,COLUMN()-COLUMN($B$82)+1)</f>
        <v>100</v>
      </c>
    </row>
    <row r="82" spans="1:9">
      <c r="A82" t="s">
        <v>132</v>
      </c>
      <c r="B82" s="22">
        <f>+INDEX(Sheet1!$N$37:$N$44,COLUMN()-COLUMN($B$82)+1)</f>
        <v>2491.125</v>
      </c>
      <c r="C82" s="22">
        <f>+INDEX(Sheet1!$N$37:$N$44,COLUMN()-COLUMN($B$82)+1)</f>
        <v>3595.6375000000003</v>
      </c>
      <c r="D82" s="22">
        <f>+INDEX(Sheet1!$N$37:$N$44,COLUMN()-COLUMN($B$82)+1)</f>
        <v>3509.6140625000003</v>
      </c>
      <c r="E82" s="22">
        <f>+INDEX(Sheet1!$N$37:$N$44,COLUMN()-COLUMN($B$82)+1)</f>
        <v>2055.4625000000001</v>
      </c>
      <c r="F82" s="22">
        <f>+INDEX(Sheet1!$N$37:$N$44,COLUMN()-COLUMN($B$82)+1)</f>
        <v>0</v>
      </c>
      <c r="G82" s="22">
        <f>+INDEX(Sheet1!$N$37:$N$44,COLUMN()-COLUMN($B$82)+1)</f>
        <v>0</v>
      </c>
      <c r="H82" s="22">
        <f>+INDEX(Sheet1!$N$37:$N$44,COLUMN()-COLUMN($B$82)+1)</f>
        <v>0</v>
      </c>
      <c r="I82" s="22">
        <f>+INDEX(Sheet1!$N$37:$N$44,COLUMN()-COLUMN($B$82)+1)</f>
        <v>0</v>
      </c>
    </row>
    <row r="83" spans="1:9">
      <c r="A83" t="s">
        <v>133</v>
      </c>
      <c r="B83" s="22">
        <f>+INDEX(Sheet1!$O$37:$O$44,COLUMN()-COLUMN($B$82)+1)</f>
        <v>-30</v>
      </c>
      <c r="C83" s="22">
        <f>+INDEX(Sheet1!$O$37:$O$44,COLUMN()-COLUMN($B$82)+1)</f>
        <v>30</v>
      </c>
      <c r="D83" s="22">
        <f>+INDEX(Sheet1!$O$37:$O$44,COLUMN()-COLUMN($B$82)+1)</f>
        <v>0</v>
      </c>
      <c r="E83" s="22">
        <f>+INDEX(Sheet1!$O$37:$O$44,COLUMN()-COLUMN($B$82)+1)</f>
        <v>45</v>
      </c>
      <c r="F83" s="22">
        <f>+INDEX(Sheet1!$O$37:$O$44,COLUMN()-COLUMN($B$82)+1)</f>
        <v>0</v>
      </c>
      <c r="G83" s="22">
        <f>+INDEX(Sheet1!$O$37:$O$44,COLUMN()-COLUMN($B$82)+1)</f>
        <v>0</v>
      </c>
      <c r="H83" s="22">
        <f>+INDEX(Sheet1!$O$37:$O$44,COLUMN()-COLUMN($B$82)+1)</f>
        <v>0</v>
      </c>
      <c r="I83" s="22">
        <f>+INDEX(Sheet1!$O$37:$O$44,COLUMN()-COLUMN($B$82)+1)</f>
        <v>0</v>
      </c>
    </row>
    <row r="84" spans="1:9">
      <c r="A84" t="s">
        <v>134</v>
      </c>
      <c r="B84" s="22">
        <f>+INDEX(Sheet1!$P$37:$P$44,COLUMN()-COLUMN($B$82)+1)</f>
        <v>10</v>
      </c>
      <c r="C84" s="22">
        <f>+INDEX(Sheet1!$P$37:$P$44,COLUMN()-COLUMN($B$82)+1)</f>
        <v>10</v>
      </c>
      <c r="D84" s="22">
        <f>+INDEX(Sheet1!$P$37:$P$44,COLUMN()-COLUMN($B$82)+1)</f>
        <v>10</v>
      </c>
      <c r="E84" s="22">
        <f>+INDEX(Sheet1!$P$37:$P$44,COLUMN()-COLUMN($B$82)+1)</f>
        <v>10</v>
      </c>
      <c r="F84" s="22">
        <f>+INDEX(Sheet1!$P$37:$P$44,COLUMN()-COLUMN($B$82)+1)</f>
        <v>30</v>
      </c>
      <c r="G84" s="22">
        <f>+INDEX(Sheet1!$P$37:$P$44,COLUMN()-COLUMN($B$82)+1)</f>
        <v>30</v>
      </c>
      <c r="H84" s="22">
        <f>+INDEX(Sheet1!$P$37:$P$44,COLUMN()-COLUMN($B$82)+1)</f>
        <v>30</v>
      </c>
      <c r="I84" s="22">
        <f>+INDEX(Sheet1!$P$37:$P$44,COLUMN()-COLUMN($B$82)+1)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2">
        <f>+INDEX(Sheet1!$Q$37:$Q$44,COLUMN()-COLUMN($B$82)+1)</f>
        <v>-30</v>
      </c>
      <c r="C88" s="22">
        <f>+INDEX(Sheet1!$Q$37:$Q$44,COLUMN()-COLUMN($B$82)+1)</f>
        <v>30</v>
      </c>
      <c r="D88" s="22">
        <f>+INDEX(Sheet1!$Q$37:$Q$44,COLUMN()-COLUMN($B$82)+1)</f>
        <v>0</v>
      </c>
      <c r="E88" s="22">
        <f>+INDEX(Sheet1!$Q$37:$Q$44,COLUMN()-COLUMN($B$82)+1)</f>
        <v>45</v>
      </c>
      <c r="F88" s="22">
        <f>+INDEX(Sheet1!$Q$37:$Q$44,COLUMN()-COLUMN($B$82)+1)</f>
        <v>0</v>
      </c>
      <c r="G88" s="22">
        <f>+INDEX(Sheet1!$Q$37:$Q$44,COLUMN()-COLUMN($B$82)+1)</f>
        <v>0</v>
      </c>
      <c r="H88" s="22">
        <f>+INDEX(Sheet1!$Q$37:$Q$44,COLUMN()-COLUMN($B$82)+1)</f>
        <v>40</v>
      </c>
      <c r="I88" s="22">
        <f>+INDEX(Sheet1!$Q$37:$Q$44,COLUMN()-COLUMN($B$82)+1)</f>
        <v>0</v>
      </c>
    </row>
    <row r="89" spans="1:9">
      <c r="A89" t="s">
        <v>137</v>
      </c>
      <c r="B89" s="22">
        <f>+INDEX(Sheet1!$R$37:$R$44,COLUMN()-COLUMN($B$82)+1)</f>
        <v>10</v>
      </c>
      <c r="C89" s="22">
        <f>+INDEX(Sheet1!$R$37:$R$44,COLUMN()-COLUMN($B$82)+1)</f>
        <v>10</v>
      </c>
      <c r="D89" s="22">
        <f>+INDEX(Sheet1!$R$37:$R$44,COLUMN()-COLUMN($B$82)+1)</f>
        <v>10</v>
      </c>
      <c r="E89" s="22">
        <f>+INDEX(Sheet1!$R$37:$R$44,COLUMN()-COLUMN($B$82)+1)</f>
        <v>10</v>
      </c>
      <c r="F89" s="22">
        <f>+INDEX(Sheet1!$R$37:$R$44,COLUMN()-COLUMN($B$82)+1)</f>
        <v>30</v>
      </c>
      <c r="G89" s="22">
        <f>+INDEX(Sheet1!$R$37:$R$44,COLUMN()-COLUMN($B$82)+1)</f>
        <v>30</v>
      </c>
      <c r="H89" s="22">
        <f>+INDEX(Sheet1!$R$37:$R$44,COLUMN()-COLUMN($B$82)+1)</f>
        <v>30</v>
      </c>
      <c r="I89" s="22">
        <f>+INDEX(Sheet1!$R$37:$R$44,COLUMN()-COLUMN($B$82)+1)</f>
        <v>100</v>
      </c>
    </row>
    <row r="92" spans="1:9">
      <c r="A92" t="s">
        <v>104</v>
      </c>
    </row>
    <row r="93" spans="1:9">
      <c r="A93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52" zoomScaleNormal="100" workbookViewId="0">
      <selection activeCell="H68" sqref="H68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77</v>
      </c>
      <c r="B3" s="17">
        <v>1333</v>
      </c>
      <c r="D3" t="s">
        <v>78</v>
      </c>
      <c r="F3" t="s">
        <v>79</v>
      </c>
    </row>
    <row r="4" spans="1:6">
      <c r="A4" s="18"/>
      <c r="B4" s="19"/>
    </row>
    <row r="5" spans="1:6">
      <c r="B5">
        <v>7000</v>
      </c>
    </row>
    <row r="8" spans="1:6">
      <c r="A8" t="s">
        <v>82</v>
      </c>
    </row>
    <row r="9" spans="1:6">
      <c r="A9" t="s">
        <v>143</v>
      </c>
    </row>
    <row r="10" spans="1:6">
      <c r="A10" t="s">
        <v>84</v>
      </c>
    </row>
    <row r="11" spans="1:6">
      <c r="A11" t="s">
        <v>85</v>
      </c>
    </row>
    <row r="12" spans="1:6">
      <c r="A12" t="s">
        <v>86</v>
      </c>
      <c r="B12" t="s">
        <v>144</v>
      </c>
    </row>
    <row r="13" spans="1:6">
      <c r="A13" t="s">
        <v>88</v>
      </c>
      <c r="B13">
        <v>10</v>
      </c>
    </row>
    <row r="14" spans="1:6">
      <c r="A14" t="s">
        <v>145</v>
      </c>
      <c r="B14" t="s">
        <v>146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147</v>
      </c>
      <c r="B18">
        <v>500</v>
      </c>
    </row>
    <row r="19" spans="1:9">
      <c r="A19" t="s">
        <v>148</v>
      </c>
      <c r="B19">
        <v>500</v>
      </c>
    </row>
    <row r="20" spans="1:9">
      <c r="A20" t="s">
        <v>149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270</v>
      </c>
    </row>
    <row r="31" spans="1:9">
      <c r="A31" t="s">
        <v>271</v>
      </c>
    </row>
    <row r="32" spans="1:9">
      <c r="A32" t="s">
        <v>266</v>
      </c>
      <c r="B32" t="s">
        <v>280</v>
      </c>
    </row>
    <row r="33" spans="1:9">
      <c r="A33" t="s">
        <v>272</v>
      </c>
    </row>
    <row r="34" spans="1:9">
      <c r="A34" t="s">
        <v>273</v>
      </c>
    </row>
    <row r="35" spans="1:9">
      <c r="A35" t="s">
        <v>274</v>
      </c>
    </row>
    <row r="36" spans="1:9">
      <c r="A36" t="s">
        <v>275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248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236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214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235</v>
      </c>
      <c r="B49" s="35">
        <f>+INDEX(Sheet1!$K$48:$K$56,COLUMN()-COLUMN($B$83)+1)</f>
        <v>15.53</v>
      </c>
      <c r="C49" s="35">
        <f>+INDEX(Sheet1!$K$48:$K$56,COLUMN()-COLUMN($B$83)+1)</f>
        <v>-2.411111111111111</v>
      </c>
      <c r="D49" s="35">
        <f>+INDEX(Sheet1!$K$48:$K$56,COLUMN()-COLUMN($B$83)+1)</f>
        <v>-2.588888888888889</v>
      </c>
      <c r="E49" s="35">
        <f>+INDEX(Sheet1!$K$48:$K$56,COLUMN()-COLUMN($B$83)+1)</f>
        <v>-2.1333333333333333</v>
      </c>
      <c r="F49" s="35">
        <f>+INDEX(Sheet1!$K$48:$K$56,COLUMN()-COLUMN($B$83)+1)</f>
        <v>-2.3277777777777779</v>
      </c>
      <c r="G49" s="35">
        <f>+INDEX(Sheet1!$K$48:$K$56,COLUMN()-COLUMN($B$83)+1)</f>
        <v>-2.3111111111111109</v>
      </c>
      <c r="H49" s="35">
        <f>+INDEX(Sheet1!$K$48:$K$56,COLUMN()-COLUMN($B$83)+1)</f>
        <v>-2.6333333333333333</v>
      </c>
      <c r="I49" s="35">
        <f>+INDEX(Sheet1!$K$48:$K$56,COLUMN()-COLUMN($B$83)+1)</f>
        <v>-2.162962962962963</v>
      </c>
    </row>
    <row r="50" spans="1:9">
      <c r="A50" t="s">
        <v>222</v>
      </c>
      <c r="B50" s="35">
        <f>+INDEX(Sheet1!$D$48:$D$56,COLUMN()-COLUMN($B$83)+1)++INDEX(Sheet1!$S$48:$S$56,COLUMN()-COLUMN($B$83)+1)</f>
        <v>28.480360592401805</v>
      </c>
      <c r="C50" s="35">
        <f>+INDEX(Sheet1!$D$48:$D$56,COLUMN()-COLUMN($B$83)+1)++INDEX(Sheet1!$S$48:$S$56,COLUMN()-COLUMN($B$83)+1)</f>
        <v>-101.61290322580646</v>
      </c>
      <c r="D50" s="35">
        <f>+INDEX(Sheet1!$D$48:$D$56,COLUMN()-COLUMN($B$83)+1)++INDEX(Sheet1!$S$48:$S$56,COLUMN()-COLUMN($B$83)+1)</f>
        <v>-187.725321888412</v>
      </c>
      <c r="E50" s="35">
        <f>+INDEX(Sheet1!$D$48:$D$56,COLUMN()-COLUMN($B$83)+1)++INDEX(Sheet1!$S$48:$S$56,COLUMN()-COLUMN($B$83)+1)</f>
        <v>-111.09375</v>
      </c>
      <c r="F50" s="35">
        <f>+INDEX(Sheet1!$D$48:$D$56,COLUMN()-COLUMN($B$83)+1)++INDEX(Sheet1!$S$48:$S$56,COLUMN()-COLUMN($B$83)+1)</f>
        <v>-208.78281622911692</v>
      </c>
      <c r="G50" s="35">
        <f>+INDEX(Sheet1!$D$48:$D$56,COLUMN()-COLUMN($B$83)+1)++INDEX(Sheet1!$S$48:$S$56,COLUMN()-COLUMN($B$83)+1)</f>
        <v>-103.84615384615385</v>
      </c>
      <c r="H50" s="35">
        <f>+INDEX(Sheet1!$D$48:$D$56,COLUMN()-COLUMN($B$83)+1)++INDEX(Sheet1!$S$48:$S$56,COLUMN()-COLUMN($B$83)+1)</f>
        <v>-182.27848101265823</v>
      </c>
      <c r="I50" s="35">
        <f>+INDEX(Sheet1!$D$48:$D$56,COLUMN()-COLUMN($B$83)+1)++INDEX(Sheet1!$S$48:$S$56,COLUMN()-COLUMN($B$83)+1)</f>
        <v>-316.23287671232879</v>
      </c>
    </row>
    <row r="52" spans="1:9">
      <c r="A52" t="s">
        <v>105</v>
      </c>
      <c r="B52">
        <v>0</v>
      </c>
    </row>
    <row r="55" spans="1:9">
      <c r="A55" t="s">
        <v>150</v>
      </c>
    </row>
    <row r="56" spans="1:9">
      <c r="A56" t="s">
        <v>238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151</v>
      </c>
    </row>
    <row r="59" spans="1:9">
      <c r="A59" t="s">
        <v>239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231</v>
      </c>
      <c r="B60" s="22">
        <f>+INDEX([1]Sheet1!$H$48:$H$77,COLUMN()-COLUMN($B$83)+1)</f>
        <v>90</v>
      </c>
      <c r="C60" s="22">
        <f>+INDEX([1]Sheet1!$H$48:$H$77,COLUMN()-COLUMN($B$83)+1)</f>
        <v>90</v>
      </c>
      <c r="D60" s="22">
        <f>+INDEX([1]Sheet1!$H$48:$H$77,COLUMN()-COLUMN($B$83)+1)</f>
        <v>180</v>
      </c>
      <c r="E60" s="22">
        <f>+INDEX([1]Sheet1!$H$48:$H$77,COLUMN()-COLUMN($B$83)+1)</f>
        <v>90</v>
      </c>
      <c r="F60" s="22">
        <f>+INDEX([1]Sheet1!$H$48:$H$77,COLUMN()-COLUMN($B$83)+1)</f>
        <v>180</v>
      </c>
      <c r="G60" s="22">
        <f>+INDEX([1]Sheet1!$H$48:$H$77,COLUMN()-COLUMN($B$83)+1)</f>
        <v>90</v>
      </c>
      <c r="H60" s="22">
        <f>+INDEX([1]Sheet1!$H$48:$H$77,COLUMN()-COLUMN($B$83)+1)</f>
        <v>180</v>
      </c>
      <c r="I60" s="22">
        <f>+INDEX([1]Sheet1!$H$48:$H$77,COLUMN()-COLUMN($B$83)+1)</f>
        <v>270</v>
      </c>
    </row>
    <row r="61" spans="1:9">
      <c r="A61" t="s">
        <v>232</v>
      </c>
      <c r="B61" s="22">
        <f>+INDEX([1]Sheet1!$G$48:$G$77,COLUMN()-COLUMN($B$83)+1)</f>
        <v>-10</v>
      </c>
      <c r="C61" s="22">
        <f>+INDEX([1]Sheet1!$G$48:$G$77,COLUMN()-COLUMN($B$83)+1)</f>
        <v>0</v>
      </c>
      <c r="D61" s="22">
        <f>+INDEX([1]Sheet1!$G$48:$G$77,COLUMN()-COLUMN($B$83)+1)</f>
        <v>0</v>
      </c>
      <c r="E61" s="22">
        <f>+INDEX([1]Sheet1!$G$48:$G$77,COLUMN()-COLUMN($B$83)+1)</f>
        <v>0</v>
      </c>
      <c r="F61" s="22">
        <f>+INDEX([1]Sheet1!$G$48:$G$77,COLUMN()-COLUMN($B$83)+1)</f>
        <v>0</v>
      </c>
      <c r="G61" s="22">
        <f>+INDEX([1]Sheet1!$G$48:$G$77,COLUMN()-COLUMN($B$83)+1)</f>
        <v>0</v>
      </c>
      <c r="H61" s="22">
        <f>+INDEX([1]Sheet1!$G$48:$G$77,COLUMN()-COLUMN($B$83)+1)</f>
        <v>0</v>
      </c>
      <c r="I61" s="22">
        <f>+INDEX([1]Sheet1!$G$48:$G$77,COLUMN()-COLUMN($B$83)+1)</f>
        <v>0</v>
      </c>
    </row>
    <row r="63" spans="1:9">
      <c r="A63" t="s">
        <v>233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5" spans="1:9">
      <c r="A65" t="s">
        <v>115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-8000</v>
      </c>
      <c r="C68">
        <v>-32000</v>
      </c>
      <c r="D68">
        <v>-5</v>
      </c>
      <c r="E68" s="22">
        <f t="shared" ref="E68:F75" si="0">+$B$3</f>
        <v>1333</v>
      </c>
      <c r="F68" s="22">
        <f t="shared" si="0"/>
        <v>1333</v>
      </c>
      <c r="G68">
        <v>10</v>
      </c>
      <c r="H68">
        <v>0</v>
      </c>
    </row>
    <row r="69" spans="1:9">
      <c r="A69" t="s">
        <v>117</v>
      </c>
      <c r="B69">
        <v>-8000</v>
      </c>
      <c r="C69">
        <v>-32000</v>
      </c>
      <c r="D69">
        <v>-5</v>
      </c>
      <c r="E69" s="22">
        <f t="shared" si="0"/>
        <v>1333</v>
      </c>
      <c r="F69" s="22">
        <f t="shared" si="0"/>
        <v>1333</v>
      </c>
      <c r="G69">
        <v>10</v>
      </c>
      <c r="H69">
        <v>0</v>
      </c>
    </row>
    <row r="70" spans="1:9">
      <c r="A70" t="s">
        <v>118</v>
      </c>
      <c r="B70">
        <v>8000</v>
      </c>
      <c r="C70">
        <v>32000</v>
      </c>
      <c r="D70">
        <v>5</v>
      </c>
      <c r="E70" s="22">
        <f t="shared" si="0"/>
        <v>1333</v>
      </c>
      <c r="F70" s="22">
        <f t="shared" si="0"/>
        <v>1333</v>
      </c>
      <c r="G70">
        <v>10</v>
      </c>
      <c r="H70">
        <v>0</v>
      </c>
    </row>
    <row r="71" spans="1:9">
      <c r="A71" t="s">
        <v>119</v>
      </c>
      <c r="B71">
        <v>-8000</v>
      </c>
      <c r="C71">
        <v>-32000</v>
      </c>
      <c r="D71">
        <v>-5</v>
      </c>
      <c r="E71" s="22">
        <f t="shared" si="0"/>
        <v>1333</v>
      </c>
      <c r="F71" s="22">
        <f>+$B$3</f>
        <v>1333</v>
      </c>
      <c r="G71">
        <v>10</v>
      </c>
      <c r="H71">
        <v>0</v>
      </c>
    </row>
    <row r="72" spans="1:9">
      <c r="A72" t="s">
        <v>120</v>
      </c>
      <c r="B72">
        <v>8000</v>
      </c>
      <c r="C72">
        <v>32000</v>
      </c>
      <c r="D72">
        <v>5</v>
      </c>
      <c r="E72" s="22">
        <f t="shared" si="0"/>
        <v>1333</v>
      </c>
      <c r="F72" s="22">
        <f t="shared" si="0"/>
        <v>1333</v>
      </c>
      <c r="G72">
        <v>10</v>
      </c>
      <c r="H72">
        <v>0</v>
      </c>
    </row>
    <row r="73" spans="1:9">
      <c r="A73" t="s">
        <v>121</v>
      </c>
      <c r="B73">
        <v>-8000</v>
      </c>
      <c r="C73">
        <v>-32000</v>
      </c>
      <c r="D73">
        <v>-5</v>
      </c>
      <c r="E73" s="22">
        <f t="shared" si="0"/>
        <v>1333</v>
      </c>
      <c r="F73" s="22">
        <f t="shared" si="0"/>
        <v>1333</v>
      </c>
      <c r="G73">
        <v>10</v>
      </c>
      <c r="H73">
        <v>0</v>
      </c>
    </row>
    <row r="74" spans="1:9">
      <c r="A74" t="s">
        <v>122</v>
      </c>
      <c r="B74">
        <v>-8000</v>
      </c>
      <c r="C74">
        <v>-32000</v>
      </c>
      <c r="D74">
        <v>-5</v>
      </c>
      <c r="E74" s="22">
        <f t="shared" si="0"/>
        <v>1333</v>
      </c>
      <c r="F74" s="22">
        <f t="shared" si="0"/>
        <v>1333</v>
      </c>
      <c r="G74">
        <v>10</v>
      </c>
      <c r="H74">
        <v>0</v>
      </c>
    </row>
    <row r="75" spans="1:9">
      <c r="A75" t="s">
        <v>123</v>
      </c>
      <c r="B75">
        <v>-120</v>
      </c>
      <c r="C75">
        <v>-1250</v>
      </c>
      <c r="D75">
        <v>0</v>
      </c>
      <c r="E75" s="22">
        <f t="shared" si="0"/>
        <v>1333</v>
      </c>
      <c r="F75" s="22">
        <f t="shared" si="0"/>
        <v>1333</v>
      </c>
      <c r="G75">
        <v>5</v>
      </c>
      <c r="H75">
        <v>0</v>
      </c>
    </row>
    <row r="77" spans="1:9">
      <c r="A77" t="s">
        <v>128</v>
      </c>
    </row>
    <row r="78" spans="1:9">
      <c r="A78" t="s">
        <v>234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130</v>
      </c>
      <c r="B80" s="22">
        <f>+INDEX(Sheet1!$L$48:$L$56,COLUMN()-COLUMN($B$81)+1)</f>
        <v>442.3</v>
      </c>
      <c r="C80" s="22">
        <f>+INDEX(Sheet1!$L$48:$L$56,COLUMN()-COLUMN($B$81)+1)</f>
        <v>245</v>
      </c>
      <c r="D80" s="22">
        <f>+INDEX(Sheet1!$L$48:$L$56,COLUMN()-COLUMN($B$81)+1)</f>
        <v>20</v>
      </c>
      <c r="E80" s="22">
        <f>+INDEX(Sheet1!$L$48:$L$56,COLUMN()-COLUMN($B$81)+1)</f>
        <v>237</v>
      </c>
      <c r="F80" s="22">
        <f>+INDEX(Sheet1!$L$48:$L$56,COLUMN()-COLUMN($B$81)+1)</f>
        <v>67</v>
      </c>
      <c r="G80" s="22">
        <f>+INDEX(Sheet1!$L$48:$L$56,COLUMN()-COLUMN($B$81)+1)</f>
        <v>240</v>
      </c>
      <c r="H80" s="22">
        <f>+INDEX(Sheet1!$L$48:$L$56,COLUMN()-COLUMN($B$81)+1)</f>
        <v>6</v>
      </c>
      <c r="I80" s="22">
        <f>+INDEX(Sheet1!$L$48:$L$56,COLUMN()-COLUMN($B$81)+1)</f>
        <v>684</v>
      </c>
    </row>
    <row r="81" spans="1:9">
      <c r="A81" t="s">
        <v>131</v>
      </c>
      <c r="B81" s="22">
        <f>+INDEX(Sheet1!$M$48:$M$56,COLUMN()-COLUMN($B$81)+1)</f>
        <v>10</v>
      </c>
      <c r="C81" s="22">
        <f>+INDEX(Sheet1!$M$48:$M$56,COLUMN()-COLUMN($B$81)+1)</f>
        <v>10</v>
      </c>
      <c r="D81" s="22">
        <f>+INDEX(Sheet1!$M$48:$M$56,COLUMN()-COLUMN($B$81)+1)</f>
        <v>10</v>
      </c>
      <c r="E81" s="22">
        <f>+INDEX(Sheet1!$M$48:$M$56,COLUMN()-COLUMN($B$81)+1)</f>
        <v>10</v>
      </c>
      <c r="F81" s="22">
        <f>+INDEX(Sheet1!$M$48:$M$56,COLUMN()-COLUMN($B$81)+1)</f>
        <v>10</v>
      </c>
      <c r="G81" s="22">
        <f>+INDEX(Sheet1!$M$48:$M$56,COLUMN()-COLUMN($B$81)+1)</f>
        <v>10</v>
      </c>
      <c r="H81" s="22">
        <f>+INDEX(Sheet1!$M$48:$M$56,COLUMN()-COLUMN($B$81)+1)</f>
        <v>10</v>
      </c>
      <c r="I81" s="22">
        <f>+INDEX(Sheet1!$M$48:$M$56,COLUMN()-COLUMN($B$81)+1)</f>
        <v>10</v>
      </c>
    </row>
    <row r="82" spans="1:9">
      <c r="A82" t="s">
        <v>132</v>
      </c>
      <c r="B82" s="22">
        <f>+INDEX(Sheet1!$N$48:$N$56,COLUMN()-COLUMN($B$81)+1)</f>
        <v>0</v>
      </c>
      <c r="C82" s="22">
        <f>+INDEX(Sheet1!$N$48:$N$56,COLUMN()-COLUMN($B$81)+1)</f>
        <v>6000</v>
      </c>
      <c r="D82" s="22">
        <f>+INDEX(Sheet1!$N$48:$N$56,COLUMN()-COLUMN($B$81)+1)</f>
        <v>6500</v>
      </c>
      <c r="E82" s="22">
        <f>+INDEX(Sheet1!$N$48:$N$56,COLUMN()-COLUMN($B$81)+1)</f>
        <v>6000</v>
      </c>
      <c r="F82" s="22">
        <f>+INDEX(Sheet1!$N$48:$N$56,COLUMN()-COLUMN($B$81)+1)</f>
        <v>6500</v>
      </c>
      <c r="G82" s="22">
        <f>+INDEX(Sheet1!$N$48:$N$56,COLUMN()-COLUMN($B$81)+1)</f>
        <v>6000</v>
      </c>
      <c r="H82" s="22">
        <f>+INDEX(Sheet1!$N$48:$N$56,COLUMN()-COLUMN($B$81)+1)</f>
        <v>-6500</v>
      </c>
      <c r="I82" s="22">
        <f>+INDEX(Sheet1!$N$48:$N$56,COLUMN()-COLUMN($B$81)+1)</f>
        <v>26000</v>
      </c>
    </row>
    <row r="83" spans="1:9">
      <c r="A83" t="s">
        <v>133</v>
      </c>
      <c r="B83" s="22">
        <f>+INDEX(Sheet1!$O$48:$O$56,COLUMN()-COLUMN($B$81)+1)</f>
        <v>0</v>
      </c>
      <c r="C83" s="22">
        <f>+INDEX(Sheet1!$O$48:$O$56,COLUMN()-COLUMN($B$81)+1)</f>
        <v>0</v>
      </c>
      <c r="D83" s="22">
        <f>+INDEX(Sheet1!$O$48:$O$56,COLUMN()-COLUMN($B$81)+1)</f>
        <v>0</v>
      </c>
      <c r="E83" s="22">
        <f>+INDEX(Sheet1!$O$48:$O$56,COLUMN()-COLUMN($B$81)+1)</f>
        <v>0</v>
      </c>
      <c r="F83" s="22">
        <f>+INDEX(Sheet1!$O$48:$O$56,COLUMN()-COLUMN($B$81)+1)</f>
        <v>0</v>
      </c>
      <c r="G83" s="22">
        <f>+INDEX(Sheet1!$O$48:$O$56,COLUMN()-COLUMN($B$81)+1)</f>
        <v>0</v>
      </c>
      <c r="H83" s="22">
        <f>+INDEX(Sheet1!$O$48:$O$56,COLUMN()-COLUMN($B$81)+1)</f>
        <v>0</v>
      </c>
      <c r="I83" s="22">
        <f>+INDEX(Sheet1!$O$48:$O$56,COLUMN()-COLUMN($B$81)+1)</f>
        <v>0</v>
      </c>
    </row>
    <row r="84" spans="1:9">
      <c r="A84" t="s">
        <v>134</v>
      </c>
      <c r="B84" s="22">
        <f>+INDEX(Sheet1!$P$48:$P$56,COLUMN()-COLUMN($B$81)+1)</f>
        <v>100</v>
      </c>
      <c r="C84" s="22">
        <f>+INDEX(Sheet1!$P$48:$P$56,COLUMN()-COLUMN($B$81)+1)</f>
        <v>100</v>
      </c>
      <c r="D84" s="22">
        <f>+INDEX(Sheet1!$P$48:$P$56,COLUMN()-COLUMN($B$81)+1)</f>
        <v>100</v>
      </c>
      <c r="E84" s="22">
        <f>+INDEX(Sheet1!$P$48:$P$56,COLUMN()-COLUMN($B$81)+1)</f>
        <v>100</v>
      </c>
      <c r="F84" s="22">
        <f>+INDEX(Sheet1!$P$48:$P$56,COLUMN()-COLUMN($B$81)+1)</f>
        <v>100</v>
      </c>
      <c r="G84" s="22">
        <f>+INDEX(Sheet1!$P$48:$P$56,COLUMN()-COLUMN($B$81)+1)</f>
        <v>100</v>
      </c>
      <c r="H84" s="22">
        <f>+INDEX(Sheet1!$P$48:$P$56,COLUMN()-COLUMN($B$81)+1)</f>
        <v>100</v>
      </c>
      <c r="I84" s="22">
        <f>+INDEX(Sheet1!$P$48:$P$56,COLUMN()-COLUMN($B$81)+1)</f>
        <v>100</v>
      </c>
    </row>
    <row r="86" spans="1:9">
      <c r="A86" t="s">
        <v>135</v>
      </c>
    </row>
    <row r="87" spans="1:9">
      <c r="A87" t="s">
        <v>234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2">
        <f>+INDEX(Sheet1!$Q$48:$Q$56,COLUMN()-COLUMN($B$81)+1)</f>
        <v>0</v>
      </c>
      <c r="C88" s="22">
        <f>+INDEX(Sheet1!$Q$48:$Q$56,COLUMN()-COLUMN($B$81)+1)</f>
        <v>0</v>
      </c>
      <c r="D88" s="22">
        <f>+INDEX(Sheet1!$Q$48:$Q$56,COLUMN()-COLUMN($B$81)+1)</f>
        <v>0</v>
      </c>
      <c r="E88" s="22">
        <f>+INDEX(Sheet1!$Q$48:$Q$56,COLUMN()-COLUMN($B$81)+1)</f>
        <v>0</v>
      </c>
      <c r="F88" s="22">
        <f>+INDEX(Sheet1!$Q$48:$Q$56,COLUMN()-COLUMN($B$81)+1)</f>
        <v>0</v>
      </c>
      <c r="G88" s="22">
        <f>+INDEX(Sheet1!$Q$48:$Q$56,COLUMN()-COLUMN($B$81)+1)</f>
        <v>0</v>
      </c>
      <c r="H88" s="22">
        <f>+INDEX(Sheet1!$Q$48:$Q$56,COLUMN()-COLUMN($B$81)+1)</f>
        <v>0</v>
      </c>
      <c r="I88" s="22">
        <f>+INDEX(Sheet1!$Q$48:$Q$56,COLUMN()-COLUMN($B$81)+1)</f>
        <v>0</v>
      </c>
    </row>
    <row r="89" spans="1:9">
      <c r="A89" t="s">
        <v>137</v>
      </c>
      <c r="B89" s="22">
        <f>+INDEX(Sheet1!$R$48:$R$56,COLUMN()-COLUMN($B$81)+1)</f>
        <v>10</v>
      </c>
      <c r="C89" s="22">
        <f>+INDEX(Sheet1!$R$48:$R$56,COLUMN()-COLUMN($B$81)+1)</f>
        <v>10</v>
      </c>
      <c r="D89" s="22">
        <f>+INDEX(Sheet1!$R$48:$R$56,COLUMN()-COLUMN($B$81)+1)</f>
        <v>10</v>
      </c>
      <c r="E89" s="22">
        <f>+INDEX(Sheet1!$R$48:$R$56,COLUMN()-COLUMN($B$81)+1)</f>
        <v>10</v>
      </c>
      <c r="F89" s="22">
        <f>+INDEX(Sheet1!$R$48:$R$56,COLUMN()-COLUMN($B$81)+1)</f>
        <v>10</v>
      </c>
      <c r="G89" s="22">
        <f>+INDEX(Sheet1!$R$48:$R$56,COLUMN()-COLUMN($B$81)+1)</f>
        <v>10</v>
      </c>
      <c r="H89" s="22">
        <f>+INDEX(Sheet1!$R$48:$R$56,COLUMN()-COLUMN($B$81)+1)</f>
        <v>10</v>
      </c>
      <c r="I89" s="22">
        <f>+INDEX(Sheet1!$R$48:$R$56,COLUMN()-COLUMN($B$81)+1)</f>
        <v>10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59" zoomScale="115" zoomScaleNormal="115" workbookViewId="0">
      <selection activeCell="F80" sqref="F80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77</v>
      </c>
      <c r="B2" s="17">
        <v>1333</v>
      </c>
      <c r="D2" t="s">
        <v>78</v>
      </c>
      <c r="F2" t="s">
        <v>79</v>
      </c>
    </row>
    <row r="3" spans="1:6">
      <c r="A3" s="18"/>
      <c r="B3" s="19"/>
    </row>
    <row r="5" spans="1:6">
      <c r="A5" s="20" t="s">
        <v>80</v>
      </c>
      <c r="B5" s="21">
        <v>7000</v>
      </c>
      <c r="D5" t="s">
        <v>81</v>
      </c>
    </row>
    <row r="9" spans="1:6">
      <c r="A9" t="s">
        <v>82</v>
      </c>
    </row>
    <row r="10" spans="1:6">
      <c r="A10" t="s">
        <v>152</v>
      </c>
    </row>
    <row r="11" spans="1:6">
      <c r="A11" t="s">
        <v>84</v>
      </c>
    </row>
    <row r="12" spans="1:6">
      <c r="A12" t="s">
        <v>85</v>
      </c>
    </row>
    <row r="13" spans="1:6">
      <c r="A13" t="s">
        <v>153</v>
      </c>
      <c r="B13" t="s">
        <v>154</v>
      </c>
    </row>
    <row r="14" spans="1:6">
      <c r="A14" t="s">
        <v>88</v>
      </c>
      <c r="B14">
        <v>2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141</v>
      </c>
      <c r="B18">
        <v>500</v>
      </c>
    </row>
    <row r="19" spans="1:9">
      <c r="A19" t="s">
        <v>142</v>
      </c>
      <c r="B19">
        <v>500</v>
      </c>
    </row>
    <row r="20" spans="1:9">
      <c r="A20" t="s">
        <v>94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276</v>
      </c>
    </row>
    <row r="31" spans="1:9">
      <c r="A31" t="s">
        <v>277</v>
      </c>
    </row>
    <row r="32" spans="1:9">
      <c r="A32" t="s">
        <v>253</v>
      </c>
      <c r="B32" t="s">
        <v>281</v>
      </c>
    </row>
    <row r="33" spans="1:9">
      <c r="A33" t="s">
        <v>254</v>
      </c>
    </row>
    <row r="34" spans="1:9">
      <c r="A34" t="s">
        <v>255</v>
      </c>
    </row>
    <row r="35" spans="1:9">
      <c r="A35" t="s">
        <v>256</v>
      </c>
    </row>
    <row r="36" spans="1:9">
      <c r="A36" t="s">
        <v>263</v>
      </c>
      <c r="C36" t="s">
        <v>264</v>
      </c>
    </row>
    <row r="37" spans="1:9">
      <c r="A37" t="s">
        <v>258</v>
      </c>
    </row>
    <row r="38" spans="1:9">
      <c r="A38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2">
        <f>+INDEX(Sheet1!$K$59:$K$67,COLUMN()-COLUMN($B$83)+1)</f>
        <v>11.375</v>
      </c>
      <c r="C49" s="22">
        <f>+INDEX(Sheet1!$K$59:$K$67,COLUMN()-COLUMN($B$83)+1)</f>
        <v>11.375</v>
      </c>
      <c r="D49" s="22">
        <f>+INDEX(Sheet1!$K$59:$K$67,COLUMN()-COLUMN($B$83)+1)</f>
        <v>11.375</v>
      </c>
      <c r="E49" s="22">
        <f>+INDEX(Sheet1!$K$59:$K$67,COLUMN()-COLUMN($B$83)+1)</f>
        <v>11.375</v>
      </c>
      <c r="F49" s="22">
        <f>+INDEX(Sheet1!$K$59:$K$67,COLUMN()-COLUMN($B$83)+1)</f>
        <v>706.67</v>
      </c>
      <c r="G49" s="22">
        <f>+INDEX(Sheet1!$K$59:$K$67,COLUMN()-COLUMN($B$83)+1)</f>
        <v>978.46</v>
      </c>
      <c r="H49" s="22">
        <f>+INDEX(Sheet1!$K$59:$K$67,COLUMN()-COLUMN($B$83)+1)</f>
        <v>978.46</v>
      </c>
      <c r="I49" s="22">
        <f>+INDEX(Sheet1!$K$59:$K$67,COLUMN()-COLUMN($B$83)+1)</f>
        <v>3.1666666666666665</v>
      </c>
    </row>
    <row r="50" spans="1:9">
      <c r="A50" t="s">
        <v>222</v>
      </c>
      <c r="B50" s="22">
        <f>+INDEX(Sheet1!$D$59:$D$66,COLUMN()-COLUMN($B$83)+1)++INDEX(Sheet1!$S$59:$S$66,COLUMN()-COLUMN($B$83)+1)</f>
        <v>180</v>
      </c>
      <c r="C50" s="22">
        <f>+INDEX(Sheet1!$D$59:$D$66,COLUMN()-COLUMN($B$83)+1)++INDEX(Sheet1!$S$59:$S$66,COLUMN()-COLUMN($B$83)+1)</f>
        <v>45</v>
      </c>
      <c r="D50" s="22">
        <f>+INDEX(Sheet1!$D$59:$D$66,COLUMN()-COLUMN($B$83)+1)++INDEX(Sheet1!$S$59:$S$66,COLUMN()-COLUMN($B$83)+1)</f>
        <v>245.74218089602704</v>
      </c>
      <c r="E50" s="22">
        <f>+INDEX(Sheet1!$D$59:$D$66,COLUMN()-COLUMN($B$83)+1)++INDEX(Sheet1!$S$59:$S$66,COLUMN()-COLUMN($B$83)+1)</f>
        <v>180</v>
      </c>
      <c r="F50" s="22">
        <f>+INDEX(Sheet1!$D$59:$D$66,COLUMN()-COLUMN($B$83)+1)++INDEX(Sheet1!$S$59:$S$66,COLUMN()-COLUMN($B$83)+1)</f>
        <v>90</v>
      </c>
      <c r="G50" s="22">
        <f>+INDEX(Sheet1!$D$59:$D$66,COLUMN()-COLUMN($B$83)+1)++INDEX(Sheet1!$S$59:$S$66,COLUMN()-COLUMN($B$83)+1)</f>
        <v>-20</v>
      </c>
      <c r="H50" s="22">
        <f>+INDEX(Sheet1!$D$59:$D$66,COLUMN()-COLUMN($B$83)+1)++INDEX(Sheet1!$S$59:$S$66,COLUMN()-COLUMN($B$83)+1)</f>
        <v>-52</v>
      </c>
      <c r="I50" s="22">
        <f>+INDEX(Sheet1!$D$59:$D$66,COLUMN()-COLUMN($B$83)+1)++INDEX(Sheet1!$S$59:$S$66,COLUMN()-COLUMN($B$83)+1)</f>
        <v>603.15789473684208</v>
      </c>
    </row>
    <row r="52" spans="1:9">
      <c r="A52" t="s">
        <v>105</v>
      </c>
      <c r="B52">
        <v>0</v>
      </c>
    </row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2">
        <f>+INDEX(Sheet1!$H$59:$H$67,COLUMN()-COLUMN($B$83)+1)</f>
        <v>10</v>
      </c>
      <c r="C59" s="22">
        <f>+INDEX(Sheet1!$H$59:$H$67,COLUMN()-COLUMN($B$83)+1)</f>
        <v>161</v>
      </c>
      <c r="D59" s="22">
        <f>+INDEX(Sheet1!$H$59:$H$67,COLUMN()-COLUMN($B$83)+1)</f>
        <v>80</v>
      </c>
      <c r="E59" s="22">
        <f>+INDEX(Sheet1!$H$59:$H$67,COLUMN()-COLUMN($B$83)+1)</f>
        <v>106</v>
      </c>
      <c r="F59" s="22">
        <f>+INDEX(Sheet1!$H$59:$H$67,COLUMN()-COLUMN($B$83)+1)</f>
        <v>90</v>
      </c>
      <c r="G59" s="22">
        <f>+INDEX(Sheet1!$H$59:$H$67,COLUMN()-COLUMN($B$83)+1)</f>
        <v>0</v>
      </c>
      <c r="H59" s="22">
        <f>+INDEX(Sheet1!$H$59:$H$67,COLUMN()-COLUMN($B$83)+1)</f>
        <v>40</v>
      </c>
      <c r="I59" s="22">
        <f>+INDEX(Sheet1!$H$59:$H$67,COLUMN()-COLUMN($B$83)+1)</f>
        <v>60</v>
      </c>
    </row>
    <row r="60" spans="1:9">
      <c r="A60" t="s">
        <v>229</v>
      </c>
      <c r="B60" s="22">
        <f>+INDEX(Sheet1!$G$59:$G$66,COLUMN()-COLUMN($B$83)+1)</f>
        <v>-95.5</v>
      </c>
      <c r="C60" s="22">
        <f>+INDEX(Sheet1!$G$59:$G$66,COLUMN()-COLUMN($B$83)+1)</f>
        <v>0</v>
      </c>
      <c r="D60" s="22">
        <f>+INDEX(Sheet1!$G$59:$G$66,COLUMN()-COLUMN($B$83)+1)</f>
        <v>-37</v>
      </c>
      <c r="E60" s="22">
        <f>+INDEX(Sheet1!$G$59:$G$66,COLUMN()-COLUMN($B$83)+1)</f>
        <v>15</v>
      </c>
      <c r="F60" s="22">
        <f>+INDEX(Sheet1!$G$59:$G$66,COLUMN()-COLUMN($B$83)+1)</f>
        <v>-90</v>
      </c>
      <c r="G60" s="22">
        <f>+INDEX(Sheet1!$G$59:$G$66,COLUMN()-COLUMN($B$83)+1)</f>
        <v>-90</v>
      </c>
      <c r="H60" s="22">
        <f>+INDEX(Sheet1!$G$59:$G$66,COLUMN()-COLUMN($B$83)+1)</f>
        <v>-20</v>
      </c>
      <c r="I60" s="22">
        <f>+INDEX(Sheet1!$G$59:$G$66,COLUMN()-COLUMN($B$83)+1)</f>
        <v>0</v>
      </c>
    </row>
    <row r="63" spans="1:9">
      <c r="A63" t="s">
        <v>224</v>
      </c>
    </row>
    <row r="64" spans="1:9">
      <c r="A64" t="s">
        <v>218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2">
        <f t="shared" ref="E68:F75" si="0">+$B$2</f>
        <v>1333</v>
      </c>
      <c r="F68" s="22">
        <f t="shared" si="0"/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2">
        <f t="shared" si="0"/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2">
        <f t="shared" si="0"/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2">
        <f t="shared" si="0"/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2">
        <f t="shared" si="0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2">
        <f t="shared" si="0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2">
        <f t="shared" si="0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200</v>
      </c>
      <c r="C75">
        <v>200</v>
      </c>
      <c r="D75">
        <v>1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2">
        <f>+INDEX(Sheet1!$L$59:$L$66,COLUMN()-COLUMN($B$83)+1)</f>
        <v>1706.25</v>
      </c>
      <c r="C80" s="22">
        <f>+INDEX(Sheet1!$L$59:$L$66,COLUMN()-COLUMN($B$83)+1)</f>
        <v>853.125</v>
      </c>
      <c r="D80" s="22">
        <f>+INDEX(Sheet1!$L$59:$L$66,COLUMN()-COLUMN($B$83)+1)</f>
        <v>2795.3173076923076</v>
      </c>
      <c r="E80" s="22">
        <f>+INDEX(Sheet1!$L$59:$L$66,COLUMN()-COLUMN($B$83)+1)</f>
        <v>2558</v>
      </c>
      <c r="F80" s="22">
        <f>+INDEX(Sheet1!$L$59:$L$66,COLUMN()-COLUMN($B$83)+1)</f>
        <v>550</v>
      </c>
      <c r="G80" s="22">
        <f>+INDEX(Sheet1!$L$59:$L$66,COLUMN()-COLUMN($B$83)+1)</f>
        <v>750</v>
      </c>
      <c r="H80" s="22">
        <f>+INDEX(Sheet1!$L$59:$L$66,COLUMN()-COLUMN($B$83)+1)</f>
        <v>750</v>
      </c>
      <c r="I80" s="22">
        <f>+INDEX(Sheet1!$L$59:$L$66,COLUMN()-COLUMN($B$83)+1)</f>
        <v>1909.9999999999998</v>
      </c>
    </row>
    <row r="81" spans="1:9">
      <c r="A81" t="s">
        <v>131</v>
      </c>
      <c r="B81" s="22">
        <f>+INDEX(Sheet1!$M$59:$M$66,COLUMN()-COLUMN($B$83)+1)</f>
        <v>10</v>
      </c>
      <c r="C81" s="22">
        <f>+INDEX(Sheet1!$M$59:$M$66,COLUMN()-COLUMN($B$83)+1)</f>
        <v>10</v>
      </c>
      <c r="D81" s="22">
        <f>+INDEX(Sheet1!$M$59:$M$66,COLUMN()-COLUMN($B$83)+1)</f>
        <v>10</v>
      </c>
      <c r="E81" s="22">
        <f>+INDEX(Sheet1!$M$59:$M$66,COLUMN()-COLUMN($B$83)+1)</f>
        <v>10</v>
      </c>
      <c r="F81" s="22">
        <f>+INDEX(Sheet1!$M$59:$M$66,COLUMN()-COLUMN($B$83)+1)</f>
        <v>-20</v>
      </c>
      <c r="G81" s="22">
        <f>+INDEX(Sheet1!$M$59:$M$66,COLUMN()-COLUMN($B$83)+1)</f>
        <v>10</v>
      </c>
      <c r="H81" s="22">
        <f>+INDEX(Sheet1!$M$59:$M$66,COLUMN()-COLUMN($B$83)+1)</f>
        <v>10</v>
      </c>
      <c r="I81" s="22">
        <f>+INDEX(Sheet1!$M$59:$M$66,COLUMN()-COLUMN($B$83)+1)</f>
        <v>100</v>
      </c>
    </row>
    <row r="82" spans="1:9">
      <c r="A82" t="s">
        <v>132</v>
      </c>
      <c r="B82" s="22">
        <f>+INDEX(Sheet1!$N$59:$N$66,COLUMN()-COLUMN($B$83)+1)</f>
        <v>195.64999999999986</v>
      </c>
      <c r="C82" s="22">
        <f>+INDEX(Sheet1!$N$59:$N$66,COLUMN()-COLUMN($B$83)+1)</f>
        <v>436.80000000000007</v>
      </c>
      <c r="D82" s="22">
        <f>+INDEX(Sheet1!$N$59:$N$66,COLUMN()-COLUMN($B$83)+1)</f>
        <v>1728.8578125000008</v>
      </c>
      <c r="E82" s="22">
        <f>+INDEX(Sheet1!$N$59:$N$66,COLUMN()-COLUMN($B$83)+1)</f>
        <v>2512.7375000000002</v>
      </c>
      <c r="F82" s="22">
        <f>+INDEX(Sheet1!$N$59:$N$66,COLUMN()-COLUMN($B$83)+1)</f>
        <v>0</v>
      </c>
      <c r="G82" s="22">
        <f>+INDEX(Sheet1!$N$59:$N$66,COLUMN()-COLUMN($B$83)+1)</f>
        <v>0</v>
      </c>
      <c r="H82" s="22">
        <f>+INDEX(Sheet1!$N$59:$N$66,COLUMN()-COLUMN($B$83)+1)</f>
        <v>0</v>
      </c>
      <c r="I82" s="22">
        <f>+INDEX(Sheet1!$N$59:$N$66,COLUMN()-COLUMN($B$83)+1)</f>
        <v>0</v>
      </c>
    </row>
    <row r="83" spans="1:9">
      <c r="A83" t="s">
        <v>133</v>
      </c>
      <c r="B83" s="22">
        <f>+INDEX(Sheet1!$O$59:$O$66,COLUMN()-COLUMN($B$83)+1)</f>
        <v>-30</v>
      </c>
      <c r="C83" s="22">
        <f>+INDEX(Sheet1!$O$59:$O$66,COLUMN()-COLUMN($B$83)+1)</f>
        <v>30</v>
      </c>
      <c r="D83" s="22">
        <f>+INDEX(Sheet1!$O$59:$O$66,COLUMN()-COLUMN($B$83)+1)</f>
        <v>0</v>
      </c>
      <c r="E83" s="22">
        <f>+INDEX(Sheet1!$O$59:$O$66,COLUMN()-COLUMN($B$83)+1)</f>
        <v>45</v>
      </c>
      <c r="F83" s="22">
        <f>+INDEX(Sheet1!$O$59:$O$66,COLUMN()-COLUMN($B$83)+1)</f>
        <v>0</v>
      </c>
      <c r="G83" s="22">
        <f>+INDEX(Sheet1!$O$59:$O$66,COLUMN()-COLUMN($B$83)+1)</f>
        <v>0</v>
      </c>
      <c r="H83" s="22">
        <f>+INDEX(Sheet1!$O$59:$O$66,COLUMN()-COLUMN($B$83)+1)</f>
        <v>0</v>
      </c>
      <c r="I83" s="22">
        <f>+INDEX(Sheet1!$O$59:$O$66,COLUMN()-COLUMN($B$83)+1)</f>
        <v>0</v>
      </c>
    </row>
    <row r="84" spans="1:9">
      <c r="A84" t="s">
        <v>134</v>
      </c>
      <c r="B84" s="22">
        <f>+INDEX(Sheet1!$P$59:$P$66,COLUMN()-COLUMN($B$83)+1)</f>
        <v>10</v>
      </c>
      <c r="C84" s="22">
        <f>+INDEX(Sheet1!$P$59:$P$66,COLUMN()-COLUMN($B$83)+1)</f>
        <v>10</v>
      </c>
      <c r="D84" s="22">
        <f>+INDEX(Sheet1!$P$59:$P$66,COLUMN()-COLUMN($B$83)+1)</f>
        <v>10</v>
      </c>
      <c r="E84" s="22">
        <f>+INDEX(Sheet1!$P$59:$P$66,COLUMN()-COLUMN($B$83)+1)</f>
        <v>10</v>
      </c>
      <c r="F84" s="22">
        <f>+INDEX(Sheet1!$P$59:$P$66,COLUMN()-COLUMN($B$83)+1)</f>
        <v>30</v>
      </c>
      <c r="G84" s="22">
        <f>+INDEX(Sheet1!$P$59:$P$66,COLUMN()-COLUMN($B$83)+1)</f>
        <v>30</v>
      </c>
      <c r="H84" s="22">
        <f>+INDEX(Sheet1!$P$59:$P$66,COLUMN()-COLUMN($B$83)+1)</f>
        <v>30</v>
      </c>
      <c r="I84" s="22">
        <f>+INDEX(Sheet1!$P$59:$P$66,COLUMN()-COLUMN($B$83)+1)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2">
        <f>+INDEX(Sheet1!$Q$59:$Q$66,COLUMN()-COLUMN($B$83)+1)</f>
        <v>-30</v>
      </c>
      <c r="C88" s="22">
        <f>+INDEX(Sheet1!$Q$59:$Q$66,COLUMN()-COLUMN($B$83)+1)</f>
        <v>30</v>
      </c>
      <c r="D88" s="22">
        <f>+INDEX(Sheet1!$Q$59:$Q$66,COLUMN()-COLUMN($B$83)+1)</f>
        <v>0</v>
      </c>
      <c r="E88" s="22">
        <f>+INDEX(Sheet1!$Q$59:$Q$66,COLUMN()-COLUMN($B$83)+1)</f>
        <v>45</v>
      </c>
      <c r="F88" s="22">
        <f>+INDEX(Sheet1!$Q$59:$Q$66,COLUMN()-COLUMN($B$83)+1)</f>
        <v>0</v>
      </c>
      <c r="G88" s="22">
        <f>+INDEX(Sheet1!$Q$59:$Q$66,COLUMN()-COLUMN($B$83)+1)</f>
        <v>0</v>
      </c>
      <c r="H88" s="22">
        <f>+INDEX(Sheet1!$Q$59:$Q$66,COLUMN()-COLUMN($B$83)+1)</f>
        <v>40</v>
      </c>
      <c r="I88" s="22">
        <f>+INDEX(Sheet1!$Q$59:$Q$66,COLUMN()-COLUMN($B$83)+1)</f>
        <v>0</v>
      </c>
    </row>
    <row r="89" spans="1:9">
      <c r="A89" t="s">
        <v>137</v>
      </c>
      <c r="B89" s="22">
        <f>+INDEX(Sheet1!$R$59:$R$66,COLUMN()-COLUMN($B$83)+1)</f>
        <v>10</v>
      </c>
      <c r="C89" s="22">
        <f>+INDEX(Sheet1!$R$59:$R$66,COLUMN()-COLUMN($B$83)+1)</f>
        <v>10</v>
      </c>
      <c r="D89" s="22">
        <f>+INDEX(Sheet1!$R$59:$R$66,COLUMN()-COLUMN($B$83)+1)</f>
        <v>10</v>
      </c>
      <c r="E89" s="22">
        <f>+INDEX(Sheet1!$R$59:$R$66,COLUMN()-COLUMN($B$83)+1)</f>
        <v>10</v>
      </c>
      <c r="F89" s="22">
        <f>+INDEX(Sheet1!$R$59:$R$66,COLUMN()-COLUMN($B$83)+1)</f>
        <v>30</v>
      </c>
      <c r="G89" s="22">
        <f>+INDEX(Sheet1!$R$59:$R$66,COLUMN()-COLUMN($B$83)+1)</f>
        <v>30</v>
      </c>
      <c r="H89" s="22">
        <f>+INDEX(Sheet1!$R$59:$R$66,COLUMN()-COLUMN($B$83)+1)</f>
        <v>30</v>
      </c>
      <c r="I89" s="22">
        <f>+INDEX(Sheet1!$R$59:$R$66,COLUMN()-COLUMN($B$83)+1)</f>
        <v>100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58" zoomScaleNormal="100" workbookViewId="0">
      <selection activeCell="B8" sqref="B8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6" t="s">
        <v>77</v>
      </c>
      <c r="B4" s="17">
        <v>1333</v>
      </c>
      <c r="D4" t="s">
        <v>78</v>
      </c>
      <c r="F4" t="s">
        <v>79</v>
      </c>
    </row>
    <row r="7" spans="1:6">
      <c r="A7" s="18"/>
      <c r="B7" s="19"/>
    </row>
    <row r="11" spans="1:6">
      <c r="A11" t="s">
        <v>82</v>
      </c>
    </row>
    <row r="12" spans="1:6">
      <c r="A12" t="s">
        <v>155</v>
      </c>
    </row>
    <row r="13" spans="1:6">
      <c r="A13" t="s">
        <v>84</v>
      </c>
    </row>
    <row r="14" spans="1:6">
      <c r="A14" t="s">
        <v>85</v>
      </c>
    </row>
    <row r="15" spans="1:6">
      <c r="A15" t="s">
        <v>86</v>
      </c>
      <c r="B15" t="s">
        <v>144</v>
      </c>
    </row>
    <row r="16" spans="1:6">
      <c r="A16" t="s">
        <v>88</v>
      </c>
      <c r="B16">
        <v>11</v>
      </c>
    </row>
    <row r="17" spans="1:9">
      <c r="A17" t="s">
        <v>145</v>
      </c>
      <c r="B17" t="s">
        <v>156</v>
      </c>
    </row>
    <row r="18" spans="1:9">
      <c r="A18" t="s">
        <v>89</v>
      </c>
      <c r="B18">
        <v>0</v>
      </c>
    </row>
    <row r="19" spans="1:9">
      <c r="A19" t="s">
        <v>90</v>
      </c>
      <c r="B19">
        <v>10</v>
      </c>
    </row>
    <row r="20" spans="1:9">
      <c r="A20" t="s">
        <v>91</v>
      </c>
      <c r="B20">
        <v>300</v>
      </c>
    </row>
    <row r="21" spans="1:9">
      <c r="A21" t="s">
        <v>147</v>
      </c>
      <c r="B21">
        <v>500</v>
      </c>
    </row>
    <row r="22" spans="1:9">
      <c r="A22" t="s">
        <v>148</v>
      </c>
      <c r="B22">
        <v>500</v>
      </c>
    </row>
    <row r="23" spans="1:9">
      <c r="A23" t="s">
        <v>149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98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99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278</v>
      </c>
    </row>
    <row r="34" spans="1:9">
      <c r="A34" t="s">
        <v>279</v>
      </c>
    </row>
    <row r="35" spans="1:9">
      <c r="A35" t="s">
        <v>266</v>
      </c>
      <c r="B35" t="s">
        <v>280</v>
      </c>
    </row>
    <row r="36" spans="1:9">
      <c r="A36" t="s">
        <v>272</v>
      </c>
    </row>
    <row r="37" spans="1:9">
      <c r="A37" t="s">
        <v>273</v>
      </c>
    </row>
    <row r="38" spans="1:9">
      <c r="A38" t="s">
        <v>274</v>
      </c>
    </row>
    <row r="39" spans="1:9">
      <c r="A39" t="s">
        <v>275</v>
      </c>
    </row>
    <row r="42" spans="1:9">
      <c r="A42" t="s">
        <v>101</v>
      </c>
    </row>
    <row r="43" spans="1:9">
      <c r="A43" t="s">
        <v>102</v>
      </c>
      <c r="B43">
        <v>8</v>
      </c>
      <c r="C43" t="s">
        <v>103</v>
      </c>
    </row>
    <row r="44" spans="1:9">
      <c r="A44" t="s">
        <v>237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236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104</v>
      </c>
    </row>
    <row r="47" spans="1:9">
      <c r="A47" t="s">
        <v>225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214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235</v>
      </c>
      <c r="B50" s="35">
        <f>+INDEX(Sheet1!$K$70:$K$77,COLUMN()-COLUMN($B$81)+1)</f>
        <v>12.98</v>
      </c>
      <c r="C50" s="35">
        <f>+INDEX(Sheet1!$K$70:$K$77,COLUMN()-COLUMN($B$81)+1)</f>
        <v>-2.5555555555555554</v>
      </c>
      <c r="D50" s="35">
        <f>+INDEX(Sheet1!$K$70:$K$77,COLUMN()-COLUMN($B$81)+1)</f>
        <v>-2.4166666666666665</v>
      </c>
      <c r="E50" s="35">
        <f>+INDEX(Sheet1!$K$70:$K$77,COLUMN()-COLUMN($B$81)+1)</f>
        <v>-2.4888888888888889</v>
      </c>
      <c r="F50" s="35">
        <f>+INDEX(Sheet1!$K$70:$K$77,COLUMN()-COLUMN($B$81)+1)</f>
        <v>-2.6055555555555556</v>
      </c>
      <c r="G50" s="35">
        <f>+INDEX(Sheet1!$K$70:$K$77,COLUMN()-COLUMN($B$81)+1)</f>
        <v>-2.4666666666666668</v>
      </c>
      <c r="H50" s="35">
        <f>+INDEX(Sheet1!$K$70:$K$77,COLUMN()-COLUMN($B$81)+1)</f>
        <v>-2.4500000000000002</v>
      </c>
      <c r="I50" s="35">
        <f>+INDEX(Sheet1!$K$70:$K$77,COLUMN()-COLUMN($B$81)+1)</f>
        <v>-2.4555555555555557</v>
      </c>
    </row>
    <row r="51" spans="1:9">
      <c r="A51" t="s">
        <v>222</v>
      </c>
      <c r="B51" s="35">
        <f>+INDEX(Sheet1!$D$70:$D$77,COLUMN()-COLUMN($B$81)+1)++INDEX(Sheet1!$S$70:$S$77,COLUMN()-COLUMN($B$81)+1)</f>
        <v>39.429892141756547</v>
      </c>
      <c r="C51" s="35">
        <f>+INDEX(Sheet1!$D$70:$D$77,COLUMN()-COLUMN($B$81)+1)++INDEX(Sheet1!$S$70:$S$77,COLUMN()-COLUMN($B$81)+1)</f>
        <v>-90</v>
      </c>
      <c r="D51" s="35">
        <f>+INDEX(Sheet1!$D$70:$D$77,COLUMN()-COLUMN($B$81)+1)++INDEX(Sheet1!$S$70:$S$77,COLUMN()-COLUMN($B$81)+1)</f>
        <v>-194.48275862068968</v>
      </c>
      <c r="E51" s="35">
        <f>+INDEX(Sheet1!$D$70:$D$77,COLUMN()-COLUMN($B$81)+1)++INDEX(Sheet1!$S$70:$S$77,COLUMN()-COLUMN($B$81)+1)</f>
        <v>-90</v>
      </c>
      <c r="F51" s="35">
        <f>+INDEX(Sheet1!$D$70:$D$77,COLUMN()-COLUMN($B$81)+1)++INDEX(Sheet1!$S$70:$S$77,COLUMN()-COLUMN($B$81)+1)</f>
        <v>-187.67590618336885</v>
      </c>
      <c r="G51" s="35">
        <f>+INDEX(Sheet1!$D$70:$D$77,COLUMN()-COLUMN($B$81)+1)++INDEX(Sheet1!$S$70:$S$77,COLUMN()-COLUMN($B$81)+1)</f>
        <v>-92.027027027027017</v>
      </c>
      <c r="H51" s="35">
        <f>+INDEX(Sheet1!$D$70:$D$77,COLUMN()-COLUMN($B$81)+1)++INDEX(Sheet1!$S$70:$S$77,COLUMN()-COLUMN($B$81)+1)</f>
        <v>-202.85714285714283</v>
      </c>
      <c r="I51" s="35">
        <f>+INDEX(Sheet1!$D$70:$D$77,COLUMN()-COLUMN($B$81)+1)++INDEX(Sheet1!$S$70:$S$77,COLUMN()-COLUMN($B$81)+1)</f>
        <v>-300.54298642533934</v>
      </c>
    </row>
    <row r="53" spans="1:9">
      <c r="A53" t="s">
        <v>105</v>
      </c>
      <c r="B53">
        <v>0</v>
      </c>
    </row>
    <row r="56" spans="1:9">
      <c r="A56" t="s">
        <v>150</v>
      </c>
    </row>
    <row r="57" spans="1:9">
      <c r="A57" t="s">
        <v>238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151</v>
      </c>
    </row>
    <row r="60" spans="1:9">
      <c r="A60" t="s">
        <v>239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231</v>
      </c>
      <c r="B61" s="22">
        <f>+INDEX([1]Sheet1!$H$70:$H$77,COLUMN()-COLUMN($B$81)+1)</f>
        <v>90</v>
      </c>
      <c r="C61" s="22">
        <f>+INDEX([1]Sheet1!$H$70:$H$77,COLUMN()-COLUMN($B$81)+1)</f>
        <v>90</v>
      </c>
      <c r="D61" s="22">
        <f>+INDEX([1]Sheet1!$H$70:$H$77,COLUMN()-COLUMN($B$81)+1)</f>
        <v>180</v>
      </c>
      <c r="E61" s="22">
        <f>+INDEX([1]Sheet1!$H$70:$H$77,COLUMN()-COLUMN($B$81)+1)</f>
        <v>90</v>
      </c>
      <c r="F61" s="22">
        <f>+INDEX([1]Sheet1!$H$70:$H$77,COLUMN()-COLUMN($B$81)+1)</f>
        <v>180</v>
      </c>
      <c r="G61" s="22">
        <f>+INDEX([1]Sheet1!$H$70:$H$77,COLUMN()-COLUMN($B$81)+1)</f>
        <v>90</v>
      </c>
      <c r="H61" s="22">
        <f>+INDEX([1]Sheet1!$H$70:$H$77,COLUMN()-COLUMN($B$81)+1)</f>
        <v>180</v>
      </c>
      <c r="I61" s="22">
        <f>+INDEX([1]Sheet1!$H$70:$H$77,COLUMN()-COLUMN($B$81)+1)</f>
        <v>270</v>
      </c>
    </row>
    <row r="62" spans="1:9">
      <c r="A62" t="s">
        <v>232</v>
      </c>
      <c r="B62" s="22">
        <f>+INDEX([1]Sheet1!$G$70:$G$77,COLUMN()-COLUMN($B$81)+1)</f>
        <v>-10</v>
      </c>
      <c r="C62" s="22">
        <f>+INDEX([1]Sheet1!$G$70:$G$77,COLUMN()-COLUMN($B$81)+1)</f>
        <v>0</v>
      </c>
      <c r="D62" s="22">
        <f>+INDEX([1]Sheet1!$G$70:$G$77,COLUMN()-COLUMN($B$81)+1)</f>
        <v>0</v>
      </c>
      <c r="E62" s="22">
        <f>+INDEX([1]Sheet1!$G$70:$G$77,COLUMN()-COLUMN($B$81)+1)</f>
        <v>0</v>
      </c>
      <c r="F62" s="22">
        <f>+INDEX([1]Sheet1!$G$70:$G$77,COLUMN()-COLUMN($B$81)+1)</f>
        <v>0</v>
      </c>
      <c r="G62" s="22">
        <f>+INDEX([1]Sheet1!$G$70:$G$77,COLUMN()-COLUMN($B$81)+1)</f>
        <v>0</v>
      </c>
      <c r="H62" s="22">
        <f>+INDEX([1]Sheet1!$G$70:$G$77,COLUMN()-COLUMN($B$81)+1)</f>
        <v>0</v>
      </c>
      <c r="I62" s="22">
        <f>+INDEX([1]Sheet1!$G$70:$G$77,COLUMN()-COLUMN($B$81)+1)</f>
        <v>0</v>
      </c>
    </row>
    <row r="64" spans="1:9">
      <c r="A64" t="s">
        <v>233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6" spans="1:9">
      <c r="A66" t="s">
        <v>115</v>
      </c>
    </row>
    <row r="67" spans="1:9">
      <c r="A67" t="s">
        <v>107</v>
      </c>
      <c r="B67" t="s">
        <v>108</v>
      </c>
      <c r="C67" t="s">
        <v>109</v>
      </c>
      <c r="D67" t="s">
        <v>110</v>
      </c>
      <c r="E67" t="s">
        <v>111</v>
      </c>
      <c r="F67" t="s">
        <v>112</v>
      </c>
      <c r="G67" t="s">
        <v>113</v>
      </c>
      <c r="H67" t="s">
        <v>114</v>
      </c>
    </row>
    <row r="68" spans="1:9">
      <c r="A68" t="s">
        <v>115</v>
      </c>
    </row>
    <row r="69" spans="1:9">
      <c r="A69" t="s">
        <v>116</v>
      </c>
      <c r="B69">
        <v>-8000</v>
      </c>
      <c r="C69">
        <v>-32000</v>
      </c>
      <c r="D69">
        <v>-5</v>
      </c>
      <c r="E69" s="22">
        <f t="shared" ref="E69:F76" si="0">+$B$4</f>
        <v>1333</v>
      </c>
      <c r="F69" s="22">
        <f t="shared" si="0"/>
        <v>1333</v>
      </c>
      <c r="G69">
        <v>10</v>
      </c>
      <c r="H69">
        <v>0</v>
      </c>
    </row>
    <row r="70" spans="1:9">
      <c r="A70" t="s">
        <v>117</v>
      </c>
      <c r="B70">
        <v>-8000</v>
      </c>
      <c r="C70">
        <v>-32000</v>
      </c>
      <c r="D70">
        <v>-5</v>
      </c>
      <c r="E70" s="22">
        <f t="shared" si="0"/>
        <v>1333</v>
      </c>
      <c r="F70" s="22">
        <f t="shared" si="0"/>
        <v>1333</v>
      </c>
      <c r="G70">
        <v>10</v>
      </c>
      <c r="H70">
        <v>0</v>
      </c>
    </row>
    <row r="71" spans="1:9">
      <c r="A71" t="s">
        <v>118</v>
      </c>
      <c r="B71">
        <v>8000</v>
      </c>
      <c r="C71">
        <v>32000</v>
      </c>
      <c r="D71">
        <v>5</v>
      </c>
      <c r="E71" s="22">
        <f t="shared" si="0"/>
        <v>1333</v>
      </c>
      <c r="F71" s="22">
        <f t="shared" si="0"/>
        <v>1333</v>
      </c>
      <c r="G71">
        <v>10</v>
      </c>
      <c r="H71">
        <v>0</v>
      </c>
    </row>
    <row r="72" spans="1:9">
      <c r="A72" t="s">
        <v>119</v>
      </c>
      <c r="B72">
        <v>-8000</v>
      </c>
      <c r="C72">
        <v>-32000</v>
      </c>
      <c r="D72">
        <v>-5</v>
      </c>
      <c r="E72" s="22">
        <f t="shared" si="0"/>
        <v>1333</v>
      </c>
      <c r="F72" s="22">
        <f t="shared" si="0"/>
        <v>1333</v>
      </c>
      <c r="G72">
        <v>10</v>
      </c>
      <c r="H72">
        <v>0</v>
      </c>
    </row>
    <row r="73" spans="1:9">
      <c r="A73" t="s">
        <v>120</v>
      </c>
      <c r="B73">
        <v>-8000</v>
      </c>
      <c r="C73">
        <v>-32000</v>
      </c>
      <c r="D73">
        <v>-5</v>
      </c>
      <c r="E73" s="22">
        <f t="shared" si="0"/>
        <v>1333</v>
      </c>
      <c r="F73" s="22">
        <f t="shared" si="0"/>
        <v>1333</v>
      </c>
      <c r="G73">
        <v>10</v>
      </c>
      <c r="H73">
        <v>0</v>
      </c>
    </row>
    <row r="74" spans="1:9">
      <c r="A74" t="s">
        <v>121</v>
      </c>
      <c r="B74">
        <v>-8000</v>
      </c>
      <c r="C74">
        <v>-32000</v>
      </c>
      <c r="D74">
        <v>-5</v>
      </c>
      <c r="E74" s="22">
        <f t="shared" si="0"/>
        <v>1333</v>
      </c>
      <c r="F74" s="22">
        <f t="shared" si="0"/>
        <v>1333</v>
      </c>
      <c r="G74">
        <v>10</v>
      </c>
      <c r="H74">
        <v>0</v>
      </c>
    </row>
    <row r="75" spans="1:9">
      <c r="A75" t="s">
        <v>122</v>
      </c>
      <c r="B75">
        <v>8000</v>
      </c>
      <c r="C75">
        <v>32000</v>
      </c>
      <c r="D75">
        <v>5</v>
      </c>
      <c r="E75" s="22">
        <f t="shared" si="0"/>
        <v>1333</v>
      </c>
      <c r="F75" s="22">
        <f t="shared" si="0"/>
        <v>1333</v>
      </c>
      <c r="G75">
        <v>10</v>
      </c>
      <c r="H75">
        <v>0</v>
      </c>
    </row>
    <row r="76" spans="1:9">
      <c r="A76" t="s">
        <v>123</v>
      </c>
      <c r="B76">
        <v>-120</v>
      </c>
      <c r="C76">
        <v>-1250</v>
      </c>
      <c r="D76">
        <v>0</v>
      </c>
      <c r="E76" s="22">
        <f t="shared" si="0"/>
        <v>1333</v>
      </c>
      <c r="F76" s="22">
        <f t="shared" si="0"/>
        <v>1333</v>
      </c>
      <c r="G76">
        <v>5</v>
      </c>
      <c r="H76">
        <v>0</v>
      </c>
    </row>
    <row r="78" spans="1:9">
      <c r="A78" t="s">
        <v>128</v>
      </c>
    </row>
    <row r="79" spans="1:9">
      <c r="A79" t="s">
        <v>234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129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130</v>
      </c>
      <c r="B81" s="22">
        <f>+INDEX(Sheet1!$L$70:$L$77,COLUMN()-COLUMN($B$79)+1)</f>
        <v>511.8</v>
      </c>
      <c r="C81" s="22">
        <f>+INDEX(Sheet1!$L$70:$L$77,COLUMN()-COLUMN($B$79)+1)</f>
        <v>230</v>
      </c>
      <c r="D81" s="22">
        <f>+INDEX(Sheet1!$L$70:$L$77,COLUMN()-COLUMN($B$79)+1)</f>
        <v>35</v>
      </c>
      <c r="E81" s="22">
        <f>+INDEX(Sheet1!$L$70:$L$77,COLUMN()-COLUMN($B$79)+1)</f>
        <v>224</v>
      </c>
      <c r="F81" s="22">
        <f>+INDEX(Sheet1!$L$70:$L$77,COLUMN()-COLUMN($B$79)+1)</f>
        <v>20</v>
      </c>
      <c r="G81" s="22">
        <f>+INDEX(Sheet1!$L$70:$L$77,COLUMN()-COLUMN($B$79)+1)</f>
        <v>227</v>
      </c>
      <c r="H81" s="22">
        <f>+INDEX(Sheet1!$L$70:$L$77,COLUMN()-COLUMN($B$79)+1)</f>
        <v>56</v>
      </c>
      <c r="I81" s="22">
        <f>+INDEX(Sheet1!$L$70:$L$77,COLUMN()-COLUMN($B$79)+1)</f>
        <v>738</v>
      </c>
    </row>
    <row r="82" spans="1:9">
      <c r="A82" t="s">
        <v>131</v>
      </c>
      <c r="B82" s="22">
        <f>+INDEX(Sheet1!$M$70:$M$77,COLUMN()-COLUMN($B$79)+1)</f>
        <v>10</v>
      </c>
      <c r="C82" s="22">
        <f>+INDEX(Sheet1!$M$70:$M$77,COLUMN()-COLUMN($B$79)+1)</f>
        <v>10</v>
      </c>
      <c r="D82" s="22">
        <f>+INDEX(Sheet1!$M$70:$M$77,COLUMN()-COLUMN($B$79)+1)</f>
        <v>10</v>
      </c>
      <c r="E82" s="22">
        <f>+INDEX(Sheet1!$M$70:$M$77,COLUMN()-COLUMN($B$79)+1)</f>
        <v>10</v>
      </c>
      <c r="F82" s="22">
        <f>+INDEX(Sheet1!$M$70:$M$77,COLUMN()-COLUMN($B$79)+1)</f>
        <v>10</v>
      </c>
      <c r="G82" s="22">
        <f>+INDEX(Sheet1!$M$70:$M$77,COLUMN()-COLUMN($B$79)+1)</f>
        <v>10</v>
      </c>
      <c r="H82" s="22">
        <f>+INDEX(Sheet1!$M$70:$M$77,COLUMN()-COLUMN($B$79)+1)</f>
        <v>10</v>
      </c>
      <c r="I82" s="22">
        <f>+INDEX(Sheet1!$M$70:$M$77,COLUMN()-COLUMN($B$79)+1)</f>
        <v>10</v>
      </c>
    </row>
    <row r="83" spans="1:9">
      <c r="A83" t="s">
        <v>132</v>
      </c>
      <c r="B83" s="22">
        <f>+INDEX(Sheet1!$N$70:$N$77,COLUMN()-COLUMN($B$79)+1)</f>
        <v>0</v>
      </c>
      <c r="C83" s="22">
        <f>+INDEX(Sheet1!$N$70:$N$77,COLUMN()-COLUMN($B$79)+1)</f>
        <v>6000</v>
      </c>
      <c r="D83" s="22">
        <f>+INDEX(Sheet1!$N$70:$N$77,COLUMN()-COLUMN($B$79)+1)</f>
        <v>6600</v>
      </c>
      <c r="E83" s="22">
        <f>+INDEX(Sheet1!$N$70:$N$77,COLUMN()-COLUMN($B$79)+1)</f>
        <v>6000</v>
      </c>
      <c r="F83" s="22">
        <f>+INDEX(Sheet1!$N$70:$N$77,COLUMN()-COLUMN($B$79)+1)</f>
        <v>-6600</v>
      </c>
      <c r="G83" s="22">
        <f>+INDEX(Sheet1!$N$70:$N$77,COLUMN()-COLUMN($B$79)+1)</f>
        <v>6000</v>
      </c>
      <c r="H83" s="22">
        <f>+INDEX(Sheet1!$N$70:$N$77,COLUMN()-COLUMN($B$79)+1)</f>
        <v>6600</v>
      </c>
      <c r="I83" s="22">
        <f>+INDEX(Sheet1!$N$70:$N$77,COLUMN()-COLUMN($B$79)+1)</f>
        <v>26000</v>
      </c>
    </row>
    <row r="84" spans="1:9">
      <c r="A84" t="s">
        <v>133</v>
      </c>
      <c r="B84" s="22">
        <f>+INDEX(Sheet1!$O$70:$O$77,COLUMN()-COLUMN($B$79)+1)</f>
        <v>0</v>
      </c>
      <c r="C84" s="22">
        <f>+INDEX(Sheet1!$O$70:$O$77,COLUMN()-COLUMN($B$79)+1)</f>
        <v>0</v>
      </c>
      <c r="D84" s="22">
        <f>+INDEX(Sheet1!$O$70:$O$77,COLUMN()-COLUMN($B$79)+1)</f>
        <v>0</v>
      </c>
      <c r="E84" s="22">
        <f>+INDEX(Sheet1!$O$70:$O$77,COLUMN()-COLUMN($B$79)+1)</f>
        <v>0</v>
      </c>
      <c r="F84" s="22">
        <f>+INDEX(Sheet1!$O$70:$O$77,COLUMN()-COLUMN($B$79)+1)</f>
        <v>0</v>
      </c>
      <c r="G84" s="22">
        <f>+INDEX(Sheet1!$O$70:$O$77,COLUMN()-COLUMN($B$79)+1)</f>
        <v>0</v>
      </c>
      <c r="H84" s="22">
        <f>+INDEX(Sheet1!$O$70:$O$77,COLUMN()-COLUMN($B$79)+1)</f>
        <v>0</v>
      </c>
      <c r="I84" s="22">
        <f>+INDEX(Sheet1!$O$70:$O$77,COLUMN()-COLUMN($B$79)+1)</f>
        <v>0</v>
      </c>
    </row>
    <row r="85" spans="1:9">
      <c r="A85" t="s">
        <v>134</v>
      </c>
      <c r="B85" s="22">
        <f>+INDEX(Sheet1!$P$70:$P$77,COLUMN()-COLUMN($B$79)+1)</f>
        <v>100</v>
      </c>
      <c r="C85" s="22">
        <f>+INDEX(Sheet1!$P$70:$P$77,COLUMN()-COLUMN($B$79)+1)</f>
        <v>100</v>
      </c>
      <c r="D85" s="22">
        <f>+INDEX(Sheet1!$P$70:$P$77,COLUMN()-COLUMN($B$79)+1)</f>
        <v>100</v>
      </c>
      <c r="E85" s="22">
        <f>+INDEX(Sheet1!$P$70:$P$77,COLUMN()-COLUMN($B$79)+1)</f>
        <v>100</v>
      </c>
      <c r="F85" s="22">
        <f>+INDEX(Sheet1!$P$70:$P$77,COLUMN()-COLUMN($B$79)+1)</f>
        <v>100</v>
      </c>
      <c r="G85" s="22">
        <f>+INDEX(Sheet1!$P$70:$P$77,COLUMN()-COLUMN($B$79)+1)</f>
        <v>100</v>
      </c>
      <c r="H85" s="22">
        <f>+INDEX(Sheet1!$P$70:$P$77,COLUMN()-COLUMN($B$79)+1)</f>
        <v>100</v>
      </c>
      <c r="I85" s="22">
        <f>+INDEX(Sheet1!$P$70:$P$77,COLUMN()-COLUMN($B$79)+1)</f>
        <v>100</v>
      </c>
    </row>
    <row r="87" spans="1:9">
      <c r="A87" t="s">
        <v>135</v>
      </c>
    </row>
    <row r="88" spans="1:9">
      <c r="A88" t="s">
        <v>234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136</v>
      </c>
      <c r="B89" s="22">
        <f>+INDEX(Sheet1!$Q$70:$Q$77,COLUMN()-COLUMN($B$79)+1)</f>
        <v>0</v>
      </c>
      <c r="C89" s="22">
        <f>+INDEX(Sheet1!$Q$70:$Q$77,COLUMN()-COLUMN($B$79)+1)</f>
        <v>0</v>
      </c>
      <c r="D89" s="22">
        <f>+INDEX(Sheet1!$Q$70:$Q$77,COLUMN()-COLUMN($B$79)+1)</f>
        <v>0</v>
      </c>
      <c r="E89" s="22">
        <f>+INDEX(Sheet1!$Q$70:$Q$77,COLUMN()-COLUMN($B$79)+1)</f>
        <v>0</v>
      </c>
      <c r="F89" s="22">
        <f>+INDEX(Sheet1!$Q$70:$Q$77,COLUMN()-COLUMN($B$79)+1)</f>
        <v>0</v>
      </c>
      <c r="G89" s="22">
        <f>+INDEX(Sheet1!$Q$70:$Q$77,COLUMN()-COLUMN($B$79)+1)</f>
        <v>0</v>
      </c>
      <c r="H89" s="22">
        <f>+INDEX(Sheet1!$Q$70:$Q$77,COLUMN()-COLUMN($B$79)+1)</f>
        <v>0</v>
      </c>
      <c r="I89" s="22">
        <f>+INDEX(Sheet1!$Q$70:$Q$77,COLUMN()-COLUMN($B$79)+1)</f>
        <v>0</v>
      </c>
    </row>
    <row r="90" spans="1:9">
      <c r="A90" t="s">
        <v>137</v>
      </c>
      <c r="B90" s="22">
        <f>+INDEX(Sheet1!$R$70:$R$77,COLUMN()-COLUMN($B$79)+1)</f>
        <v>10</v>
      </c>
      <c r="C90" s="22">
        <f>+INDEX(Sheet1!$R$70:$R$77,COLUMN()-COLUMN($B$79)+1)</f>
        <v>10</v>
      </c>
      <c r="D90" s="22">
        <f>+INDEX(Sheet1!$R$70:$R$77,COLUMN()-COLUMN($B$79)+1)</f>
        <v>10</v>
      </c>
      <c r="E90" s="22">
        <f>+INDEX(Sheet1!$R$70:$R$77,COLUMN()-COLUMN($B$79)+1)</f>
        <v>10</v>
      </c>
      <c r="F90" s="22">
        <f>+INDEX(Sheet1!$R$70:$R$77,COLUMN()-COLUMN($B$79)+1)</f>
        <v>10</v>
      </c>
      <c r="G90" s="22">
        <f>+INDEX(Sheet1!$R$70:$R$77,COLUMN()-COLUMN($B$79)+1)</f>
        <v>10</v>
      </c>
      <c r="H90" s="22">
        <f>+INDEX(Sheet1!$R$70:$R$77,COLUMN()-COLUMN($B$79)+1)</f>
        <v>10</v>
      </c>
      <c r="I90" s="22">
        <f>+INDEX(Sheet1!$R$70:$R$77,COLUMN()-COLUMN($B$79)+1)</f>
        <v>10</v>
      </c>
    </row>
    <row r="91" spans="1:9">
      <c r="A91" t="s">
        <v>104</v>
      </c>
    </row>
    <row r="92" spans="1:9">
      <c r="A92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39" zoomScale="85" zoomScaleNormal="85" workbookViewId="0">
      <selection activeCell="F50" sqref="F50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77</v>
      </c>
      <c r="B3" s="17">
        <v>1333</v>
      </c>
      <c r="D3" t="s">
        <v>78</v>
      </c>
      <c r="F3" t="s">
        <v>79</v>
      </c>
    </row>
    <row r="4" spans="1:6">
      <c r="A4" s="18"/>
      <c r="B4" s="19"/>
    </row>
    <row r="5" spans="1:6">
      <c r="A5" s="20" t="s">
        <v>80</v>
      </c>
      <c r="B5" s="21">
        <v>7000</v>
      </c>
      <c r="D5" t="s">
        <v>81</v>
      </c>
    </row>
    <row r="10" spans="1:6">
      <c r="A10" t="s">
        <v>84</v>
      </c>
    </row>
    <row r="11" spans="1:6">
      <c r="A11" t="s">
        <v>157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158</v>
      </c>
    </row>
    <row r="15" spans="1:6">
      <c r="A15" t="s">
        <v>88</v>
      </c>
      <c r="B15">
        <v>0</v>
      </c>
    </row>
    <row r="16" spans="1:6">
      <c r="A16" t="s">
        <v>89</v>
      </c>
      <c r="B16">
        <v>0</v>
      </c>
    </row>
    <row r="17" spans="1:11">
      <c r="A17" t="s">
        <v>90</v>
      </c>
      <c r="B17">
        <v>10</v>
      </c>
    </row>
    <row r="18" spans="1:11">
      <c r="A18" t="s">
        <v>91</v>
      </c>
      <c r="B18">
        <v>300</v>
      </c>
    </row>
    <row r="19" spans="1:11">
      <c r="A19" t="s">
        <v>141</v>
      </c>
      <c r="B19">
        <v>500</v>
      </c>
    </row>
    <row r="20" spans="1:11">
      <c r="A20" t="s">
        <v>142</v>
      </c>
      <c r="B20">
        <v>500</v>
      </c>
    </row>
    <row r="21" spans="1:11">
      <c r="A21" t="s">
        <v>149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101</v>
      </c>
    </row>
    <row r="30" spans="1:11">
      <c r="A30" t="s">
        <v>102</v>
      </c>
      <c r="B30">
        <v>10</v>
      </c>
      <c r="C30" t="s">
        <v>103</v>
      </c>
    </row>
    <row r="31" spans="1:11">
      <c r="A31" t="s">
        <v>185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236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104</v>
      </c>
    </row>
    <row r="34" spans="1:11">
      <c r="A34" t="s">
        <v>185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240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241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247</v>
      </c>
      <c r="B38" s="22">
        <f>+INDEX(Sheet1!$D$24:$D$34,COLUMN()-COLUMN($B$59)+1)++INDEX(Sheet1!$S$24:$S$34,COLUMN()-COLUMN($B$59)+1)</f>
        <v>40</v>
      </c>
      <c r="C38" s="22">
        <f>+INDEX(Sheet1!$D$24:$D$34,COLUMN()-COLUMN($B$59)+1)++INDEX(Sheet1!$S$24:$S$34,COLUMN()-COLUMN($B$59)+1)</f>
        <v>47</v>
      </c>
      <c r="D38" s="22">
        <f>+INDEX(Sheet1!$D$24:$D$34,COLUMN()-COLUMN($B$59)+1)++INDEX(Sheet1!$S$24:$S$34,COLUMN()-COLUMN($B$59)+1)</f>
        <v>55.45</v>
      </c>
      <c r="E38" s="22">
        <f>+INDEX(Sheet1!$D$24:$D$34,COLUMN()-COLUMN($B$59)+1)++INDEX(Sheet1!$S$24:$S$34,COLUMN()-COLUMN($B$59)+1)</f>
        <v>-38.4</v>
      </c>
      <c r="F38" s="22">
        <f>+INDEX(Sheet1!$D$24:$D$34,COLUMN()-COLUMN($B$59)+1)++INDEX(Sheet1!$S$24:$S$34,COLUMN()-COLUMN($B$59)+1)</f>
        <v>47.35</v>
      </c>
      <c r="G38" s="22">
        <f>+INDEX(Sheet1!$D$24:$D$34,COLUMN()-COLUMN($B$59)+1)++INDEX(Sheet1!$S$24:$S$34,COLUMN()-COLUMN($B$59)+1)</f>
        <v>8.9600000000000009</v>
      </c>
      <c r="H38" s="22">
        <f>+INDEX(Sheet1!$D$24:$D$34,COLUMN()-COLUMN($B$59)+1)++INDEX(Sheet1!$S$24:$S$34,COLUMN()-COLUMN($B$59)+1)</f>
        <v>180</v>
      </c>
      <c r="I38" s="22">
        <f>+INDEX(Sheet1!$D$24:$D$34,COLUMN()-COLUMN($B$59)+1)++INDEX(Sheet1!$S$24:$S$34,COLUMN()-COLUMN($B$59)+1)</f>
        <v>180</v>
      </c>
      <c r="J38" s="22">
        <f>+INDEX(Sheet1!$D$24:$D$34,COLUMN()-COLUMN($B$59)+1)++INDEX(Sheet1!$S$24:$S$34,COLUMN()-COLUMN($B$59)+1)</f>
        <v>180</v>
      </c>
      <c r="K38" s="22">
        <f>+INDEX(Sheet1!$D$24:$D$34,COLUMN()-COLUMN($B$59)+1)++INDEX(Sheet1!$S$24:$S$34,COLUMN()-COLUMN($B$59)+1)</f>
        <v>0</v>
      </c>
    </row>
    <row r="40" spans="1:11">
      <c r="A40" t="s">
        <v>105</v>
      </c>
      <c r="B40">
        <v>0</v>
      </c>
    </row>
    <row r="42" spans="1:11">
      <c r="A42" t="s">
        <v>150</v>
      </c>
    </row>
    <row r="43" spans="1:11">
      <c r="A43" t="s">
        <v>242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151</v>
      </c>
    </row>
    <row r="46" spans="1:11">
      <c r="A46" t="s">
        <v>185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243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30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244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-30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245</v>
      </c>
      <c r="B50">
        <v>600</v>
      </c>
      <c r="C50">
        <v>600</v>
      </c>
      <c r="D50">
        <v>800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159</v>
      </c>
    </row>
    <row r="52" spans="1:11">
      <c r="A52" t="s">
        <v>107</v>
      </c>
      <c r="B52" t="s">
        <v>108</v>
      </c>
      <c r="C52" t="s">
        <v>109</v>
      </c>
      <c r="D52" t="s">
        <v>110</v>
      </c>
      <c r="E52" t="s">
        <v>111</v>
      </c>
      <c r="F52" t="s">
        <v>112</v>
      </c>
      <c r="G52" t="s">
        <v>113</v>
      </c>
      <c r="H52" t="s">
        <v>114</v>
      </c>
    </row>
    <row r="53" spans="1:11">
      <c r="A53" t="s">
        <v>115</v>
      </c>
    </row>
    <row r="54" spans="1:11">
      <c r="A54" t="s">
        <v>116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117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118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119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120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121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122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123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160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161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128</v>
      </c>
    </row>
    <row r="66" spans="1:11">
      <c r="A66" t="s">
        <v>246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130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131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132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3715.0750000000003</v>
      </c>
      <c r="I70" s="22">
        <f>+INDEX(Sheet1!$N$24:$N34,COLUMN()-COLUMN($B$69)+1)</f>
        <v>2646.9625000000001</v>
      </c>
      <c r="J70" s="22">
        <f>+INDEX(Sheet1!$N$24:$N34,COLUMN()-COLUMN($B$69)+1)</f>
        <v>3560.375</v>
      </c>
      <c r="K70" s="22">
        <f>+INDEX(Sheet1!$N$24:$N34,COLUMN()-COLUMN($B$69)+1)</f>
        <v>0</v>
      </c>
    </row>
    <row r="71" spans="1:11">
      <c r="A71" t="s">
        <v>133</v>
      </c>
      <c r="B71" s="22">
        <f>+INDEX(Sheet1!$O$24:$O36,COLUMN()-COLUMN($B$69)+1)</f>
        <v>0</v>
      </c>
      <c r="C71" s="22">
        <f>+INDEX(Sheet1!$O$24:$O36,COLUMN()-COLUMN($B$69)+1)</f>
        <v>0</v>
      </c>
      <c r="D71" s="22">
        <f>+INDEX(Sheet1!$O$24:$O36,COLUMN()-COLUMN($B$69)+1)</f>
        <v>0</v>
      </c>
      <c r="E71" s="22">
        <f>+INDEX(Sheet1!$O$24:$O36,COLUMN()-COLUMN($B$69)+1)</f>
        <v>0</v>
      </c>
      <c r="F71" s="22">
        <f>+INDEX(Sheet1!$O$24:$O36,COLUMN()-COLUMN($B$69)+1)</f>
        <v>0</v>
      </c>
      <c r="G71" s="22">
        <f>+INDEX(Sheet1!$O$24:$O36,COLUMN()-COLUMN($B$69)+1)</f>
        <v>0</v>
      </c>
      <c r="H71" s="22">
        <f>+INDEX(Sheet1!$O$24:$O36,COLUMN()-COLUMN($B$69)+1)</f>
        <v>0</v>
      </c>
      <c r="I71" s="22">
        <f>+INDEX(Sheet1!$O$24:$O36,COLUMN()-COLUMN($B$69)+1)</f>
        <v>0</v>
      </c>
      <c r="J71" s="22">
        <f>+INDEX(Sheet1!$O$24:$O36,COLUMN()-COLUMN($B$69)+1)</f>
        <v>0</v>
      </c>
      <c r="K71" s="22">
        <f>+INDEX(Sheet1!$O$24:$O36,COLUMN()-COLUMN($B$69)+1)</f>
        <v>0</v>
      </c>
    </row>
    <row r="72" spans="1:11">
      <c r="A72" t="s">
        <v>134</v>
      </c>
      <c r="B72" s="22">
        <f>+INDEX(Sheet1!$P$24:$P37,COLUMN()-COLUMN($B$69)+1)</f>
        <v>10</v>
      </c>
      <c r="C72" s="22">
        <f>+INDEX(Sheet1!$P$24:$P37,COLUMN()-COLUMN($B$69)+1)</f>
        <v>10</v>
      </c>
      <c r="D72" s="22">
        <f>+INDEX(Sheet1!$P$24:$P37,COLUMN()-COLUMN($B$69)+1)</f>
        <v>10</v>
      </c>
      <c r="E72" s="22">
        <f>+INDEX(Sheet1!$P$24:$P37,COLUMN()-COLUMN($B$69)+1)</f>
        <v>10</v>
      </c>
      <c r="F72" s="22">
        <f>+INDEX(Sheet1!$P$24:$P37,COLUMN()-COLUMN($B$69)+1)</f>
        <v>10</v>
      </c>
      <c r="G72" s="22">
        <f>+INDEX(Sheet1!$P$24:$P37,COLUMN()-COLUMN($B$69)+1)</f>
        <v>10</v>
      </c>
      <c r="H72" s="22">
        <f>+INDEX(Sheet1!$P$24:$P37,COLUMN()-COLUMN($B$69)+1)</f>
        <v>10</v>
      </c>
      <c r="I72" s="22">
        <f>+INDEX(Sheet1!$P$24:$P37,COLUMN()-COLUMN($B$69)+1)</f>
        <v>10</v>
      </c>
      <c r="J72" s="22">
        <f>+INDEX(Sheet1!$P$24:$P37,COLUMN()-COLUMN($B$69)+1)</f>
        <v>10</v>
      </c>
      <c r="K72" s="22">
        <f>+INDEX(Sheet1!$P$24:$P37,COLUMN()-COLUMN($B$69)+1)</f>
        <v>0</v>
      </c>
    </row>
    <row r="74" spans="1:11">
      <c r="A74" t="s">
        <v>135</v>
      </c>
    </row>
    <row r="75" spans="1:11">
      <c r="A75" t="s">
        <v>246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136</v>
      </c>
      <c r="B76" s="22">
        <f>+INDEX(Sheet1!$Q$24:$Q41,COLUMN()-COLUMN($B$69)+1)</f>
        <v>-40</v>
      </c>
      <c r="C76" s="22">
        <f>+INDEX(Sheet1!$Q$24:$Q41,COLUMN()-COLUMN($B$69)+1)</f>
        <v>0</v>
      </c>
      <c r="D76" s="22">
        <f>+INDEX(Sheet1!$Q$24:$Q41,COLUMN()-COLUMN($B$69)+1)</f>
        <v>0</v>
      </c>
      <c r="E76" s="22">
        <f>+INDEX(Sheet1!$Q$24:$Q41,COLUMN()-COLUMN($B$69)+1)</f>
        <v>0</v>
      </c>
      <c r="F76" s="22">
        <f>+INDEX(Sheet1!$Q$24:$Q41,COLUMN()-COLUMN($B$69)+1)</f>
        <v>0</v>
      </c>
      <c r="G76" s="22">
        <f>+INDEX(Sheet1!$Q$24:$Q41,COLUMN()-COLUMN($B$69)+1)</f>
        <v>0</v>
      </c>
      <c r="H76" s="22">
        <f>+INDEX(Sheet1!$Q$24:$Q41,COLUMN()-COLUMN($B$69)+1)</f>
        <v>0</v>
      </c>
      <c r="I76" s="22">
        <f>+INDEX(Sheet1!$Q$24:$Q41,COLUMN()-COLUMN($B$69)+1)</f>
        <v>0</v>
      </c>
      <c r="J76" s="22">
        <f>+INDEX(Sheet1!$Q$24:$Q41,COLUMN()-COLUMN($B$69)+1)</f>
        <v>-20</v>
      </c>
      <c r="K76" s="22">
        <f>+INDEX(Sheet1!$Q$24:$Q41,COLUMN()-COLUMN($B$69)+1)</f>
        <v>0</v>
      </c>
    </row>
    <row r="77" spans="1:11">
      <c r="A77" t="s">
        <v>137</v>
      </c>
      <c r="B77" s="22">
        <f>+INDEX(Sheet1!$R$24:$R42,COLUMN()-COLUMN($B$69)+1)</f>
        <v>10</v>
      </c>
      <c r="C77" s="22">
        <f>+INDEX(Sheet1!$R$24:$R42,COLUMN()-COLUMN($B$69)+1)</f>
        <v>10</v>
      </c>
      <c r="D77" s="22">
        <f>+INDEX(Sheet1!$R$24:$R42,COLUMN()-COLUMN($B$69)+1)</f>
        <v>10</v>
      </c>
      <c r="E77" s="22">
        <f>+INDEX(Sheet1!$R$24:$R42,COLUMN()-COLUMN($B$69)+1)</f>
        <v>10</v>
      </c>
      <c r="F77" s="22">
        <f>+INDEX(Sheet1!$R$24:$R42,COLUMN()-COLUMN($B$69)+1)</f>
        <v>10</v>
      </c>
      <c r="G77" s="22">
        <f>+INDEX(Sheet1!$R$24:$R42,COLUMN()-COLUMN($B$69)+1)</f>
        <v>10</v>
      </c>
      <c r="H77" s="22">
        <f>+INDEX(Sheet1!$R$24:$R42,COLUMN()-COLUMN($B$69)+1)</f>
        <v>10</v>
      </c>
      <c r="I77" s="22">
        <f>+INDEX(Sheet1!$R$24:$R42,COLUMN()-COLUMN($B$69)+1)</f>
        <v>10</v>
      </c>
      <c r="J77" s="22">
        <f>+INDEX(Sheet1!$R$24:$R42,COLUMN()-COLUMN($B$69)+1)</f>
        <v>10</v>
      </c>
      <c r="K77" s="22">
        <f>+INDEX(Sheet1!$R$24:$R42,COLUMN()-COLUMN($B$69)+1)</f>
        <v>0</v>
      </c>
    </row>
    <row r="78" spans="1:11">
      <c r="A78" t="s">
        <v>104</v>
      </c>
    </row>
    <row r="79" spans="1:11">
      <c r="A79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73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166</v>
      </c>
    </row>
    <row r="2" spans="1:7">
      <c r="A2" t="s">
        <v>167</v>
      </c>
    </row>
    <row r="3" spans="1:7">
      <c r="A3" t="s">
        <v>168</v>
      </c>
    </row>
    <row r="4" spans="1:7">
      <c r="A4" t="s">
        <v>169</v>
      </c>
    </row>
    <row r="7" spans="1:7">
      <c r="A7" t="s">
        <v>171</v>
      </c>
    </row>
    <row r="8" spans="1:7">
      <c r="A8" t="s">
        <v>185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190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189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188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170</v>
      </c>
    </row>
    <row r="15" spans="1:7">
      <c r="A15" t="s">
        <v>185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184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134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173</v>
      </c>
    </row>
    <row r="21" spans="1:7">
      <c r="A21" t="s">
        <v>185</v>
      </c>
      <c r="B21">
        <v>0</v>
      </c>
      <c r="C21">
        <v>1</v>
      </c>
      <c r="D21">
        <v>2</v>
      </c>
    </row>
    <row r="22" spans="1:7">
      <c r="A22" t="s">
        <v>174</v>
      </c>
      <c r="B22">
        <v>3</v>
      </c>
      <c r="C22">
        <v>3</v>
      </c>
      <c r="D22">
        <v>3</v>
      </c>
    </row>
    <row r="23" spans="1:7">
      <c r="A23" t="s">
        <v>186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220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193</v>
      </c>
      <c r="B25">
        <f>Head_Torso!H70</f>
        <v>3715.0750000000003</v>
      </c>
      <c r="C25">
        <f>Head_Torso!I70</f>
        <v>2646.9625000000001</v>
      </c>
      <c r="D25">
        <f>Head_Torso!J70</f>
        <v>3560.375</v>
      </c>
    </row>
    <row r="27" spans="1:7">
      <c r="A27" t="s">
        <v>172</v>
      </c>
    </row>
    <row r="28" spans="1:7">
      <c r="A28" t="s">
        <v>185</v>
      </c>
      <c r="B28">
        <v>0</v>
      </c>
      <c r="C28">
        <v>1</v>
      </c>
      <c r="D28">
        <v>2</v>
      </c>
    </row>
    <row r="29" spans="1:7">
      <c r="A29" t="s">
        <v>191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192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175</v>
      </c>
    </row>
    <row r="34" spans="1:17">
      <c r="A34" t="s">
        <v>194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187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195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550</v>
      </c>
      <c r="G36">
        <f>Left_arm!G80</f>
        <v>750</v>
      </c>
      <c r="H36">
        <f>Left_arm!H80</f>
        <v>750</v>
      </c>
      <c r="I36">
        <f>Left_arm!I80</f>
        <v>1593.0000000000002</v>
      </c>
      <c r="J36">
        <f>Left_hand!B80</f>
        <v>442.3</v>
      </c>
      <c r="K36">
        <f>Left_hand!C80</f>
        <v>245</v>
      </c>
      <c r="L36">
        <f>Left_hand!D80</f>
        <v>20</v>
      </c>
      <c r="M36">
        <f>Left_hand!E80</f>
        <v>237</v>
      </c>
      <c r="N36">
        <f>Left_hand!F80</f>
        <v>67</v>
      </c>
      <c r="O36">
        <f>Left_hand!G80</f>
        <v>240</v>
      </c>
      <c r="P36">
        <f>Left_hand!H80</f>
        <v>6</v>
      </c>
      <c r="Q36">
        <f>Left_hand!I80</f>
        <v>684</v>
      </c>
    </row>
    <row r="37" spans="1:17">
      <c r="A37" t="s">
        <v>196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193</v>
      </c>
      <c r="B38">
        <f>Left_arm!B82</f>
        <v>2491.125</v>
      </c>
      <c r="C38">
        <f>Left_arm!C82</f>
        <v>3595.6375000000003</v>
      </c>
      <c r="D38">
        <f>Left_arm!D82</f>
        <v>3509.6140625000003</v>
      </c>
      <c r="E38">
        <f>Left_arm!E82</f>
        <v>2055.4625000000001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6500</v>
      </c>
      <c r="M38">
        <f>Left_hand!E82</f>
        <v>6000</v>
      </c>
      <c r="N38">
        <f>Left_hand!F82</f>
        <v>6500</v>
      </c>
      <c r="O38">
        <f>Left_hand!G82</f>
        <v>6000</v>
      </c>
      <c r="P38">
        <f>Left_hand!H82</f>
        <v>-6500</v>
      </c>
      <c r="Q38">
        <f>Left_hand!I82</f>
        <v>26000</v>
      </c>
    </row>
    <row r="40" spans="1:17">
      <c r="A40" t="s">
        <v>176</v>
      </c>
    </row>
    <row r="41" spans="1:17">
      <c r="A41" t="s">
        <v>194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191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0</v>
      </c>
      <c r="J42">
        <f>Left_hand!B83</f>
        <v>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134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177</v>
      </c>
    </row>
    <row r="47" spans="1:17">
      <c r="A47" t="s">
        <v>197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129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186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550</v>
      </c>
      <c r="G49">
        <f>Right_arm!G80</f>
        <v>750</v>
      </c>
      <c r="H49">
        <f>Right_arm!H80</f>
        <v>750</v>
      </c>
      <c r="I49">
        <f>Right_arm!I80</f>
        <v>1909.9999999999998</v>
      </c>
      <c r="J49">
        <f>Right_hand!B81</f>
        <v>511.8</v>
      </c>
      <c r="K49">
        <f>Right_hand!C81</f>
        <v>230</v>
      </c>
      <c r="L49">
        <f>Right_hand!D81</f>
        <v>35</v>
      </c>
      <c r="M49">
        <f>Right_hand!E81</f>
        <v>224</v>
      </c>
      <c r="N49">
        <f>Right_hand!F81</f>
        <v>20</v>
      </c>
      <c r="O49">
        <f>Right_hand!G81</f>
        <v>227</v>
      </c>
      <c r="P49">
        <f>Right_hand!H81</f>
        <v>56</v>
      </c>
      <c r="Q49">
        <f>Right_hand!I81</f>
        <v>738</v>
      </c>
    </row>
    <row r="50" spans="1:17">
      <c r="A50" t="s">
        <v>189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188</v>
      </c>
      <c r="B51">
        <f>Right_arm!B82</f>
        <v>195.64999999999986</v>
      </c>
      <c r="C51">
        <f>Right_arm!C82</f>
        <v>436.80000000000007</v>
      </c>
      <c r="D51">
        <f>Right_arm!D82</f>
        <v>1728.8578125000008</v>
      </c>
      <c r="E51">
        <f>Right_arm!E82</f>
        <v>2512.7375000000002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26000</v>
      </c>
    </row>
    <row r="53" spans="1:17">
      <c r="A53" t="s">
        <v>178</v>
      </c>
    </row>
    <row r="54" spans="1:17">
      <c r="A54" t="s">
        <v>198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199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134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179</v>
      </c>
    </row>
    <row r="60" spans="1:17">
      <c r="A60" t="s">
        <v>194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200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130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131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201</v>
      </c>
      <c r="B64">
        <f>Legs!H95</f>
        <v>3931.2000000000003</v>
      </c>
      <c r="C64">
        <f>Legs!I95</f>
        <v>3124.7125000000001</v>
      </c>
      <c r="D64">
        <f>Legs!J95</f>
        <v>1248.9750000000001</v>
      </c>
      <c r="E64">
        <f>Legs!K95</f>
        <v>3974.4249999999997</v>
      </c>
      <c r="F64">
        <f>Legs!L95</f>
        <v>2464.9625000000001</v>
      </c>
      <c r="G64">
        <f>Legs!M95</f>
        <v>442.48750000000007</v>
      </c>
    </row>
    <row r="66" spans="1:7">
      <c r="A66" t="s">
        <v>180</v>
      </c>
    </row>
    <row r="67" spans="1:7">
      <c r="A67" t="s">
        <v>198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133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202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181</v>
      </c>
    </row>
    <row r="72" spans="1:7">
      <c r="A72" t="s">
        <v>203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129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130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204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193</v>
      </c>
      <c r="B76">
        <f>Legs!B95</f>
        <v>2652.65</v>
      </c>
      <c r="C76">
        <f>Legs!C95</f>
        <v>2943.85</v>
      </c>
      <c r="D76">
        <f>Legs!D95</f>
        <v>1976.9750000000001</v>
      </c>
      <c r="E76">
        <f>Legs!E95</f>
        <v>1644.8250000000003</v>
      </c>
      <c r="F76">
        <f>Legs!F95</f>
        <v>2396.7125000000001</v>
      </c>
      <c r="G76">
        <f>Legs!G95</f>
        <v>1730.1375000000003</v>
      </c>
    </row>
    <row r="78" spans="1:7">
      <c r="A78" t="s">
        <v>182</v>
      </c>
    </row>
    <row r="79" spans="1:7">
      <c r="A79" t="s">
        <v>205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191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192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2010-04-06T15:55:48Z</dcterms:modified>
</cp:coreProperties>
</file>