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L55" i="1"/>
  <c r="C35" i="8" l="1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B37"/>
  <c r="B38"/>
  <c r="B35"/>
  <c r="B36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C43"/>
  <c r="D43"/>
  <c r="E43"/>
  <c r="F43"/>
  <c r="G43"/>
  <c r="H43"/>
  <c r="I43"/>
  <c r="B43"/>
  <c r="C42"/>
  <c r="D42"/>
  <c r="E42"/>
  <c r="F42"/>
  <c r="G42"/>
  <c r="H42"/>
  <c r="I42"/>
  <c r="B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E38" i="1"/>
  <c r="F38" s="1"/>
  <c r="N38" s="1"/>
  <c r="C69" i="3" s="1"/>
  <c r="F39" i="1"/>
  <c r="N39" s="1"/>
  <c r="D69" i="3" s="1"/>
  <c r="D67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/>
  <c r="P36" i="8" s="1"/>
  <c r="K55" i="1"/>
  <c r="D55" s="1"/>
  <c r="I38" i="4" s="1"/>
  <c r="I37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I71"/>
  <c r="Q49" i="8" s="1"/>
  <c r="H40" i="6"/>
  <c r="F40"/>
  <c r="D40"/>
  <c r="B40"/>
  <c r="D52" i="1"/>
  <c r="F38" i="4" s="1"/>
  <c r="D50" i="1"/>
  <c r="D38" i="4" s="1"/>
  <c r="G40" i="6" l="1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</calcChain>
</file>

<file path=xl/sharedStrings.xml><?xml version="1.0" encoding="utf-8"?>
<sst xmlns="http://schemas.openxmlformats.org/spreadsheetml/2006/main" count="674" uniqueCount="230">
  <si>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</si>
  <si>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</si>
  <si>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</si>
  <si>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</si>
  <si>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</si>
  <si>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</si>
  <si>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</si>
  <si>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</si>
  <si>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</si>
  <si>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</si>
  <si>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</si>
  <si>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</si>
  <si>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</si>
  <si>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</si>
  <si>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</si>
  <si>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</si>
  <si>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</si>
  <si>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</si>
  <si>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</si>
  <si>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</si>
  <si>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</si>
  <si>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</si>
  <si>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</si>
  <si>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</si>
  <si>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</si>
  <si>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</si>
  <si>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</si>
  <si>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</si>
  <si>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</si>
  <si>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</si>
  <si>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</si>
  <si>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</si>
  <si>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</si>
  <si>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</si>
  <si>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</si>
  <si>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</si>
  <si>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</si>
  <si>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</si>
  <si>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</si>
  <si>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</si>
  <si>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</si>
  <si>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</si>
  <si>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</si>
  <si>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</si>
  <si>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</si>
  <si>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</si>
  <si>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</si>
  <si>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</si>
  <si>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</si>
  <si>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</si>
  <si>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</si>
  <si>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</si>
  <si>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</si>
  <si>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</si>
  <si>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</si>
  <si>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</si>
  <si>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</si>
  <si>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</si>
  <si>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</si>
  <si>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</si>
  <si>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</si>
  <si>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</si>
  <si>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</si>
  <si>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</si>
  <si>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</si>
  <si>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</si>
  <si>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</si>
  <si>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</si>
  <si>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</si>
  <si>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</si>
  <si>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</si>
  <si>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</si>
  <si>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</si>
  <si>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</si>
  <si>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</si>
  <si>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</si>
  <si>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</si>
  <si>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</si>
  <si>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</si>
  <si>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</si>
  <si>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</si>
  <si>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</si>
  <si>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</si>
  <si>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</si>
  <si>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</si>
  <si>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</si>
  <si>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</si>
  <si>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</si>
  <si>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</si>
  <si>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</si>
  <si>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</si>
  <si>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</si>
  <si>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</si>
  <si>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</si>
  <si>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</si>
  <si>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</si>
  <si>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</si>
  <si>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</si>
  <si>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</si>
  <si>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</si>
  <si>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</si>
  <si>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</si>
  <si>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</si>
  <si>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</si>
  <si>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</si>
  <si>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</si>
  <si>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</si>
  <si>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</si>
  <si>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</si>
  <si>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</si>
  <si>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</si>
  <si>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</si>
  <si>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</si>
  <si>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</si>
  <si>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</si>
  <si>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</si>
  <si>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</si>
  <si>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</si>
  <si>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</si>
  <si>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</si>
  <si>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</si>
  <si>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</si>
  <si>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</si>
  <si>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</si>
  <si>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</si>
  <si>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</si>
  <si>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</si>
  <si>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</si>
  <si>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</si>
  <si>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</si>
  <si>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</si>
  <si>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</si>
  <si>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</si>
  <si>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</si>
  <si>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</si>
  <si>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</si>
  <si>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</si>
  <si>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</si>
  <si>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</si>
  <si>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</si>
  <si>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</si>
  <si>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</si>
  <si>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</si>
  <si>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</si>
  <si>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</si>
  <si>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</si>
  <si>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</si>
  <si>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</si>
  <si>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</si>
  <si>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</si>
  <si>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</si>
  <si>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</si>
  <si>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</si>
  <si>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</si>
  <si>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</si>
  <si>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</si>
  <si>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</si>
  <si>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</si>
  <si>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</si>
  <si>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</si>
  <si>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</si>
  <si>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</si>
  <si>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</si>
  <si>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</si>
  <si>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</si>
  <si>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</si>
  <si>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</si>
  <si>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</si>
  <si>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</si>
  <si>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</si>
  <si>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</si>
  <si>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</si>
  <si>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</si>
  <si>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</si>
  <si>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</si>
  <si>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</si>
  <si>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</si>
  <si>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</si>
  <si>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</si>
  <si>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</si>
  <si>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</si>
  <si>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</si>
  <si>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</si>
  <si>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</si>
  <si>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</si>
  <si>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</si>
  <si>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</si>
  <si>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</si>
  <si>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</si>
  <si>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</si>
  <si>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</si>
  <si>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</si>
  <si>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 xml:space="preserve">Calibration2 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</si>
  <si>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</si>
  <si>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</si>
  <si>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</si>
  <si>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</si>
  <si>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</si>
  <si>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</si>
  <si>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</si>
  <si>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</si>
  <si>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</si>
  <si>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</si>
  <si>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</si>
  <si>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</si>
  <si>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</si>
  <si>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</si>
  <si>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</si>
  <si>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</si>
  <si>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</si>
  <si>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</si>
  <si>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</si>
  <si>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</si>
  <si>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</si>
  <si>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</si>
  <si>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</si>
  <si>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</si>
  <si>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</si>
  <si>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</si>
  <si>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</si>
  <si>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</si>
  <si>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</si>
  <si>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</si>
  <si>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</si>
  <si>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</si>
  <si>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Release: 0.3</t>
  </si>
  <si>
    <t>16/12/09</t>
  </si>
  <si>
    <t>TO BE TEST THE MINUS IN D2</t>
  </si>
  <si>
    <t xml:space="preserve">HOME Position </t>
  </si>
  <si>
    <t xml:space="preserve">HOME Velocity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</si>
</sst>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49" zoomScale="70" zoomScaleNormal="70" workbookViewId="0">
      <selection activeCell="E63" sqref="E6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</row>
    <row r="6" spans="1:16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179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228</v>
      </c>
      <c r="P6" s="51" t="s">
        <v>229</v>
      </c>
    </row>
    <row r="7" spans="1:16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/>
      <c r="P7" s="25"/>
    </row>
    <row r="8" spans="1:16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/>
      <c r="P8" s="25"/>
    </row>
    <row r="9" spans="1:16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/>
      <c r="P9" s="25"/>
    </row>
    <row r="10" spans="1:16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/>
      <c r="P10" s="25"/>
    </row>
    <row r="11" spans="1:16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/>
      <c r="P11" s="25"/>
    </row>
    <row r="12" spans="1:16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/>
      <c r="P12" s="25"/>
    </row>
    <row r="13" spans="1:16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/>
      <c r="P13" s="25"/>
    </row>
    <row r="14" spans="1:16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/>
      <c r="P14" s="25"/>
    </row>
    <row r="15" spans="1:16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/>
      <c r="P15" s="25"/>
    </row>
    <row r="16" spans="1:16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/>
      <c r="P16" s="25"/>
    </row>
    <row r="17" spans="1:16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/>
      <c r="P17" s="25"/>
    </row>
    <row r="18" spans="1:16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</row>
    <row r="23" spans="1:16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179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228</v>
      </c>
      <c r="P23" s="51" t="s">
        <v>229</v>
      </c>
    </row>
    <row r="24" spans="1:16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/>
      <c r="P30" s="25"/>
    </row>
    <row r="31" spans="1:16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/>
      <c r="P31" s="25"/>
    </row>
    <row r="32" spans="1:16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/>
      <c r="P32" s="25"/>
    </row>
    <row r="33" spans="1:21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</row>
    <row r="36" spans="1:21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179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228</v>
      </c>
      <c r="P36" s="51" t="s">
        <v>229</v>
      </c>
    </row>
    <row r="37" spans="1:21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/>
      <c r="P37" s="25"/>
    </row>
    <row r="38" spans="1:21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/>
      <c r="P38" s="25"/>
    </row>
    <row r="39" spans="1:21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/>
      <c r="P39" s="27"/>
      <c r="R39" s="46" t="s">
        <v>227</v>
      </c>
      <c r="S39" s="46"/>
      <c r="T39" s="46"/>
      <c r="U39" s="46"/>
    </row>
    <row r="40" spans="1:21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/>
      <c r="P40" s="25"/>
    </row>
    <row r="41" spans="1:21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/>
      <c r="P44" s="27"/>
    </row>
    <row r="45" spans="1:21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</row>
    <row r="47" spans="1:21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179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228</v>
      </c>
      <c r="P47" s="51" t="s">
        <v>229</v>
      </c>
    </row>
    <row r="48" spans="1:21" ht="18.75">
      <c r="A48" s="28">
        <v>0</v>
      </c>
      <c r="B48" s="54" t="s">
        <v>48</v>
      </c>
      <c r="C48" s="34"/>
      <c r="D48" s="27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4" t="s">
        <v>49</v>
      </c>
      <c r="C49" s="34"/>
      <c r="D49" s="27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4" t="s">
        <v>50</v>
      </c>
      <c r="C50" s="34"/>
      <c r="D50" s="27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4" t="s">
        <v>51</v>
      </c>
      <c r="C51" s="34"/>
      <c r="D51" s="27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4" t="s">
        <v>52</v>
      </c>
      <c r="C52" s="34"/>
      <c r="D52" s="27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4" t="s">
        <v>53</v>
      </c>
      <c r="C53" s="34"/>
      <c r="D53" s="27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4" t="s">
        <v>54</v>
      </c>
      <c r="C54" s="34"/>
      <c r="D54" s="27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4" t="s">
        <v>55</v>
      </c>
      <c r="C55" s="34"/>
      <c r="D55" s="27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/>
      <c r="P55" s="27"/>
    </row>
    <row r="56" spans="1:16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6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</row>
    <row r="58" spans="1:16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179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6" t="s">
        <v>228</v>
      </c>
      <c r="P58" s="56" t="s">
        <v>229</v>
      </c>
    </row>
    <row r="59" spans="1:16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/>
      <c r="P59" s="25"/>
    </row>
    <row r="60" spans="1:16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/>
      <c r="P60" s="25"/>
    </row>
    <row r="61" spans="1:16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5"/>
      <c r="P61" s="25"/>
    </row>
    <row r="62" spans="1:16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/>
      <c r="P62" s="25"/>
    </row>
    <row r="63" spans="1:16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</row>
    <row r="69" spans="1:16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179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6" t="s">
        <v>228</v>
      </c>
      <c r="P69" s="56" t="s">
        <v>229</v>
      </c>
    </row>
    <row r="70" spans="1:16" ht="18.75">
      <c r="A70" s="28">
        <v>0</v>
      </c>
      <c r="B70" s="54" t="s">
        <v>66</v>
      </c>
      <c r="C70" s="34"/>
      <c r="D70" s="27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4" t="s">
        <v>67</v>
      </c>
      <c r="C71" s="34"/>
      <c r="D71" s="27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4" t="s">
        <v>68</v>
      </c>
      <c r="C72" s="34"/>
      <c r="D72" s="27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4" t="s">
        <v>69</v>
      </c>
      <c r="C73" s="34"/>
      <c r="D73" s="27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4" t="s">
        <v>70</v>
      </c>
      <c r="C74" s="34"/>
      <c r="D74" s="27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4" t="s">
        <v>71</v>
      </c>
      <c r="C75" s="34"/>
      <c r="D75" s="27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4" t="s">
        <v>72</v>
      </c>
      <c r="C76" s="34"/>
      <c r="D76" s="27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4" t="s">
        <v>73</v>
      </c>
      <c r="C77" s="34"/>
      <c r="D77" s="27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181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180</v>
      </c>
      <c r="C92" s="3"/>
      <c r="D92" s="3"/>
    </row>
    <row r="93" spans="1:5">
      <c r="A93" t="s">
        <v>225</v>
      </c>
      <c r="C93" s="3"/>
      <c r="D93" s="3"/>
    </row>
    <row r="94" spans="1:5">
      <c r="A94" t="s">
        <v>226</v>
      </c>
      <c r="C94" s="3"/>
      <c r="D94" s="3"/>
    </row>
    <row r="95" spans="1:5" ht="15.75" thickBot="1">
      <c r="C95" s="3"/>
      <c r="D95" s="3"/>
    </row>
    <row r="96" spans="1:5" ht="21.75" thickBot="1">
      <c r="A96" s="44" t="s">
        <v>182</v>
      </c>
      <c r="B96" s="43" t="s">
        <v>224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46" zoomScale="75" zoomScaleNormal="75" workbookViewId="0">
      <selection activeCell="B70" sqref="B70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22">
        <f>+INDEX(Sheet1!$K$7:$K18,COLUMN()-COLUMN($B$69)+1)</f>
        <v>11.375</v>
      </c>
      <c r="C38" s="22">
        <f>+INDEX(Sheet1!$K$7:$K18,COLUMN()-COLUMN($B$69)+1)</f>
        <v>11.375</v>
      </c>
      <c r="D38" s="22">
        <f>+INDEX(Sheet1!$K$7:$K18,COLUMN()-COLUMN($B$69)+1)</f>
        <v>11.375</v>
      </c>
      <c r="E38" s="22">
        <f>+INDEX(Sheet1!$K$7:$K18,COLUMN()-COLUMN($B$69)+1)</f>
        <v>11.375</v>
      </c>
      <c r="F38" s="22">
        <f>+INDEX(Sheet1!$K$7:$K18,COLUMN()-COLUMN($B$69)+1)</f>
        <v>11.375</v>
      </c>
      <c r="G38" s="22">
        <f>+INDEX(Sheet1!$K$7:$K18,COLUMN()-COLUMN($B$69)+1)</f>
        <v>11.375</v>
      </c>
      <c r="H38" s="22">
        <f>+INDEX(Sheet1!$K$7:$K18,COLUMN()-COLUMN($B$69)+1)</f>
        <v>-11.375</v>
      </c>
      <c r="I38" s="22">
        <f>+INDEX(Sheet1!$K$7:$K18,COLUMN()-COLUMN($B$69)+1)</f>
        <v>-11.375</v>
      </c>
      <c r="J38" s="22">
        <f>+INDEX(Sheet1!$K$7:$K18,COLUMN()-COLUMN($B$69)+1)</f>
        <v>-11.375</v>
      </c>
      <c r="K38" s="22">
        <f>+INDEX(Sheet1!$K$7:$K18,COLUMN()-COLUMN($B$69)+1)</f>
        <v>-11.375</v>
      </c>
      <c r="L38" s="22">
        <f>+INDEX(Sheet1!$K$7:$K18,COLUMN()-COLUMN($B$69)+1)</f>
        <v>-11.375</v>
      </c>
      <c r="M38" s="22">
        <f>+INDEX(Sheet1!$K$7:$K18,COLUMN()-COLUMN($B$69)+1)</f>
        <v>-11.375</v>
      </c>
    </row>
    <row r="39" spans="1:14">
      <c r="A39" t="s">
        <v>110</v>
      </c>
      <c r="B39" s="22">
        <f>+INDEX(Sheet1!$D$7:$D19,COLUMN()-COLUMN($B$69)+1)</f>
        <v>180</v>
      </c>
      <c r="C39" s="22">
        <f>+INDEX(Sheet1!$D$7:$D19,COLUMN()-COLUMN($B$69)+1)</f>
        <v>180</v>
      </c>
      <c r="D39" s="22">
        <f>+INDEX(Sheet1!$D$7:$D19,COLUMN()-COLUMN($B$69)+1)</f>
        <v>180</v>
      </c>
      <c r="E39" s="22">
        <f>+INDEX(Sheet1!$D$7:$D19,COLUMN()-COLUMN($B$69)+1)</f>
        <v>180</v>
      </c>
      <c r="F39" s="22">
        <f>+INDEX(Sheet1!$D$7:$D19,COLUMN()-COLUMN($B$69)+1)</f>
        <v>180</v>
      </c>
      <c r="G39" s="22">
        <f>+INDEX(Sheet1!$D$7:$D19,COLUMN()-COLUMN($B$69)+1)</f>
        <v>180</v>
      </c>
      <c r="H39" s="22">
        <f>+INDEX(Sheet1!$D$7:$D19,COLUMN()-COLUMN($B$69)+1)</f>
        <v>-180</v>
      </c>
      <c r="I39" s="22">
        <f>+INDEX(Sheet1!$D$7:$D19,COLUMN()-COLUMN($B$69)+1)</f>
        <v>-180</v>
      </c>
      <c r="J39" s="22">
        <f>+INDEX(Sheet1!$D$7:$D19,COLUMN()-COLUMN($B$69)+1)</f>
        <v>-180</v>
      </c>
      <c r="K39" s="22">
        <f>+INDEX(Sheet1!$D$7:$D19,COLUMN()-COLUMN($B$69)+1)</f>
        <v>-180</v>
      </c>
      <c r="L39" s="22">
        <f>+INDEX(Sheet1!$D$7:$D19,COLUMN()-COLUMN($B$69)+1)</f>
        <v>-180</v>
      </c>
      <c r="M39" s="22">
        <f>+INDEX(Sheet1!$D$7:$D19,COLUMN()-COLUMN($B$69)+1)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22">
        <f>+INDEX(Sheet1!$H$7:$H26,COLUMN()-COLUMN($B$69)+1)</f>
        <v>90</v>
      </c>
      <c r="C46" s="22">
        <f>+INDEX(Sheet1!$H$7:$H26,COLUMN()-COLUMN($B$69)+1)</f>
        <v>90</v>
      </c>
      <c r="D46" s="22">
        <f>+INDEX(Sheet1!$H$7:$H26,COLUMN()-COLUMN($B$69)+1)</f>
        <v>78</v>
      </c>
      <c r="E46" s="22">
        <f>+INDEX(Sheet1!$H$7:$H26,COLUMN()-COLUMN($B$69)+1)</f>
        <v>15</v>
      </c>
      <c r="F46" s="22">
        <f>+INDEX(Sheet1!$H$7:$H26,COLUMN()-COLUMN($B$69)+1)</f>
        <v>39</v>
      </c>
      <c r="G46" s="22">
        <f>+INDEX(Sheet1!$H$7:$H26,COLUMN()-COLUMN($B$69)+1)</f>
        <v>22</v>
      </c>
      <c r="H46" s="22">
        <f>+INDEX(Sheet1!$H$7:$H26,COLUMN()-COLUMN($B$69)+1)</f>
        <v>90</v>
      </c>
      <c r="I46" s="22">
        <f>+INDEX(Sheet1!$H$7:$H26,COLUMN()-COLUMN($B$69)+1)</f>
        <v>90</v>
      </c>
      <c r="J46" s="22">
        <f>+INDEX(Sheet1!$H$7:$H26,COLUMN()-COLUMN($B$69)+1)</f>
        <v>78</v>
      </c>
      <c r="K46" s="22">
        <f>+INDEX(Sheet1!$H$7:$H26,COLUMN()-COLUMN($B$69)+1)</f>
        <v>15</v>
      </c>
      <c r="L46" s="22">
        <f>+INDEX(Sheet1!$H$7:$H26,COLUMN()-COLUMN($B$69)+1)</f>
        <v>39</v>
      </c>
      <c r="M46" s="22">
        <f>+INDEX(Sheet1!$H$7:$H26,COLUMN()-COLUMN($B$69)+1)</f>
        <v>22</v>
      </c>
    </row>
    <row r="47" spans="1:14">
      <c r="A47" t="s">
        <v>114</v>
      </c>
      <c r="B47" s="22">
        <f>+INDEX(Sheet1!$G$7:$G27,COLUMN()-COLUMN($B$69)+1)</f>
        <v>-30</v>
      </c>
      <c r="C47" s="22">
        <f>+INDEX(Sheet1!$G$7:$G27,COLUMN()-COLUMN($B$69)+1)</f>
        <v>0</v>
      </c>
      <c r="D47" s="22">
        <f>+INDEX(Sheet1!$G$7:$G27,COLUMN()-COLUMN($B$69)+1)</f>
        <v>-80</v>
      </c>
      <c r="E47" s="22">
        <f>+INDEX(Sheet1!$G$7:$G27,COLUMN()-COLUMN($B$69)+1)</f>
        <v>-125</v>
      </c>
      <c r="F47" s="22">
        <f>+INDEX(Sheet1!$G$7:$G27,COLUMN()-COLUMN($B$69)+1)</f>
        <v>-20</v>
      </c>
      <c r="G47" s="22">
        <f>+INDEX(Sheet1!$G$7:$G27,COLUMN()-COLUMN($B$69)+1)</f>
        <v>-22</v>
      </c>
      <c r="H47" s="22">
        <f>+INDEX(Sheet1!$G$7:$G27,COLUMN()-COLUMN($B$69)+1)</f>
        <v>-30</v>
      </c>
      <c r="I47" s="22">
        <f>+INDEX(Sheet1!$G$7:$G27,COLUMN()-COLUMN($B$69)+1)</f>
        <v>0</v>
      </c>
      <c r="J47" s="22">
        <f>+INDEX(Sheet1!$G$7:$G27,COLUMN()-COLUMN($B$69)+1)</f>
        <v>-80</v>
      </c>
      <c r="K47" s="22">
        <f>+INDEX(Sheet1!$G$7:$G27,COLUMN()-COLUMN($B$69)+1)</f>
        <v>-125</v>
      </c>
      <c r="L47" s="22">
        <f>+INDEX(Sheet1!$G$7:$G27,COLUMN()-COLUMN($B$69)+1)</f>
        <v>-20</v>
      </c>
      <c r="M47" s="22">
        <f>+INDEX(Sheet1!$G$7:$G27,COLUMN()-COLUMN($B$69)+1)</f>
        <v>-22</v>
      </c>
    </row>
    <row r="50" spans="1:13">
      <c r="A50" t="s">
        <v>115</v>
      </c>
    </row>
    <row r="51" spans="1:13">
      <c r="A51" t="s">
        <v>116</v>
      </c>
      <c r="B51" s="22">
        <f>+$B$5</f>
        <v>7000</v>
      </c>
      <c r="C51" s="22">
        <f t="shared" ref="C51:M51" si="0">+$B$5</f>
        <v>7000</v>
      </c>
      <c r="D51" s="22">
        <f t="shared" si="0"/>
        <v>7000</v>
      </c>
      <c r="E51" s="22">
        <f t="shared" si="0"/>
        <v>7000</v>
      </c>
      <c r="F51" s="22">
        <f t="shared" si="0"/>
        <v>7000</v>
      </c>
      <c r="G51" s="22">
        <f t="shared" si="0"/>
        <v>7000</v>
      </c>
      <c r="H51" s="22">
        <f t="shared" si="0"/>
        <v>7000</v>
      </c>
      <c r="I51" s="22">
        <f t="shared" si="0"/>
        <v>7000</v>
      </c>
      <c r="J51" s="22">
        <f t="shared" si="0"/>
        <v>7000</v>
      </c>
      <c r="K51" s="22">
        <f t="shared" si="0"/>
        <v>7000</v>
      </c>
      <c r="L51" s="22">
        <f t="shared" si="0"/>
        <v>7000</v>
      </c>
      <c r="M51" s="22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22">
        <f>+$B$3</f>
        <v>1333</v>
      </c>
      <c r="F55" s="22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22">
        <f t="shared" ref="E56:E66" si="2">+$B$3</f>
        <v>1333</v>
      </c>
      <c r="F56" s="22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22">
        <f t="shared" si="2"/>
        <v>1333</v>
      </c>
      <c r="F57" s="22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22">
        <f t="shared" si="2"/>
        <v>1333</v>
      </c>
      <c r="F58" s="22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22">
        <f t="shared" si="2"/>
        <v>1333</v>
      </c>
      <c r="F59" s="22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22">
        <f t="shared" si="2"/>
        <v>1333</v>
      </c>
      <c r="F60" s="22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22">
        <f t="shared" si="2"/>
        <v>1333</v>
      </c>
      <c r="F61" s="22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22">
        <f t="shared" si="2"/>
        <v>1333</v>
      </c>
      <c r="F62" s="22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22">
        <f t="shared" si="2"/>
        <v>1333</v>
      </c>
      <c r="F63" s="22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22">
        <f t="shared" si="2"/>
        <v>1333</v>
      </c>
      <c r="F64" s="22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22">
        <f t="shared" si="2"/>
        <v>1333</v>
      </c>
      <c r="F65" s="22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22">
        <f t="shared" si="2"/>
        <v>1333</v>
      </c>
      <c r="F66" s="22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22">
        <f>+INDEX(Sheet1!$L$7:$L18,COLUMN()-COLUMN($B$69)+1)</f>
        <v>2047.5</v>
      </c>
      <c r="C71" s="22">
        <f>+INDEX(Sheet1!$L$7:$L18,COLUMN()-COLUMN($B$69)+1)</f>
        <v>2047.5</v>
      </c>
      <c r="D71" s="22">
        <f>+INDEX(Sheet1!$L$7:$L18,COLUMN()-COLUMN($B$69)+1)</f>
        <v>2047.5</v>
      </c>
      <c r="E71" s="22">
        <f>+INDEX(Sheet1!$L$7:$L18,COLUMN()-COLUMN($B$69)+1)</f>
        <v>2047.5</v>
      </c>
      <c r="F71" s="22">
        <f>+INDEX(Sheet1!$L$7:$L18,COLUMN()-COLUMN($B$69)+1)</f>
        <v>2047.5</v>
      </c>
      <c r="G71" s="22">
        <f>+INDEX(Sheet1!$L$7:$L18,COLUMN()-COLUMN($B$69)+1)</f>
        <v>2047.5</v>
      </c>
      <c r="H71" s="22">
        <f>+INDEX(Sheet1!$L$7:$L18,COLUMN()-COLUMN($B$69)+1)</f>
        <v>2047.5</v>
      </c>
      <c r="I71" s="22">
        <f>+INDEX(Sheet1!$L$7:$L18,COLUMN()-COLUMN($B$69)+1)</f>
        <v>2047.5</v>
      </c>
      <c r="J71" s="22">
        <f>+INDEX(Sheet1!$L$7:$L18,COLUMN()-COLUMN($B$69)+1)</f>
        <v>2047.5</v>
      </c>
      <c r="K71" s="22">
        <f>+INDEX(Sheet1!$L$7:$L18,COLUMN()-COLUMN($B$69)+1)</f>
        <v>2047.5</v>
      </c>
      <c r="L71" s="22">
        <f>+INDEX(Sheet1!$L$7:$L18,COLUMN()-COLUMN($B$69)+1)</f>
        <v>2047.5</v>
      </c>
      <c r="M71" s="22">
        <f>+INDEX(Sheet1!$L$7:$L18,COLUMN()-COLUMN($B$69)+1)</f>
        <v>2047.5</v>
      </c>
    </row>
    <row r="72" spans="1:13">
      <c r="A72" t="s">
        <v>141</v>
      </c>
      <c r="B72" s="22">
        <f>+INDEX(Sheet1!$M$7:$M19,COLUMN()-COLUMN($B$69)+1)</f>
        <v>10</v>
      </c>
      <c r="C72" s="22">
        <f>+INDEX(Sheet1!$M$7:$M19,COLUMN()-COLUMN($B$69)+1)</f>
        <v>10</v>
      </c>
      <c r="D72" s="22">
        <f>+INDEX(Sheet1!$M$7:$M19,COLUMN()-COLUMN($B$69)+1)</f>
        <v>10</v>
      </c>
      <c r="E72" s="22">
        <f>+INDEX(Sheet1!$M$7:$M19,COLUMN()-COLUMN($B$69)+1)</f>
        <v>10</v>
      </c>
      <c r="F72" s="22">
        <f>+INDEX(Sheet1!$M$7:$M19,COLUMN()-COLUMN($B$69)+1)</f>
        <v>10</v>
      </c>
      <c r="G72" s="22">
        <f>+INDEX(Sheet1!$M$7:$M19,COLUMN()-COLUMN($B$69)+1)</f>
        <v>10</v>
      </c>
      <c r="H72" s="22">
        <f>+INDEX(Sheet1!$M$7:$M19,COLUMN()-COLUMN($B$69)+1)</f>
        <v>10</v>
      </c>
      <c r="I72" s="22">
        <f>+INDEX(Sheet1!$M$7:$M19,COLUMN()-COLUMN($B$69)+1)</f>
        <v>10</v>
      </c>
      <c r="J72" s="22">
        <f>+INDEX(Sheet1!$M$7:$M19,COLUMN()-COLUMN($B$69)+1)</f>
        <v>10</v>
      </c>
      <c r="K72" s="22">
        <f>+INDEX(Sheet1!$M$7:$M19,COLUMN()-COLUMN($B$69)+1)</f>
        <v>10</v>
      </c>
      <c r="L72" s="22">
        <f>+INDEX(Sheet1!$M$7:$M19,COLUMN()-COLUMN($B$69)+1)</f>
        <v>10</v>
      </c>
      <c r="M72" s="22">
        <f>+INDEX(Sheet1!$M$7:$M19,COLUMN()-COLUMN($B$69)+1)</f>
        <v>10</v>
      </c>
    </row>
    <row r="73" spans="1:13">
      <c r="A73" t="s">
        <v>142</v>
      </c>
      <c r="B73" s="22">
        <f>+INDEX(Sheet1!$N$7:$N20,COLUMN()-COLUMN($B$69)+1)</f>
        <v>2639</v>
      </c>
      <c r="C73" s="22">
        <f>+INDEX(Sheet1!$N$7:$N20,COLUMN()-COLUMN($B$69)+1)</f>
        <v>2976.8375000000001</v>
      </c>
      <c r="D73" s="22">
        <f>+INDEX(Sheet1!$N$7:$N20,COLUMN()-COLUMN($B$69)+1)</f>
        <v>2046.3624999999997</v>
      </c>
      <c r="E73" s="22">
        <f>+INDEX(Sheet1!$N$7:$N20,COLUMN()-COLUMN($B$69)+1)</f>
        <v>1631.1749999999997</v>
      </c>
      <c r="F73" s="22">
        <f>+INDEX(Sheet1!$N$7:$N20,COLUMN()-COLUMN($B$69)+1)</f>
        <v>2424.0124999999998</v>
      </c>
      <c r="G73" s="22">
        <f>+INDEX(Sheet1!$N$7:$N20,COLUMN()-COLUMN($B$69)+1)</f>
        <v>1606.1499999999999</v>
      </c>
      <c r="H73" s="22">
        <f>+INDEX(Sheet1!$N$7:$N20,COLUMN()-COLUMN($B$69)+1)</f>
        <v>3960.7750000000001</v>
      </c>
      <c r="I73" s="22">
        <f>+INDEX(Sheet1!$N$7:$N20,COLUMN()-COLUMN($B$69)+1)</f>
        <v>3108.7874999999999</v>
      </c>
      <c r="J73" s="22">
        <f>+INDEX(Sheet1!$N$7:$N20,COLUMN()-COLUMN($B$69)+1)</f>
        <v>2444.4875000000002</v>
      </c>
      <c r="K73" s="22">
        <f>+INDEX(Sheet1!$N$7:$N20,COLUMN()-COLUMN($B$69)+1)</f>
        <v>3951.6749999999997</v>
      </c>
      <c r="L73" s="22">
        <f>+INDEX(Sheet1!$N$7:$N20,COLUMN()-COLUMN($B$69)+1)</f>
        <v>2503.6374999999998</v>
      </c>
      <c r="M73" s="22">
        <f>+INDEX(Sheet1!$N$7:$N20,COLUMN()-COLUMN($B$69)+1)</f>
        <v>457.27499999999986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52" zoomScale="75" zoomScaleNormal="75" workbookViewId="0">
      <selection activeCell="C67" sqref="C67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5.666666666666667</v>
      </c>
    </row>
    <row r="39" spans="1:9">
      <c r="A39" t="s">
        <v>110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281.11764705882354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114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5.5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115</v>
      </c>
    </row>
    <row r="51" spans="1:9">
      <c r="A51" t="s">
        <v>116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-200</v>
      </c>
      <c r="C62">
        <v>-200</v>
      </c>
      <c r="D62">
        <v>-1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1593.0000000000002</v>
      </c>
    </row>
    <row r="68" spans="1:9">
      <c r="A68" t="s">
        <v>141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142</v>
      </c>
      <c r="B69" s="22">
        <f>+INDEX(Sheet1!$N$37:$N$44,COLUMN()-COLUMN($B$69)+1)</f>
        <v>2536.625</v>
      </c>
      <c r="C69" s="22">
        <f>+INDEX(Sheet1!$N$37:$N$44,COLUMN()-COLUMN($B$69)+1)</f>
        <v>2425.15</v>
      </c>
      <c r="D69" s="22">
        <f>+INDEX(Sheet1!$N$37:$N$44,COLUMN()-COLUMN($B$69)+1)</f>
        <v>3456.0093749999992</v>
      </c>
      <c r="E69" s="22">
        <f>+INDEX(Sheet1!$N$37:$N$44,COLUMN()-COLUMN($B$69)+1)</f>
        <v>2143.0500000000002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0" zoomScaleNormal="100" workbookViewId="0">
      <selection activeCell="B67" sqref="B6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40">
        <f>+INDEX(Sheet1!$K$48:$K$56,COLUMN()-COLUMN($B$71)+1)</f>
        <v>15.13</v>
      </c>
      <c r="C37" s="40">
        <f>+INDEX(Sheet1!$K$48:$K$56,COLUMN()-COLUMN($B$71)+1)</f>
        <v>-2.411111111111111</v>
      </c>
      <c r="D37" s="40">
        <f>+INDEX(Sheet1!$K$48:$K$56,COLUMN()-COLUMN($B$71)+1)</f>
        <v>-2.588888888888889</v>
      </c>
      <c r="E37" s="40">
        <f>+INDEX(Sheet1!$K$48:$K$56,COLUMN()-COLUMN($B$71)+1)</f>
        <v>-2.1333333333333333</v>
      </c>
      <c r="F37" s="40">
        <f>+INDEX(Sheet1!$K$48:$K$56,COLUMN()-COLUMN($B$71)+1)</f>
        <v>-2.3277777777777779</v>
      </c>
      <c r="G37" s="40">
        <f>+INDEX(Sheet1!$K$48:$K$56,COLUMN()-COLUMN($B$71)+1)</f>
        <v>-2.3111111111111109</v>
      </c>
      <c r="H37" s="40">
        <f>+INDEX(Sheet1!$K$48:$K$56,COLUMN()-COLUMN($B$71)+1)</f>
        <v>-2.5722222222222224</v>
      </c>
      <c r="I37" s="40">
        <f>+INDEX(Sheet1!$K$48:$K$56,COLUMN()-COLUMN($B$71)+1)</f>
        <v>-2.162962962962963</v>
      </c>
    </row>
    <row r="38" spans="1:9">
      <c r="A38" t="s">
        <v>110</v>
      </c>
      <c r="B38" s="40">
        <f>+INDEX(Sheet1!$D$48:$D$56,COLUMN()-COLUMN($B$71)+1)</f>
        <v>28.968935888962324</v>
      </c>
      <c r="C38" s="40">
        <f>+INDEX(Sheet1!$D$48:$D$56,COLUMN()-COLUMN($B$71)+1)</f>
        <v>-101.61290322580646</v>
      </c>
      <c r="D38" s="40">
        <f>+INDEX(Sheet1!$D$48:$D$56,COLUMN()-COLUMN($B$71)+1)</f>
        <v>-187.725321888412</v>
      </c>
      <c r="E38" s="40">
        <f>+INDEX(Sheet1!$D$48:$D$56,COLUMN()-COLUMN($B$71)+1)</f>
        <v>-111.09375</v>
      </c>
      <c r="F38" s="40">
        <f>+INDEX(Sheet1!$D$48:$D$56,COLUMN()-COLUMN($B$71)+1)</f>
        <v>-208.78281622911692</v>
      </c>
      <c r="G38" s="40">
        <f>+INDEX(Sheet1!$D$48:$D$56,COLUMN()-COLUMN($B$71)+1)</f>
        <v>-103.84615384615385</v>
      </c>
      <c r="H38" s="40">
        <f>+INDEX(Sheet1!$D$48:$D$56,COLUMN()-COLUMN($B$71)+1)</f>
        <v>-182.33261339092871</v>
      </c>
      <c r="I38" s="40">
        <f>+INDEX(Sheet1!$D$48:$D$56,COLUMN()-COLUMN($B$71)+1)</f>
        <v>-316.23287671232879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164</v>
      </c>
      <c r="B49" s="22">
        <f>+INDEX(Sheet1!$G$70:$G$77,COLUMN()-COLUMN($B$71)+1)</f>
        <v>-10</v>
      </c>
      <c r="C49" s="22">
        <f>+INDEX(Sheet1!$G$70:$G$77,COLUMN()-COLUMN($B$71)+1)</f>
        <v>0</v>
      </c>
      <c r="D49" s="22">
        <f>+INDEX(Sheet1!$G$70:$G$77,COLUMN()-COLUMN($B$71)+1)</f>
        <v>0</v>
      </c>
      <c r="E49" s="22">
        <f>+INDEX(Sheet1!$G$70:$G$77,COLUMN()-COLUMN($B$71)+1)</f>
        <v>0</v>
      </c>
      <c r="F49" s="22">
        <f>+INDEX(Sheet1!$G$70:$G$77,COLUMN()-COLUMN($B$71)+1)</f>
        <v>0</v>
      </c>
      <c r="G49" s="22">
        <f>+INDEX(Sheet1!$G$70:$G$77,COLUMN()-COLUMN($B$71)+1)</f>
        <v>0</v>
      </c>
      <c r="H49" s="22">
        <f>+INDEX(Sheet1!$G$70:$G$77,COLUMN()-COLUMN($B$71)+1)</f>
        <v>0</v>
      </c>
      <c r="I49" s="22">
        <f>+INDEX(Sheet1!$G$70:$G$77,COLUMN()-COLUMN($B$71)+1)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22">
        <f>+INDEX(Sheet1!$L$48:$L$56,COLUMN()-COLUMN($B$69)+1)</f>
        <v>438.3</v>
      </c>
      <c r="C68" s="22">
        <f>+INDEX(Sheet1!$L$48:$L$56,COLUMN()-COLUMN($B$69)+1)</f>
        <v>245</v>
      </c>
      <c r="D68" s="22">
        <f>+INDEX(Sheet1!$L$48:$L$56,COLUMN()-COLUMN($B$69)+1)</f>
        <v>20</v>
      </c>
      <c r="E68" s="22">
        <f>+INDEX(Sheet1!$L$48:$L$56,COLUMN()-COLUMN($B$69)+1)</f>
        <v>237</v>
      </c>
      <c r="F68" s="22">
        <f>+INDEX(Sheet1!$L$48:$L$56,COLUMN()-COLUMN($B$69)+1)</f>
        <v>67</v>
      </c>
      <c r="G68" s="22">
        <f>+INDEX(Sheet1!$L$48:$L$56,COLUMN()-COLUMN($B$69)+1)</f>
        <v>240</v>
      </c>
      <c r="H68" s="22">
        <f>+INDEX(Sheet1!$L$48:$L$56,COLUMN()-COLUMN($B$69)+1)</f>
        <v>6</v>
      </c>
      <c r="I68" s="22">
        <f>+INDEX(Sheet1!$L$48:$L$56,COLUMN()-COLUMN($B$69)+1)</f>
        <v>684</v>
      </c>
    </row>
    <row r="69" spans="1:9">
      <c r="A69" t="s">
        <v>141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142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3" zoomScale="75" zoomScaleNormal="75" workbookViewId="0">
      <selection activeCell="Q61" sqref="Q61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5</v>
      </c>
    </row>
    <row r="38" spans="1:9">
      <c r="A38" t="s">
        <v>110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360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114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5.5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115</v>
      </c>
    </row>
    <row r="50" spans="1:9">
      <c r="A50" t="s">
        <v>116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1800</v>
      </c>
    </row>
    <row r="67" spans="1:9">
      <c r="A67" t="s">
        <v>141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142</v>
      </c>
      <c r="B68" s="22">
        <f>+INDEX(Sheet1!$N$59:$N$66,COLUMN()-COLUMN($B$69)+1)</f>
        <v>3756.0250000000001</v>
      </c>
      <c r="C68" s="22">
        <f>+INDEX(Sheet1!$N$59:$N$66,COLUMN()-COLUMN($B$69)+1)</f>
        <v>1109.0625</v>
      </c>
      <c r="D68" s="22">
        <f>+INDEX(Sheet1!$N$59:$N$66,COLUMN()-COLUMN($B$69)+1)</f>
        <v>1715.9187500000003</v>
      </c>
      <c r="E68" s="22">
        <f>+INDEX(Sheet1!$N$59:$N$66,COLUMN()-COLUMN($B$69)+1)</f>
        <v>2497.9499999999998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40" zoomScale="75" zoomScaleNormal="75" workbookViewId="0">
      <selection activeCell="B70" sqref="B7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40">
        <f>+INDEX(Sheet1!$K$70:$K$77,COLUMN()-COLUMN($B$71)+1)</f>
        <v>12.98</v>
      </c>
      <c r="C40" s="40">
        <f>+INDEX(Sheet1!$K$70:$K$77,COLUMN()-COLUMN($B$71)+1)</f>
        <v>-2.5555555555555554</v>
      </c>
      <c r="D40" s="40">
        <f>+INDEX(Sheet1!$K$70:$K$77,COLUMN()-COLUMN($B$71)+1)</f>
        <v>-2.3944444444444444</v>
      </c>
      <c r="E40" s="40">
        <f>+INDEX(Sheet1!$K$70:$K$77,COLUMN()-COLUMN($B$71)+1)</f>
        <v>-2.4888888888888889</v>
      </c>
      <c r="F40" s="40">
        <f>+INDEX(Sheet1!$K$70:$K$77,COLUMN()-COLUMN($B$71)+1)</f>
        <v>-2.5777777777777779</v>
      </c>
      <c r="G40" s="40">
        <f>+INDEX(Sheet1!$K$70:$K$77,COLUMN()-COLUMN($B$71)+1)</f>
        <v>-2.5555555555555554</v>
      </c>
      <c r="H40" s="40">
        <f>+INDEX(Sheet1!$K$70:$K$77,COLUMN()-COLUMN($B$71)+1)</f>
        <v>-2.4611111111111112</v>
      </c>
      <c r="I40" s="40">
        <f>+INDEX(Sheet1!$K$70:$K$77,COLUMN()-COLUMN($B$71)+1)</f>
        <v>-2.4555555555555557</v>
      </c>
    </row>
    <row r="41" spans="1:9">
      <c r="A41" t="s">
        <v>110</v>
      </c>
      <c r="B41" s="40">
        <f>+INDEX(Sheet1!$D$70:$D$77,COLUMN()-COLUMN($B$71)+1)</f>
        <v>39.429892141756547</v>
      </c>
      <c r="C41" s="40">
        <f>+INDEX(Sheet1!$D$70:$D$77,COLUMN()-COLUMN($B$71)+1)</f>
        <v>-90</v>
      </c>
      <c r="D41" s="40">
        <f>+INDEX(Sheet1!$D$70:$D$77,COLUMN()-COLUMN($B$71)+1)</f>
        <v>-190.85846867749422</v>
      </c>
      <c r="E41" s="40">
        <f>+INDEX(Sheet1!$D$70:$D$77,COLUMN()-COLUMN($B$71)+1)</f>
        <v>-90</v>
      </c>
      <c r="F41" s="40">
        <f>+INDEX(Sheet1!$D$70:$D$77,COLUMN()-COLUMN($B$71)+1)</f>
        <v>-190.86206896551724</v>
      </c>
      <c r="G41" s="40">
        <f>+INDEX(Sheet1!$D$70:$D$77,COLUMN()-COLUMN($B$71)+1)</f>
        <v>-91.956521739130437</v>
      </c>
      <c r="H41" s="40">
        <f>+INDEX(Sheet1!$D$70:$D$77,COLUMN()-COLUMN($B$71)+1)</f>
        <v>-202.75395033860045</v>
      </c>
      <c r="I41" s="40">
        <f>+INDEX(Sheet1!$D$70:$D$77,COLUMN()-COLUMN($B$71)+1)</f>
        <v>-300.54298642533934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 s="22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 s="22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22">
        <f>+INDEX(Sheet1!$L$70:$L$77,COLUMN()-COLUMN($B$69)+1)</f>
        <v>511.8</v>
      </c>
      <c r="C71" s="22">
        <f>+INDEX(Sheet1!$L$70:$L$77,COLUMN()-COLUMN($B$69)+1)</f>
        <v>230</v>
      </c>
      <c r="D71" s="22">
        <f>+INDEX(Sheet1!$L$70:$L$77,COLUMN()-COLUMN($B$69)+1)</f>
        <v>26</v>
      </c>
      <c r="E71" s="22">
        <f>+INDEX(Sheet1!$L$70:$L$77,COLUMN()-COLUMN($B$69)+1)</f>
        <v>224</v>
      </c>
      <c r="F71" s="22">
        <f>+INDEX(Sheet1!$L$70:$L$77,COLUMN()-COLUMN($B$69)+1)</f>
        <v>28</v>
      </c>
      <c r="G71" s="22">
        <f>+INDEX(Sheet1!$L$70:$L$77,COLUMN()-COLUMN($B$69)+1)</f>
        <v>235</v>
      </c>
      <c r="H71" s="22">
        <f>+INDEX(Sheet1!$L$70:$L$77,COLUMN()-COLUMN($B$69)+1)</f>
        <v>56</v>
      </c>
      <c r="I71" s="22">
        <f>+INDEX(Sheet1!$L$70:$L$77,COLUMN()-COLUMN($B$69)+1)</f>
        <v>738</v>
      </c>
    </row>
    <row r="72" spans="1:9">
      <c r="A72" t="s">
        <v>141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142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zoomScaleNormal="100" workbookViewId="0">
      <selection activeCell="L80" sqref="L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110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174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141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142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7" zoomScaleNormal="100" workbookViewId="0">
      <selection activeCell="B51" sqref="B51"/>
    </sheetView>
  </sheetViews>
  <sheetFormatPr defaultRowHeight="15"/>
  <cols>
    <col min="1" max="1" width="18" customWidth="1"/>
  </cols>
  <sheetData>
    <row r="1" spans="1:7">
      <c r="A1" t="s">
        <v>183</v>
      </c>
    </row>
    <row r="2" spans="1:7">
      <c r="A2" t="s">
        <v>184</v>
      </c>
    </row>
    <row r="3" spans="1:7">
      <c r="A3" t="s">
        <v>185</v>
      </c>
    </row>
    <row r="4" spans="1:7">
      <c r="A4" t="s">
        <v>186</v>
      </c>
    </row>
    <row r="7" spans="1:7">
      <c r="A7" t="s">
        <v>188</v>
      </c>
    </row>
    <row r="8" spans="1:7">
      <c r="A8" t="s">
        <v>203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205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208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207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206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187</v>
      </c>
    </row>
    <row r="15" spans="1:7">
      <c r="A15" t="s">
        <v>203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202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144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190</v>
      </c>
    </row>
    <row r="21" spans="1:7">
      <c r="A21" t="s">
        <v>203</v>
      </c>
      <c r="B21">
        <v>0</v>
      </c>
      <c r="C21">
        <v>1</v>
      </c>
      <c r="D21">
        <v>2</v>
      </c>
    </row>
    <row r="22" spans="1:7">
      <c r="A22" t="s">
        <v>191</v>
      </c>
      <c r="B22">
        <v>3</v>
      </c>
      <c r="C22">
        <v>3</v>
      </c>
      <c r="D22">
        <v>3</v>
      </c>
    </row>
    <row r="23" spans="1:7">
      <c r="A23" t="s">
        <v>204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192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211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189</v>
      </c>
    </row>
    <row r="28" spans="1:7">
      <c r="A28" t="s">
        <v>203</v>
      </c>
      <c r="B28">
        <v>0</v>
      </c>
      <c r="C28">
        <v>1</v>
      </c>
      <c r="D28">
        <v>2</v>
      </c>
    </row>
    <row r="29" spans="1:7">
      <c r="A29" t="s">
        <v>209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210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193</v>
      </c>
    </row>
    <row r="34" spans="1:17">
      <c r="A34" t="s">
        <v>212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205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213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1593.0000000000002</v>
      </c>
      <c r="J36">
        <f>Left_hand!B68</f>
        <v>438.3</v>
      </c>
      <c r="K36">
        <f>Left_hand!C68</f>
        <v>245</v>
      </c>
      <c r="L36">
        <f>Left_hand!D68</f>
        <v>20</v>
      </c>
      <c r="M36">
        <f>Left_hand!E68</f>
        <v>237</v>
      </c>
      <c r="N36">
        <f>Left_hand!F68</f>
        <v>67</v>
      </c>
      <c r="O36">
        <f>Left_hand!G68</f>
        <v>240</v>
      </c>
      <c r="P36">
        <f>Left_hand!H68</f>
        <v>6</v>
      </c>
      <c r="Q36">
        <f>Left_hand!I68</f>
        <v>684</v>
      </c>
    </row>
    <row r="37" spans="1:17">
      <c r="A37" t="s">
        <v>214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211</v>
      </c>
      <c r="B38">
        <f>Left_arm!B69</f>
        <v>2536.625</v>
      </c>
      <c r="C38">
        <f>Left_arm!C69</f>
        <v>2425.15</v>
      </c>
      <c r="D38">
        <f>Left_arm!D69</f>
        <v>3456.0093749999992</v>
      </c>
      <c r="E38">
        <f>Left_arm!E69</f>
        <v>2143.0500000000002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194</v>
      </c>
    </row>
    <row r="41" spans="1:17">
      <c r="A41" t="s">
        <v>212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209</v>
      </c>
      <c r="B42">
        <f>Head_Torso!B71</f>
        <v>0</v>
      </c>
      <c r="C42">
        <f>Head_Torso!C71</f>
        <v>0</v>
      </c>
      <c r="D42">
        <f>Head_Torso!D71</f>
        <v>0</v>
      </c>
      <c r="E42">
        <f>Head_Torso!E71</f>
        <v>0</v>
      </c>
      <c r="F42">
        <f>Head_Torso!F71</f>
        <v>0</v>
      </c>
      <c r="G42">
        <f>Head_Torso!G71</f>
        <v>0</v>
      </c>
      <c r="H42">
        <f>Head_Torso!H71</f>
        <v>0</v>
      </c>
      <c r="I42">
        <f>Head_Torso!I71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144</v>
      </c>
      <c r="B43">
        <f>Head_Torso!B72</f>
        <v>10</v>
      </c>
      <c r="C43">
        <f>Head_Torso!C72</f>
        <v>10</v>
      </c>
      <c r="D43">
        <f>Head_Torso!D72</f>
        <v>10</v>
      </c>
      <c r="E43">
        <f>Head_Torso!E72</f>
        <v>10</v>
      </c>
      <c r="F43">
        <f>Head_Torso!F72</f>
        <v>10</v>
      </c>
      <c r="G43">
        <f>Head_Torso!G72</f>
        <v>10</v>
      </c>
      <c r="H43">
        <f>Head_Torso!H72</f>
        <v>10</v>
      </c>
      <c r="I43">
        <f>Head_Torso!I72</f>
        <v>10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195</v>
      </c>
    </row>
    <row r="47" spans="1:17">
      <c r="A47" t="s">
        <v>215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139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204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1800</v>
      </c>
      <c r="J49">
        <f>Right_hand!B71</f>
        <v>511.8</v>
      </c>
      <c r="K49">
        <f>Right_hand!C71</f>
        <v>230</v>
      </c>
      <c r="L49">
        <f>Right_hand!D71</f>
        <v>26</v>
      </c>
      <c r="M49">
        <f>Right_hand!E71</f>
        <v>224</v>
      </c>
      <c r="N49">
        <f>Right_hand!F71</f>
        <v>28</v>
      </c>
      <c r="O49">
        <f>Right_hand!G71</f>
        <v>235</v>
      </c>
      <c r="P49">
        <f>Right_hand!H71</f>
        <v>56</v>
      </c>
      <c r="Q49">
        <f>Right_hand!I71</f>
        <v>738</v>
      </c>
    </row>
    <row r="50" spans="1:17">
      <c r="A50" t="s">
        <v>207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206</v>
      </c>
      <c r="B51">
        <f>Right_arm!B68</f>
        <v>3756.0250000000001</v>
      </c>
      <c r="C51">
        <f>Right_arm!C68</f>
        <v>1109.0625</v>
      </c>
      <c r="D51">
        <f>Right_arm!D68</f>
        <v>1715.9187500000003</v>
      </c>
      <c r="E51">
        <f>Right_arm!E68</f>
        <v>2497.9499999999998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196</v>
      </c>
    </row>
    <row r="54" spans="1:17">
      <c r="A54" t="s">
        <v>216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217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144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197</v>
      </c>
    </row>
    <row r="60" spans="1:17">
      <c r="A60" t="s">
        <v>212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218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140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141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219</v>
      </c>
      <c r="B64">
        <f>Legs!H73</f>
        <v>3960.7750000000001</v>
      </c>
      <c r="C64">
        <f>Legs!I73</f>
        <v>3108.7874999999999</v>
      </c>
      <c r="D64">
        <f>Legs!J73</f>
        <v>2444.4875000000002</v>
      </c>
      <c r="E64">
        <f>Legs!K73</f>
        <v>3951.6749999999997</v>
      </c>
      <c r="F64">
        <f>Legs!L73</f>
        <v>2503.6374999999998</v>
      </c>
      <c r="G64">
        <f>Legs!M73</f>
        <v>457.27499999999986</v>
      </c>
    </row>
    <row r="66" spans="1:7">
      <c r="A66" t="s">
        <v>198</v>
      </c>
    </row>
    <row r="67" spans="1:7">
      <c r="A67" t="s">
        <v>216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143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220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199</v>
      </c>
    </row>
    <row r="72" spans="1:7">
      <c r="A72" t="s">
        <v>221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139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140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222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211</v>
      </c>
      <c r="B76">
        <f>Legs!B73</f>
        <v>2639</v>
      </c>
      <c r="C76">
        <f>Legs!C73</f>
        <v>2976.8375000000001</v>
      </c>
      <c r="D76">
        <f>Legs!D73</f>
        <v>2046.3624999999997</v>
      </c>
      <c r="E76">
        <f>Legs!E73</f>
        <v>1631.1749999999997</v>
      </c>
      <c r="F76">
        <f>Legs!F73</f>
        <v>2424.0124999999998</v>
      </c>
      <c r="G76">
        <f>Legs!G73</f>
        <v>1606.1499999999999</v>
      </c>
    </row>
    <row r="78" spans="1:7">
      <c r="A78" t="s">
        <v>200</v>
      </c>
    </row>
    <row r="79" spans="1:7">
      <c r="A79" t="s">
        <v>223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209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210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2009-12-28T16:03:51Z</dcterms:modified>
</cp:coreProperties>
</file>