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80" i="8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C43"/>
  <c r="D43"/>
  <c r="E43"/>
  <c r="F43"/>
  <c r="G43"/>
  <c r="H43"/>
  <c r="I43"/>
  <c r="B43"/>
  <c r="C42"/>
  <c r="D42"/>
  <c r="E42"/>
  <c r="F42"/>
  <c r="G42"/>
  <c r="H42"/>
  <c r="I42"/>
  <c r="B42"/>
  <c r="K35"/>
  <c r="L35"/>
  <c r="M35"/>
  <c r="N35"/>
  <c r="O35"/>
  <c r="P35"/>
  <c r="Q35"/>
  <c r="J35"/>
  <c r="C36"/>
  <c r="D36"/>
  <c r="C35"/>
  <c r="D35"/>
  <c r="E35"/>
  <c r="F35"/>
  <c r="G35"/>
  <c r="H35"/>
  <c r="I35"/>
  <c r="B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D70" i="1"/>
  <c r="D48"/>
  <c r="L72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B36" i="8" s="1"/>
  <c r="E68" i="7"/>
  <c r="E36" i="8" s="1"/>
  <c r="F68" i="7"/>
  <c r="F36" i="8" s="1"/>
  <c r="G68" i="7"/>
  <c r="G36" i="8" s="1"/>
  <c r="K68" i="7"/>
  <c r="B69"/>
  <c r="B37" i="8" s="1"/>
  <c r="C69" i="7"/>
  <c r="C11" i="8" s="1"/>
  <c r="D69" i="7"/>
  <c r="D37" i="8" s="1"/>
  <c r="E69" i="7"/>
  <c r="E11" i="8" s="1"/>
  <c r="F69" i="7"/>
  <c r="F37" i="8" s="1"/>
  <c r="G69" i="7"/>
  <c r="G11" i="8" s="1"/>
  <c r="H69" i="7"/>
  <c r="H37" i="8" s="1"/>
  <c r="I69" i="7"/>
  <c r="C24" i="8" s="1"/>
  <c r="J69" i="7"/>
  <c r="D24" i="8" s="1"/>
  <c r="K69" i="7"/>
  <c r="B70"/>
  <c r="B38" i="8" s="1"/>
  <c r="K70" i="7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B67" i="5"/>
  <c r="B50" i="8" s="1"/>
  <c r="C67" i="5"/>
  <c r="C50" i="8" s="1"/>
  <c r="D67" i="5"/>
  <c r="D50" i="8" s="1"/>
  <c r="E67" i="5"/>
  <c r="E50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C38" i="8" s="1"/>
  <c r="N26" i="1"/>
  <c r="D70" i="7"/>
  <c r="D38" i="8" s="1"/>
  <c r="N27" i="1"/>
  <c r="E70" i="7"/>
  <c r="E38" i="8" s="1"/>
  <c r="N28" i="1"/>
  <c r="F70" i="7"/>
  <c r="F38" i="8" s="1"/>
  <c r="N29" i="1"/>
  <c r="G70" i="7"/>
  <c r="G38" i="8" s="1"/>
  <c r="E30" i="1"/>
  <c r="F30"/>
  <c r="N30" s="1"/>
  <c r="H70" i="7" s="1"/>
  <c r="H38" i="8" s="1"/>
  <c r="L30" i="1"/>
  <c r="H68" i="7"/>
  <c r="H36" i="8" s="1"/>
  <c r="E31" i="1"/>
  <c r="F31"/>
  <c r="N31" s="1"/>
  <c r="I70" i="7" s="1"/>
  <c r="I38" i="8" s="1"/>
  <c r="L31" i="1"/>
  <c r="I68" i="7"/>
  <c r="I36" i="8" s="1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E38" i="1"/>
  <c r="F38" s="1"/>
  <c r="N38" s="1"/>
  <c r="C69" i="3" s="1"/>
  <c r="E39" i="1"/>
  <c r="F39" s="1"/>
  <c r="N39" s="1"/>
  <c r="D69" i="3" s="1"/>
  <c r="L39" i="1"/>
  <c r="D67" i="3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36" i="8" s="1"/>
  <c r="K50" i="1"/>
  <c r="D37" i="4" s="1"/>
  <c r="L50" i="1"/>
  <c r="D68" i="4"/>
  <c r="L36" i="8" s="1"/>
  <c r="K51" i="1"/>
  <c r="D51" s="1"/>
  <c r="E38" i="4" s="1"/>
  <c r="L51" i="1"/>
  <c r="E68" i="4" s="1"/>
  <c r="M36" i="8" s="1"/>
  <c r="K52" i="1"/>
  <c r="F37" i="4" s="1"/>
  <c r="L52" i="1"/>
  <c r="F68" i="4"/>
  <c r="N36" i="8" s="1"/>
  <c r="K53" i="1"/>
  <c r="D53" s="1"/>
  <c r="G38" i="4" s="1"/>
  <c r="L53" i="1"/>
  <c r="G68" i="4" s="1"/>
  <c r="O36" i="8" s="1"/>
  <c r="K54" i="1"/>
  <c r="H37" i="4" s="1"/>
  <c r="L54" i="1"/>
  <c r="H68" i="4"/>
  <c r="P36" i="8" s="1"/>
  <c r="K55" i="1"/>
  <c r="D55" s="1"/>
  <c r="I38" i="4" s="1"/>
  <c r="I37"/>
  <c r="L55" i="1"/>
  <c r="I68" i="4"/>
  <c r="Q36" i="8" s="1"/>
  <c r="E59" i="1"/>
  <c r="F59"/>
  <c r="N59" s="1"/>
  <c r="B68" i="5" s="1"/>
  <c r="B51" i="8" s="1"/>
  <c r="E60" i="1"/>
  <c r="F60" s="1"/>
  <c r="N60" s="1"/>
  <c r="C68" i="5" s="1"/>
  <c r="C51" i="8" s="1"/>
  <c r="E61" i="1"/>
  <c r="F61" s="1"/>
  <c r="N61" s="1"/>
  <c r="D68" i="5" s="1"/>
  <c r="D51" i="8" s="1"/>
  <c r="L61" i="1"/>
  <c r="D66" i="5"/>
  <c r="D49" i="8" s="1"/>
  <c r="E62" i="1"/>
  <c r="F62" s="1"/>
  <c r="N62" s="1"/>
  <c r="E68" i="5" s="1"/>
  <c r="E51" i="8" s="1"/>
  <c r="K63" i="1"/>
  <c r="F37" i="5"/>
  <c r="K66" i="1"/>
  <c r="D66" s="1"/>
  <c r="K70"/>
  <c r="K71"/>
  <c r="D71" s="1"/>
  <c r="C41" i="6" s="1"/>
  <c r="C40"/>
  <c r="L71" i="1"/>
  <c r="C71" i="6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G40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L77" i="1"/>
  <c r="I71" i="6"/>
  <c r="Q49" i="8" s="1"/>
  <c r="H40" i="6"/>
  <c r="F40"/>
  <c r="D40"/>
  <c r="B40"/>
  <c r="D61" i="1"/>
  <c r="D38" i="5"/>
  <c r="D52" i="1"/>
  <c r="F38" i="4" s="1"/>
  <c r="D50" i="1"/>
  <c r="D38" i="4" s="1"/>
  <c r="B38"/>
  <c r="D39" i="1"/>
  <c r="D39" i="3"/>
  <c r="B11" i="8" l="1"/>
  <c r="F11"/>
  <c r="D11"/>
  <c r="B10"/>
  <c r="F10"/>
  <c r="B12"/>
  <c r="F12"/>
  <c r="D12"/>
  <c r="B23"/>
  <c r="C23"/>
  <c r="B25"/>
  <c r="C25"/>
  <c r="I37"/>
  <c r="G37"/>
  <c r="E37"/>
  <c r="C37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</calcChain>
</file>

<file path=xl/sharedStrings.xml><?xml version="1.0" encoding="utf-8"?>
<sst xmlns="http://schemas.openxmlformats.org/spreadsheetml/2006/main" count="661" uniqueCount="227">
  <si>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</si>
  <si>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</si>
  <si>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</si>
  <si>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</si>
  <si>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</si>
  <si>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</si>
  <si>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</si>
  <si>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</si>
  <si>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</si>
  <si>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</si>
  <si>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</si>
  <si>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</si>
  <si>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</si>
  <si>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</si>
  <si>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</si>
  <si>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</si>
  <si>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</si>
  <si>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</si>
  <si>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</si>
  <si>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</si>
  <si>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</si>
  <si>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</si>
  <si>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</si>
  <si>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</si>
  <si>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</si>
  <si>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</si>
  <si>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</si>
  <si>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</si>
  <si>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</si>
  <si>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</si>
  <si>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</si>
  <si>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</si>
  <si>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</si>
  <si>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</si>
  <si>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</si>
  <si>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</si>
  <si>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</si>
  <si>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</si>
  <si>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</si>
  <si>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</si>
  <si>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</si>
  <si>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</si>
  <si>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</si>
  <si>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</si>
  <si>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</si>
  <si>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</si>
  <si>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</si>
  <si>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</si>
  <si>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</si>
  <si>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</si>
  <si>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</si>
  <si>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</si>
  <si>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</si>
  <si>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</si>
  <si>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</si>
  <si>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</si>
  <si>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</si>
  <si>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</si>
  <si>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</si>
  <si>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</si>
  <si>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</si>
  <si>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</si>
  <si>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</si>
  <si>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</si>
  <si>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</si>
  <si>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</si>
  <si>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</si>
  <si>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</si>
  <si>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</si>
  <si>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</si>
  <si>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</si>
  <si>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</si>
  <si>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</si>
  <si>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</si>
  <si>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</si>
  <si>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</si>
  <si>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</si>
  <si>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</si>
  <si>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</si>
  <si>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</si>
  <si>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</si>
  <si>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</si>
  <si>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</si>
  <si>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</si>
  <si>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</si>
  <si>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</si>
  <si>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</si>
  <si>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</si>
  <si>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</si>
  <si>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</si>
  <si>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</si>
  <si>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</si>
  <si>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</si>
  <si>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</si>
  <si>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</si>
  <si>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</si>
  <si>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</si>
  <si>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</si>
  <si>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</si>
  <si>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</si>
  <si>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</si>
  <si>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</si>
  <si>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</si>
  <si>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</si>
  <si>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</si>
  <si>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</si>
  <si>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</si>
  <si>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</si>
  <si>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</si>
  <si>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</si>
  <si>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</si>
  <si>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</si>
  <si>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</si>
  <si>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</si>
  <si>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</si>
  <si>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</si>
  <si>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</si>
  <si>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</si>
  <si>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</si>
  <si>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</si>
  <si>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</si>
  <si>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</si>
  <si>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</si>
  <si>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</si>
  <si>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</si>
  <si>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</si>
  <si>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</si>
  <si>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</si>
  <si>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</si>
  <si>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</si>
  <si>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</si>
  <si>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</si>
  <si>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</si>
  <si>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</si>
  <si>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</si>
  <si>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</si>
  <si>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</si>
  <si>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</si>
  <si>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</si>
  <si>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</si>
  <si>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</si>
  <si>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</si>
  <si>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</si>
  <si>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</si>
  <si>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</si>
  <si>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</si>
  <si>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</si>
  <si>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</si>
  <si>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</si>
  <si>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</si>
  <si>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</si>
  <si>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</si>
  <si>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</si>
  <si>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</si>
  <si>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</si>
  <si>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</si>
  <si>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</si>
  <si>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</si>
  <si>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</si>
  <si>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</si>
  <si>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</si>
  <si>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</si>
  <si>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</si>
  <si>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</si>
  <si>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</si>
  <si>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</si>
  <si>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</si>
  <si>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</si>
  <si>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</si>
  <si>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</si>
  <si>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</si>
  <si>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</si>
  <si>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</si>
  <si>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</si>
  <si>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</si>
  <si>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</si>
  <si>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</si>
  <si>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</si>
  <si>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</si>
  <si>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</si>
  <si>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</si>
  <si>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</si>
  <si>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</si>
  <si>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</si>
  <si>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</si>
  <si>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D:\icub\app\iCubUrbana01\conf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</si>
  <si>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</si>
  <si>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</si>
  <si>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</si>
  <si>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</si>
  <si>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</si>
  <si>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</si>
  <si>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</si>
  <si>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</si>
  <si>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</si>
  <si>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 xml:space="preserve">Calibration2 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</si>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</sst>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7"/>
  <sheetViews>
    <sheetView tabSelected="1" topLeftCell="A73" zoomScale="70" zoomScaleNormal="70" workbookViewId="0">
      <selection activeCell="B96" sqref="B96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1" spans="1:20">
      <c r="C1" s="3"/>
      <c r="D1" s="3"/>
    </row>
    <row r="2" spans="1:20">
      <c r="C2" s="3"/>
      <c r="D2" s="3"/>
    </row>
    <row r="3" spans="1:20">
      <c r="C3" s="3"/>
      <c r="D3" s="3"/>
    </row>
    <row r="4" spans="1:20" ht="15.75" thickBot="1">
      <c r="C4" s="3"/>
      <c r="D4" s="3"/>
    </row>
    <row r="5" spans="1:20" ht="21.75" thickBot="1">
      <c r="B5" s="56" t="s">
        <v>0</v>
      </c>
      <c r="C5" s="57"/>
      <c r="D5" s="57"/>
      <c r="E5" s="58"/>
      <c r="F5" s="58"/>
      <c r="G5" s="57"/>
      <c r="H5" s="57"/>
      <c r="I5" s="57"/>
      <c r="J5" s="57"/>
      <c r="K5" s="57"/>
      <c r="L5" s="57"/>
      <c r="M5" s="57"/>
      <c r="N5" s="59"/>
    </row>
    <row r="6" spans="1:20" ht="47.25" customHeight="1" thickBot="1">
      <c r="A6" s="61" t="s">
        <v>1</v>
      </c>
      <c r="B6" s="123" t="s">
        <v>2</v>
      </c>
      <c r="C6" s="90" t="s">
        <v>3</v>
      </c>
      <c r="D6" s="90" t="s">
        <v>4</v>
      </c>
      <c r="E6" s="91" t="s">
        <v>5</v>
      </c>
      <c r="F6" s="92" t="s">
        <v>179</v>
      </c>
      <c r="G6" s="90" t="s">
        <v>6</v>
      </c>
      <c r="H6" s="90" t="s">
        <v>7</v>
      </c>
      <c r="I6" s="90" t="s">
        <v>8</v>
      </c>
      <c r="J6" s="90" t="s">
        <v>9</v>
      </c>
      <c r="K6" s="90" t="s">
        <v>10</v>
      </c>
      <c r="L6" s="90" t="s">
        <v>11</v>
      </c>
      <c r="M6" s="93" t="s">
        <v>12</v>
      </c>
      <c r="N6" s="94" t="s">
        <v>13</v>
      </c>
    </row>
    <row r="7" spans="1:20" ht="18.75">
      <c r="A7" s="60">
        <v>0</v>
      </c>
      <c r="B7" s="43" t="s">
        <v>14</v>
      </c>
      <c r="C7" s="124">
        <v>261.39999999999998</v>
      </c>
      <c r="D7" s="45">
        <v>180</v>
      </c>
      <c r="E7" s="44">
        <f>(ABS(C7)-ABS(D7))</f>
        <v>81.399999999999977</v>
      </c>
      <c r="F7" s="44">
        <f>IF(E7&gt;=0,(E7*11.375),(360+E7)*11.375)</f>
        <v>925.92499999999973</v>
      </c>
      <c r="G7" s="125">
        <v>-30</v>
      </c>
      <c r="H7" s="125">
        <v>90</v>
      </c>
      <c r="I7" s="126"/>
      <c r="J7" s="126"/>
      <c r="K7" s="98">
        <v>11.375</v>
      </c>
      <c r="L7" s="46">
        <f>D7*K7</f>
        <v>2047.5</v>
      </c>
      <c r="M7" s="46">
        <v>10</v>
      </c>
      <c r="N7" s="47">
        <f>+F7</f>
        <v>925.92499999999973</v>
      </c>
    </row>
    <row r="8" spans="1:20" ht="18.75">
      <c r="A8" s="38">
        <v>1</v>
      </c>
      <c r="B8" s="48" t="s">
        <v>15</v>
      </c>
      <c r="C8" s="39">
        <v>0.9</v>
      </c>
      <c r="D8" s="40">
        <v>180</v>
      </c>
      <c r="E8" s="41">
        <f t="shared" ref="E8:E18" si="0">(ABS(C8)-ABS(D8))</f>
        <v>-179.1</v>
      </c>
      <c r="F8" s="41">
        <f t="shared" ref="F8:F18" si="1">IF(E8&gt;=0,(E8*11.375),(360+E8)*11.375)</f>
        <v>2057.7375000000002</v>
      </c>
      <c r="G8" s="122">
        <v>0</v>
      </c>
      <c r="H8" s="122">
        <v>90</v>
      </c>
      <c r="I8" s="121"/>
      <c r="J8" s="121"/>
      <c r="K8" s="96">
        <v>11.375</v>
      </c>
      <c r="L8" s="42">
        <f t="shared" ref="L8:L18" si="2">D8*K8</f>
        <v>2047.5</v>
      </c>
      <c r="M8" s="42">
        <v>10</v>
      </c>
      <c r="N8" s="49">
        <f>F8</f>
        <v>2057.7375000000002</v>
      </c>
    </row>
    <row r="9" spans="1:20" ht="18.75">
      <c r="A9" s="38">
        <v>2</v>
      </c>
      <c r="B9" s="48" t="s">
        <v>16</v>
      </c>
      <c r="C9" s="39">
        <v>90</v>
      </c>
      <c r="D9" s="40">
        <v>180</v>
      </c>
      <c r="E9" s="41">
        <f t="shared" si="0"/>
        <v>-90</v>
      </c>
      <c r="F9" s="41">
        <f t="shared" si="1"/>
        <v>3071.25</v>
      </c>
      <c r="G9" s="122">
        <v>-80</v>
      </c>
      <c r="H9" s="122">
        <v>78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ref="N9:N18" si="3">+F9</f>
        <v>3071.25</v>
      </c>
    </row>
    <row r="10" spans="1:20" ht="18.75">
      <c r="A10" s="38">
        <v>3</v>
      </c>
      <c r="B10" s="48" t="s">
        <v>17</v>
      </c>
      <c r="C10" s="39">
        <v>54.2</v>
      </c>
      <c r="D10" s="40">
        <v>180</v>
      </c>
      <c r="E10" s="41">
        <f t="shared" si="0"/>
        <v>-125.8</v>
      </c>
      <c r="F10" s="41">
        <f t="shared" si="1"/>
        <v>2664.0250000000001</v>
      </c>
      <c r="G10" s="122">
        <v>-125</v>
      </c>
      <c r="H10" s="122">
        <v>15</v>
      </c>
      <c r="I10" s="121"/>
      <c r="J10" s="121"/>
      <c r="K10" s="96">
        <v>11.375</v>
      </c>
      <c r="L10" s="42">
        <f t="shared" si="2"/>
        <v>2047.5</v>
      </c>
      <c r="M10" s="42">
        <v>10</v>
      </c>
      <c r="N10" s="49">
        <f t="shared" si="3"/>
        <v>2664.0250000000001</v>
      </c>
    </row>
    <row r="11" spans="1:20" ht="18.75">
      <c r="A11" s="38">
        <v>4</v>
      </c>
      <c r="B11" s="48" t="s">
        <v>18</v>
      </c>
      <c r="C11" s="39">
        <v>3.1</v>
      </c>
      <c r="D11" s="40">
        <v>180</v>
      </c>
      <c r="E11" s="41">
        <f t="shared" si="0"/>
        <v>-176.9</v>
      </c>
      <c r="F11" s="41">
        <f t="shared" si="1"/>
        <v>2082.7624999999998</v>
      </c>
      <c r="G11" s="122">
        <v>-20</v>
      </c>
      <c r="H11" s="122">
        <v>39</v>
      </c>
      <c r="I11" s="121"/>
      <c r="J11" s="121"/>
      <c r="K11" s="96">
        <v>11.375</v>
      </c>
      <c r="L11" s="42">
        <f t="shared" si="2"/>
        <v>2047.5</v>
      </c>
      <c r="M11" s="42">
        <v>10</v>
      </c>
      <c r="N11" s="49">
        <f t="shared" si="3"/>
        <v>2082.7624999999998</v>
      </c>
    </row>
    <row r="12" spans="1:20" ht="18.75">
      <c r="A12" s="38">
        <v>5</v>
      </c>
      <c r="B12" s="48" t="s">
        <v>19</v>
      </c>
      <c r="C12" s="39">
        <v>151.4</v>
      </c>
      <c r="D12" s="40">
        <v>180</v>
      </c>
      <c r="E12" s="41">
        <f t="shared" si="0"/>
        <v>-28.599999999999994</v>
      </c>
      <c r="F12" s="41">
        <f t="shared" si="1"/>
        <v>3769.6749999999997</v>
      </c>
      <c r="G12" s="122">
        <v>-22</v>
      </c>
      <c r="H12" s="122">
        <v>22</v>
      </c>
      <c r="I12" s="121"/>
      <c r="J12" s="121"/>
      <c r="K12" s="96">
        <v>11.375</v>
      </c>
      <c r="L12" s="42">
        <f t="shared" si="2"/>
        <v>2047.5</v>
      </c>
      <c r="M12" s="42">
        <v>10</v>
      </c>
      <c r="N12" s="49">
        <f t="shared" si="3"/>
        <v>3769.6749999999997</v>
      </c>
    </row>
    <row r="13" spans="1:20" ht="18.75">
      <c r="A13" s="38">
        <v>6</v>
      </c>
      <c r="B13" s="48" t="s">
        <v>20</v>
      </c>
      <c r="C13" s="39">
        <v>-328.6</v>
      </c>
      <c r="D13" s="40">
        <v>-180</v>
      </c>
      <c r="E13" s="41">
        <f t="shared" si="0"/>
        <v>148.60000000000002</v>
      </c>
      <c r="F13" s="41">
        <f t="shared" si="1"/>
        <v>1690.3250000000003</v>
      </c>
      <c r="G13" s="122">
        <v>-30</v>
      </c>
      <c r="H13" s="122">
        <v>90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1690.3250000000003</v>
      </c>
    </row>
    <row r="14" spans="1:20" ht="18.75">
      <c r="A14" s="38">
        <v>7</v>
      </c>
      <c r="B14" s="48" t="s">
        <v>21</v>
      </c>
      <c r="C14" s="39">
        <v>-328.5</v>
      </c>
      <c r="D14" s="40">
        <v>-180</v>
      </c>
      <c r="E14" s="41">
        <f t="shared" si="0"/>
        <v>148.5</v>
      </c>
      <c r="F14" s="41">
        <f t="shared" si="1"/>
        <v>1689.1875</v>
      </c>
      <c r="G14" s="122">
        <v>0</v>
      </c>
      <c r="H14" s="122">
        <v>90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1689.1875</v>
      </c>
    </row>
    <row r="15" spans="1:20" ht="19.5" thickBot="1">
      <c r="A15" s="38">
        <v>8</v>
      </c>
      <c r="B15" s="48" t="s">
        <v>22</v>
      </c>
      <c r="C15" s="39">
        <v>-107</v>
      </c>
      <c r="D15" s="40">
        <v>-180</v>
      </c>
      <c r="E15" s="41">
        <f t="shared" si="0"/>
        <v>-73</v>
      </c>
      <c r="F15" s="41">
        <f t="shared" si="1"/>
        <v>3264.625</v>
      </c>
      <c r="G15" s="122">
        <v>-80</v>
      </c>
      <c r="H15" s="122">
        <v>78</v>
      </c>
      <c r="I15" s="121"/>
      <c r="J15" s="121"/>
      <c r="K15" s="96">
        <v>-11.375</v>
      </c>
      <c r="L15" s="42">
        <f t="shared" si="2"/>
        <v>2047.5</v>
      </c>
      <c r="M15" s="42">
        <v>10</v>
      </c>
      <c r="N15" s="49">
        <f t="shared" si="3"/>
        <v>3264.625</v>
      </c>
    </row>
    <row r="16" spans="1:20" ht="21.75" thickBot="1">
      <c r="A16" s="38">
        <v>9</v>
      </c>
      <c r="B16" s="48" t="s">
        <v>23</v>
      </c>
      <c r="C16" s="39">
        <v>-188.4</v>
      </c>
      <c r="D16" s="40">
        <v>-180</v>
      </c>
      <c r="E16" s="41">
        <f t="shared" si="0"/>
        <v>8.4000000000000057</v>
      </c>
      <c r="F16" s="41">
        <f t="shared" si="1"/>
        <v>95.550000000000068</v>
      </c>
      <c r="G16" s="122">
        <v>-125</v>
      </c>
      <c r="H16" s="122">
        <v>15</v>
      </c>
      <c r="I16" s="121"/>
      <c r="J16" s="121"/>
      <c r="K16" s="96">
        <v>-11.375</v>
      </c>
      <c r="L16" s="42">
        <f t="shared" si="2"/>
        <v>2047.5</v>
      </c>
      <c r="M16" s="42">
        <v>10</v>
      </c>
      <c r="N16" s="49">
        <f t="shared" si="3"/>
        <v>95.550000000000068</v>
      </c>
      <c r="P16" s="158" t="s">
        <v>184</v>
      </c>
      <c r="Q16" s="157" t="s">
        <v>185</v>
      </c>
      <c r="R16" s="155"/>
      <c r="S16" s="155"/>
      <c r="T16" s="156"/>
    </row>
    <row r="17" spans="1:14" ht="18.75">
      <c r="A17" s="38">
        <v>10</v>
      </c>
      <c r="B17" s="48" t="s">
        <v>24</v>
      </c>
      <c r="C17" s="39">
        <v>-165.9</v>
      </c>
      <c r="D17" s="40">
        <v>-180</v>
      </c>
      <c r="E17" s="41">
        <f t="shared" si="0"/>
        <v>-14.099999999999994</v>
      </c>
      <c r="F17" s="41">
        <f t="shared" si="1"/>
        <v>3934.6124999999997</v>
      </c>
      <c r="G17" s="122">
        <v>-20</v>
      </c>
      <c r="H17" s="122">
        <v>39</v>
      </c>
      <c r="I17" s="121"/>
      <c r="J17" s="121"/>
      <c r="K17" s="96">
        <v>-11.375</v>
      </c>
      <c r="L17" s="42">
        <f t="shared" si="2"/>
        <v>2047.5</v>
      </c>
      <c r="M17" s="42">
        <v>10</v>
      </c>
      <c r="N17" s="49">
        <f t="shared" si="3"/>
        <v>3934.6124999999997</v>
      </c>
    </row>
    <row r="18" spans="1:14" ht="19.5" thickBot="1">
      <c r="A18" s="38">
        <v>11</v>
      </c>
      <c r="B18" s="50" t="s">
        <v>25</v>
      </c>
      <c r="C18" s="51">
        <v>-79.3</v>
      </c>
      <c r="D18" s="52">
        <v>-180</v>
      </c>
      <c r="E18" s="53">
        <f t="shared" si="0"/>
        <v>-100.7</v>
      </c>
      <c r="F18" s="53">
        <f t="shared" si="1"/>
        <v>2949.5374999999999</v>
      </c>
      <c r="G18" s="127">
        <v>-22</v>
      </c>
      <c r="H18" s="127">
        <v>22</v>
      </c>
      <c r="I18" s="128"/>
      <c r="J18" s="128"/>
      <c r="K18" s="144">
        <v>-11.375</v>
      </c>
      <c r="L18" s="54">
        <f t="shared" si="2"/>
        <v>2047.5</v>
      </c>
      <c r="M18" s="54">
        <v>10</v>
      </c>
      <c r="N18" s="55">
        <f t="shared" si="3"/>
        <v>2949.5374999999999</v>
      </c>
    </row>
    <row r="19" spans="1:14" ht="18.75">
      <c r="B19" s="13"/>
      <c r="C19" s="14"/>
      <c r="D19" s="14"/>
      <c r="E19" s="14"/>
      <c r="F19" s="14"/>
      <c r="G19" s="15"/>
      <c r="H19" s="14"/>
      <c r="I19" s="14"/>
      <c r="J19" s="15"/>
      <c r="K19" s="15"/>
      <c r="L19" s="15"/>
      <c r="M19" s="15"/>
      <c r="N19" s="14"/>
    </row>
    <row r="20" spans="1:14" ht="18.75">
      <c r="B20" s="13"/>
      <c r="C20" s="14"/>
      <c r="D20" s="14"/>
      <c r="E20" s="14"/>
      <c r="F20" s="14"/>
      <c r="G20" s="15"/>
      <c r="H20" s="14"/>
      <c r="I20" s="14"/>
      <c r="J20" s="15"/>
      <c r="K20" s="15"/>
      <c r="L20" s="15"/>
      <c r="M20" s="15"/>
      <c r="N20" s="14"/>
    </row>
    <row r="21" spans="1:14" ht="18.75">
      <c r="B21" s="13"/>
      <c r="C21" s="14"/>
      <c r="D21" s="14"/>
      <c r="E21" s="14"/>
      <c r="F21" s="14"/>
      <c r="G21" s="15"/>
      <c r="H21" s="14"/>
      <c r="I21" s="14"/>
      <c r="J21" s="15"/>
      <c r="K21" s="15"/>
      <c r="L21" s="15"/>
      <c r="M21" s="15"/>
      <c r="N21" s="14"/>
    </row>
    <row r="22" spans="1:14" ht="21.75" thickBot="1">
      <c r="B22" s="4" t="s">
        <v>26</v>
      </c>
      <c r="C22" s="5"/>
      <c r="D22" s="5"/>
      <c r="E22" s="6"/>
      <c r="F22" s="6"/>
      <c r="G22" s="5"/>
      <c r="H22" s="5"/>
      <c r="I22" s="5"/>
      <c r="J22" s="5"/>
      <c r="K22" s="5"/>
      <c r="L22" s="5"/>
      <c r="M22" s="5"/>
      <c r="N22" s="7"/>
    </row>
    <row r="23" spans="1:14" ht="48" customHeight="1" thickBot="1">
      <c r="A23" s="61" t="s">
        <v>1</v>
      </c>
      <c r="B23" s="16" t="s">
        <v>2</v>
      </c>
      <c r="C23" s="17" t="s">
        <v>27</v>
      </c>
      <c r="D23" s="17" t="s">
        <v>4</v>
      </c>
      <c r="E23" s="18" t="s">
        <v>5</v>
      </c>
      <c r="F23" s="19" t="s">
        <v>179</v>
      </c>
      <c r="G23" s="17" t="s">
        <v>6</v>
      </c>
      <c r="H23" s="17" t="s">
        <v>7</v>
      </c>
      <c r="I23" s="17" t="s">
        <v>8</v>
      </c>
      <c r="J23" s="17" t="s">
        <v>9</v>
      </c>
      <c r="K23" s="17" t="s">
        <v>10</v>
      </c>
      <c r="L23" s="17" t="s">
        <v>11</v>
      </c>
      <c r="M23" s="17" t="s">
        <v>12</v>
      </c>
      <c r="N23" s="20" t="s">
        <v>13</v>
      </c>
    </row>
    <row r="24" spans="1:14" ht="18.75">
      <c r="A24" s="60">
        <v>0</v>
      </c>
      <c r="B24" s="43" t="s">
        <v>28</v>
      </c>
      <c r="C24" s="114"/>
      <c r="D24" s="45">
        <v>40</v>
      </c>
      <c r="E24" s="114"/>
      <c r="F24" s="130"/>
      <c r="G24" s="125">
        <v>-39</v>
      </c>
      <c r="H24" s="125">
        <v>24</v>
      </c>
      <c r="I24" s="134"/>
      <c r="J24" s="118"/>
      <c r="K24" s="46">
        <v>-1951.29</v>
      </c>
      <c r="L24" s="46">
        <v>500</v>
      </c>
      <c r="M24" s="45">
        <v>20</v>
      </c>
      <c r="N24" s="47">
        <v>0</v>
      </c>
    </row>
    <row r="25" spans="1:14" ht="18.75">
      <c r="A25" s="38">
        <v>1</v>
      </c>
      <c r="B25" s="48" t="s">
        <v>29</v>
      </c>
      <c r="C25" s="113"/>
      <c r="D25" s="40">
        <v>47</v>
      </c>
      <c r="E25" s="113"/>
      <c r="F25" s="131"/>
      <c r="G25" s="129">
        <v>-47</v>
      </c>
      <c r="H25" s="122">
        <v>47</v>
      </c>
      <c r="I25" s="135"/>
      <c r="J25" s="119"/>
      <c r="K25" s="42">
        <v>-1951.29</v>
      </c>
      <c r="L25" s="42">
        <v>1000</v>
      </c>
      <c r="M25" s="40">
        <v>20</v>
      </c>
      <c r="N25" s="49">
        <f t="shared" ref="N25:N32" si="4">+F25</f>
        <v>0</v>
      </c>
    </row>
    <row r="26" spans="1:14" ht="18.75">
      <c r="A26" s="38">
        <v>2</v>
      </c>
      <c r="B26" s="48" t="s">
        <v>30</v>
      </c>
      <c r="C26" s="113"/>
      <c r="D26" s="40">
        <v>55.45</v>
      </c>
      <c r="E26" s="113"/>
      <c r="F26" s="131"/>
      <c r="G26" s="122">
        <v>-52</v>
      </c>
      <c r="H26" s="122">
        <v>52</v>
      </c>
      <c r="I26" s="135"/>
      <c r="J26" s="119"/>
      <c r="K26" s="42">
        <v>-1399.46</v>
      </c>
      <c r="L26" s="42">
        <v>900</v>
      </c>
      <c r="M26" s="40">
        <v>20</v>
      </c>
      <c r="N26" s="49">
        <f t="shared" si="4"/>
        <v>0</v>
      </c>
    </row>
    <row r="27" spans="1:14" ht="18.75">
      <c r="A27" s="38">
        <v>3</v>
      </c>
      <c r="B27" s="48" t="s">
        <v>31</v>
      </c>
      <c r="C27" s="113"/>
      <c r="D27" s="40">
        <v>-38.4</v>
      </c>
      <c r="E27" s="113"/>
      <c r="F27" s="131"/>
      <c r="G27" s="122">
        <v>-44</v>
      </c>
      <c r="H27" s="122">
        <v>19</v>
      </c>
      <c r="I27" s="135"/>
      <c r="J27" s="119"/>
      <c r="K27" s="42">
        <v>-1093.33</v>
      </c>
      <c r="L27" s="42">
        <v>600</v>
      </c>
      <c r="M27" s="40">
        <v>-20</v>
      </c>
      <c r="N27" s="49">
        <f t="shared" si="4"/>
        <v>0</v>
      </c>
    </row>
    <row r="28" spans="1:14" ht="18.75">
      <c r="A28" s="38">
        <v>4</v>
      </c>
      <c r="B28" s="48" t="s">
        <v>32</v>
      </c>
      <c r="C28" s="113"/>
      <c r="D28" s="40">
        <v>47.35</v>
      </c>
      <c r="E28" s="113"/>
      <c r="F28" s="131"/>
      <c r="G28" s="122">
        <v>-63</v>
      </c>
      <c r="H28" s="122">
        <v>66</v>
      </c>
      <c r="I28" s="135"/>
      <c r="J28" s="119"/>
      <c r="K28" s="42">
        <v>-586.66</v>
      </c>
      <c r="L28" s="42">
        <v>1333</v>
      </c>
      <c r="M28" s="40">
        <v>20</v>
      </c>
      <c r="N28" s="49">
        <f t="shared" si="4"/>
        <v>0</v>
      </c>
    </row>
    <row r="29" spans="1:14" ht="18.75">
      <c r="A29" s="38">
        <v>5</v>
      </c>
      <c r="B29" s="48" t="s">
        <v>33</v>
      </c>
      <c r="C29" s="113"/>
      <c r="D29" s="40">
        <v>8.9600000000000009</v>
      </c>
      <c r="E29" s="113"/>
      <c r="F29" s="131"/>
      <c r="G29" s="122">
        <v>0</v>
      </c>
      <c r="H29" s="122">
        <v>50</v>
      </c>
      <c r="I29" s="135"/>
      <c r="J29" s="119"/>
      <c r="K29" s="42">
        <v>293.33</v>
      </c>
      <c r="L29" s="42">
        <v>1333</v>
      </c>
      <c r="M29" s="40">
        <v>20</v>
      </c>
      <c r="N29" s="49">
        <f t="shared" si="4"/>
        <v>0</v>
      </c>
    </row>
    <row r="30" spans="1:14" ht="18.75">
      <c r="A30" s="38">
        <v>6</v>
      </c>
      <c r="B30" s="48" t="s">
        <v>34</v>
      </c>
      <c r="C30" s="39">
        <v>74.5</v>
      </c>
      <c r="D30" s="40">
        <v>180</v>
      </c>
      <c r="E30" s="41">
        <f>(C30-D30)</f>
        <v>-105.5</v>
      </c>
      <c r="F30" s="132">
        <f>IF(E30&gt;=0,(E30*11.375),(360+E30)*11.375)</f>
        <v>2894.9375</v>
      </c>
      <c r="G30" s="122">
        <v>-50</v>
      </c>
      <c r="H30" s="122">
        <v>50</v>
      </c>
      <c r="I30" s="135"/>
      <c r="J30" s="119"/>
      <c r="K30" s="42">
        <v>11.375</v>
      </c>
      <c r="L30" s="42">
        <f>D30*K30</f>
        <v>2047.5</v>
      </c>
      <c r="M30" s="42">
        <v>10</v>
      </c>
      <c r="N30" s="49">
        <f t="shared" si="4"/>
        <v>2894.9375</v>
      </c>
    </row>
    <row r="31" spans="1:14" ht="18.75">
      <c r="A31" s="38">
        <v>7</v>
      </c>
      <c r="B31" s="48" t="s">
        <v>35</v>
      </c>
      <c r="C31" s="39">
        <v>185.8</v>
      </c>
      <c r="D31" s="40">
        <v>180</v>
      </c>
      <c r="E31" s="41">
        <f>(C31-D31)</f>
        <v>5.8000000000000114</v>
      </c>
      <c r="F31" s="132">
        <f>IF(E31&gt;=0,(E31*11.375),(360+E31)*11.375)</f>
        <v>65.975000000000136</v>
      </c>
      <c r="G31" s="122">
        <v>-30</v>
      </c>
      <c r="H31" s="122">
        <v>30</v>
      </c>
      <c r="I31" s="135"/>
      <c r="J31" s="119"/>
      <c r="K31" s="42">
        <v>11.375</v>
      </c>
      <c r="L31" s="42">
        <f>D31*K31</f>
        <v>2047.5</v>
      </c>
      <c r="M31" s="42">
        <v>10</v>
      </c>
      <c r="N31" s="49">
        <f t="shared" si="4"/>
        <v>65.975000000000136</v>
      </c>
    </row>
    <row r="32" spans="1:14" ht="19.5" thickBot="1">
      <c r="A32" s="103">
        <v>8</v>
      </c>
      <c r="B32" s="50" t="s">
        <v>36</v>
      </c>
      <c r="C32" s="51">
        <v>127.5</v>
      </c>
      <c r="D32" s="52">
        <v>180</v>
      </c>
      <c r="E32" s="53">
        <f>(C32-D32)</f>
        <v>-52.5</v>
      </c>
      <c r="F32" s="133">
        <f>IF(E32&gt;=0,(E32*11.375),(360+E32)*11.375)</f>
        <v>3497.8125</v>
      </c>
      <c r="G32" s="127">
        <v>-22</v>
      </c>
      <c r="H32" s="127">
        <v>70</v>
      </c>
      <c r="I32" s="136"/>
      <c r="J32" s="120"/>
      <c r="K32" s="54">
        <v>11.375</v>
      </c>
      <c r="L32" s="54">
        <f>D32*K32</f>
        <v>2047.5</v>
      </c>
      <c r="M32" s="54">
        <v>10</v>
      </c>
      <c r="N32" s="55">
        <f t="shared" si="4"/>
        <v>3497.8125</v>
      </c>
    </row>
    <row r="33" spans="1:14" ht="18.75">
      <c r="A33" s="104"/>
      <c r="B33" s="13"/>
      <c r="C33" s="14"/>
      <c r="D33" s="14"/>
      <c r="E33" s="14"/>
      <c r="F33" s="14"/>
      <c r="G33" s="13"/>
      <c r="H33" s="13"/>
      <c r="I33" s="13"/>
      <c r="J33" s="13"/>
      <c r="K33" s="13"/>
      <c r="L33" s="13"/>
      <c r="M33" s="13"/>
      <c r="N33" s="15"/>
    </row>
    <row r="34" spans="1:14" ht="19.5" thickBot="1">
      <c r="A34" s="104"/>
      <c r="B34" s="15"/>
      <c r="C34" s="22"/>
      <c r="D34" s="22"/>
      <c r="E34" s="15"/>
      <c r="F34" s="15"/>
      <c r="G34" s="15"/>
      <c r="H34" s="15"/>
      <c r="I34" s="15"/>
      <c r="J34" s="15"/>
      <c r="K34" s="15"/>
      <c r="L34" s="15"/>
      <c r="M34" s="15"/>
      <c r="N34" s="15"/>
    </row>
    <row r="35" spans="1:14" ht="21.75" thickBot="1">
      <c r="A35" s="104"/>
      <c r="B35" s="105" t="s">
        <v>37</v>
      </c>
      <c r="C35" s="106"/>
      <c r="D35" s="106"/>
      <c r="E35" s="107"/>
      <c r="F35" s="107"/>
      <c r="G35" s="106"/>
      <c r="H35" s="106"/>
      <c r="I35" s="106"/>
      <c r="J35" s="106"/>
      <c r="K35" s="106"/>
      <c r="L35" s="106"/>
      <c r="M35" s="108"/>
      <c r="N35" s="109"/>
    </row>
    <row r="36" spans="1:14" ht="39" customHeight="1" thickBot="1">
      <c r="A36" s="61" t="s">
        <v>1</v>
      </c>
      <c r="B36" s="72" t="s">
        <v>2</v>
      </c>
      <c r="C36" s="62" t="s">
        <v>38</v>
      </c>
      <c r="D36" s="62" t="s">
        <v>4</v>
      </c>
      <c r="E36" s="63" t="s">
        <v>5</v>
      </c>
      <c r="F36" s="64" t="s">
        <v>179</v>
      </c>
      <c r="G36" s="90" t="s">
        <v>6</v>
      </c>
      <c r="H36" s="90" t="s">
        <v>7</v>
      </c>
      <c r="I36" s="62" t="s">
        <v>8</v>
      </c>
      <c r="J36" s="62" t="s">
        <v>9</v>
      </c>
      <c r="K36" s="62" t="s">
        <v>10</v>
      </c>
      <c r="L36" s="62" t="s">
        <v>11</v>
      </c>
      <c r="M36" s="65" t="s">
        <v>12</v>
      </c>
      <c r="N36" s="66" t="s">
        <v>13</v>
      </c>
    </row>
    <row r="37" spans="1:14" ht="18.75">
      <c r="A37" s="60">
        <v>0</v>
      </c>
      <c r="B37" s="73" t="s">
        <v>39</v>
      </c>
      <c r="C37" s="74">
        <v>-111.2</v>
      </c>
      <c r="D37" s="75">
        <v>-180</v>
      </c>
      <c r="E37" s="76">
        <f>(ABS(C37)-ABS(D37))</f>
        <v>-68.8</v>
      </c>
      <c r="F37" s="137">
        <f>IF(E37&gt;=0,(E37*11.375),(360+E37)*11.375)</f>
        <v>3312.4</v>
      </c>
      <c r="G37" s="122">
        <v>-95.5</v>
      </c>
      <c r="H37" s="122">
        <v>10</v>
      </c>
      <c r="I37" s="141"/>
      <c r="K37" s="77">
        <v>-11.375</v>
      </c>
      <c r="L37" s="77">
        <v>2388</v>
      </c>
      <c r="M37" s="78">
        <v>10</v>
      </c>
      <c r="N37" s="79">
        <f>+F37</f>
        <v>3312.4</v>
      </c>
    </row>
    <row r="38" spans="1:14" ht="18.75">
      <c r="A38" s="38">
        <v>1</v>
      </c>
      <c r="B38" s="80" t="s">
        <v>40</v>
      </c>
      <c r="C38" s="8">
        <v>-106.9</v>
      </c>
      <c r="D38" s="9">
        <v>-315</v>
      </c>
      <c r="E38" s="10">
        <f>(ABS(C38)-ABS(D38))</f>
        <v>-208.1</v>
      </c>
      <c r="F38" s="138">
        <f>IF(E38&gt;=0,(E38*11.375),(360+E38)*11.375)</f>
        <v>1727.8625</v>
      </c>
      <c r="G38" s="122">
        <v>0</v>
      </c>
      <c r="H38" s="122">
        <v>160.80000000000001</v>
      </c>
      <c r="I38" s="142"/>
      <c r="J38" s="116"/>
      <c r="K38" s="11">
        <v>-11.375</v>
      </c>
      <c r="L38" s="11">
        <v>3241</v>
      </c>
      <c r="M38" s="12">
        <v>10</v>
      </c>
      <c r="N38" s="81">
        <f>+F38</f>
        <v>1727.8625</v>
      </c>
    </row>
    <row r="39" spans="1:14" ht="18.75">
      <c r="A39" s="38">
        <v>2</v>
      </c>
      <c r="B39" s="80" t="s">
        <v>41</v>
      </c>
      <c r="C39" s="8">
        <v>-133.4</v>
      </c>
      <c r="D39" s="9">
        <f>-L39/19.462</f>
        <v>-30.209819134724082</v>
      </c>
      <c r="E39" s="37">
        <f>ABS((C39*19.46/11.375))-180</f>
        <v>48.216615384615409</v>
      </c>
      <c r="F39" s="139">
        <f>IF(E39&gt;=0,(E39*11.375),(360+E39)*11.375)</f>
        <v>548.46400000000028</v>
      </c>
      <c r="G39" s="122">
        <v>-37</v>
      </c>
      <c r="H39" s="122">
        <v>80</v>
      </c>
      <c r="I39" s="142"/>
      <c r="J39" s="116"/>
      <c r="K39" s="11">
        <v>-19.462</v>
      </c>
      <c r="L39" s="11">
        <f>2047+(L37-L38)*1.7105</f>
        <v>587.94350000000009</v>
      </c>
      <c r="M39" s="12">
        <v>10</v>
      </c>
      <c r="N39" s="82">
        <f>F39</f>
        <v>548.46400000000028</v>
      </c>
    </row>
    <row r="40" spans="1:14" ht="18.75">
      <c r="A40" s="38">
        <v>3</v>
      </c>
      <c r="B40" s="80" t="s">
        <v>42</v>
      </c>
      <c r="C40" s="8">
        <v>99.8</v>
      </c>
      <c r="D40" s="9">
        <v>-180</v>
      </c>
      <c r="E40" s="10">
        <f>(ABS(C40)-ABS(D40))</f>
        <v>-80.2</v>
      </c>
      <c r="F40" s="138">
        <f>IF(E40&gt;=0,(E40*11.375),(360+E40)*11.375)</f>
        <v>3182.7249999999999</v>
      </c>
      <c r="G40" s="122">
        <v>5.5</v>
      </c>
      <c r="H40" s="122">
        <v>106</v>
      </c>
      <c r="I40" s="142"/>
      <c r="J40" s="116"/>
      <c r="K40" s="11">
        <v>-11.375</v>
      </c>
      <c r="L40" s="11">
        <v>1532</v>
      </c>
      <c r="M40" s="12">
        <v>10</v>
      </c>
      <c r="N40" s="81">
        <f>+F40</f>
        <v>3182.7249999999999</v>
      </c>
    </row>
    <row r="41" spans="1:14" ht="18.75">
      <c r="A41" s="38">
        <v>4</v>
      </c>
      <c r="B41" s="80" t="s">
        <v>43</v>
      </c>
      <c r="C41" s="117"/>
      <c r="D41" s="9">
        <v>90</v>
      </c>
      <c r="E41" s="117"/>
      <c r="F41" s="140"/>
      <c r="G41" s="122">
        <v>-90</v>
      </c>
      <c r="H41" s="122">
        <v>90</v>
      </c>
      <c r="I41" s="142"/>
      <c r="J41" s="116"/>
      <c r="K41" s="11">
        <f>-706.67</f>
        <v>-706.67</v>
      </c>
      <c r="L41" s="11">
        <v>1000</v>
      </c>
      <c r="M41" s="12">
        <v>20</v>
      </c>
      <c r="N41" s="81">
        <v>0</v>
      </c>
    </row>
    <row r="42" spans="1:14" ht="18.75">
      <c r="A42" s="38">
        <v>5</v>
      </c>
      <c r="B42" s="80" t="s">
        <v>44</v>
      </c>
      <c r="C42" s="117"/>
      <c r="D42" s="9">
        <v>-20</v>
      </c>
      <c r="E42" s="117"/>
      <c r="F42" s="140"/>
      <c r="G42" s="122">
        <v>-90</v>
      </c>
      <c r="H42" s="122">
        <v>0</v>
      </c>
      <c r="I42" s="142"/>
      <c r="J42" s="116"/>
      <c r="K42" s="11">
        <v>-978.46</v>
      </c>
      <c r="L42" s="11">
        <v>750</v>
      </c>
      <c r="M42" s="12">
        <v>-10</v>
      </c>
      <c r="N42" s="81">
        <v>0</v>
      </c>
    </row>
    <row r="43" spans="1:14" ht="18.75">
      <c r="A43" s="38">
        <v>6</v>
      </c>
      <c r="B43" s="80" t="s">
        <v>45</v>
      </c>
      <c r="C43" s="117"/>
      <c r="D43" s="9">
        <v>-52</v>
      </c>
      <c r="E43" s="117"/>
      <c r="F43" s="140"/>
      <c r="G43" s="122">
        <v>-20</v>
      </c>
      <c r="H43" s="122">
        <v>40</v>
      </c>
      <c r="I43" s="142"/>
      <c r="J43" s="116"/>
      <c r="K43" s="11">
        <v>-978.46</v>
      </c>
      <c r="L43" s="11">
        <v>750</v>
      </c>
      <c r="M43" s="12">
        <v>-10</v>
      </c>
      <c r="N43" s="81">
        <v>0</v>
      </c>
    </row>
    <row r="44" spans="1:14" ht="19.5" thickBot="1">
      <c r="A44" s="38">
        <v>7</v>
      </c>
      <c r="B44" s="83" t="s">
        <v>46</v>
      </c>
      <c r="C44" s="112"/>
      <c r="D44" s="84">
        <f>IF(K44&gt;0,+I44/K44+G44,+I44/K44-G44)</f>
        <v>506.51162790697674</v>
      </c>
      <c r="E44" s="112"/>
      <c r="F44" s="112"/>
      <c r="G44" s="143">
        <v>0</v>
      </c>
      <c r="H44" s="143">
        <v>60</v>
      </c>
      <c r="I44" s="85">
        <v>1815</v>
      </c>
      <c r="J44" s="85">
        <v>2030</v>
      </c>
      <c r="K44" s="86">
        <f>(J44-I44)/(H44-G44)</f>
        <v>3.5833333333333335</v>
      </c>
      <c r="L44" s="84">
        <f>ABS(+D44*K44)</f>
        <v>1815</v>
      </c>
      <c r="M44" s="87">
        <v>100</v>
      </c>
      <c r="N44" s="88">
        <v>0</v>
      </c>
    </row>
    <row r="45" spans="1:14" ht="19.5" thickBot="1">
      <c r="A45" s="110"/>
      <c r="B45" s="23"/>
      <c r="C45" s="14"/>
      <c r="D45" s="14"/>
      <c r="E45" s="23"/>
      <c r="F45" s="23"/>
      <c r="G45" s="15"/>
      <c r="H45" s="15"/>
      <c r="I45" s="15"/>
      <c r="J45" s="15"/>
      <c r="K45" s="15"/>
      <c r="L45" s="15"/>
      <c r="M45" s="15"/>
      <c r="N45" s="15"/>
    </row>
    <row r="46" spans="1:14" ht="21.75" thickBot="1">
      <c r="B46" s="67" t="s">
        <v>47</v>
      </c>
      <c r="C46" s="68"/>
      <c r="D46" s="68"/>
      <c r="E46" s="69"/>
      <c r="F46" s="69"/>
      <c r="G46" s="68"/>
      <c r="H46" s="68"/>
      <c r="I46" s="68"/>
      <c r="J46" s="68"/>
      <c r="K46" s="68"/>
      <c r="L46" s="68"/>
      <c r="M46" s="70"/>
      <c r="N46" s="71"/>
    </row>
    <row r="47" spans="1:14" ht="36.75" customHeight="1" thickBot="1">
      <c r="A47" s="61" t="s">
        <v>1</v>
      </c>
      <c r="B47" s="89" t="s">
        <v>2</v>
      </c>
      <c r="C47" s="90" t="s">
        <v>38</v>
      </c>
      <c r="D47" s="90" t="s">
        <v>4</v>
      </c>
      <c r="E47" s="91" t="s">
        <v>5</v>
      </c>
      <c r="F47" s="92" t="s">
        <v>179</v>
      </c>
      <c r="G47" s="90" t="s">
        <v>6</v>
      </c>
      <c r="H47" s="90" t="s">
        <v>7</v>
      </c>
      <c r="I47" s="90" t="s">
        <v>8</v>
      </c>
      <c r="J47" s="90" t="s">
        <v>9</v>
      </c>
      <c r="K47" s="90" t="s">
        <v>10</v>
      </c>
      <c r="L47" s="90" t="s">
        <v>11</v>
      </c>
      <c r="M47" s="93" t="s">
        <v>12</v>
      </c>
      <c r="N47" s="94" t="s">
        <v>13</v>
      </c>
    </row>
    <row r="48" spans="1:14" ht="18.75">
      <c r="A48" s="60">
        <v>0</v>
      </c>
      <c r="B48" s="43" t="s">
        <v>48</v>
      </c>
      <c r="C48" s="114"/>
      <c r="D48" s="46">
        <f>IF(K48&gt;0,+I48/K48-G48,+I48/K48+G48)</f>
        <v>37.777777777777779</v>
      </c>
      <c r="E48" s="114"/>
      <c r="F48" s="114"/>
      <c r="G48" s="46">
        <v>-10</v>
      </c>
      <c r="H48" s="46">
        <v>90</v>
      </c>
      <c r="I48" s="97">
        <v>650</v>
      </c>
      <c r="J48" s="97">
        <v>2990</v>
      </c>
      <c r="K48" s="98">
        <f t="shared" ref="K48:K55" si="5">(J48-I48)/(H48-G48)</f>
        <v>23.4</v>
      </c>
      <c r="L48" s="46">
        <f>ABS(D48*K48)</f>
        <v>884</v>
      </c>
      <c r="M48" s="46">
        <v>10</v>
      </c>
      <c r="N48" s="99">
        <v>0</v>
      </c>
    </row>
    <row r="49" spans="1:14" ht="18.75">
      <c r="A49" s="38">
        <v>1</v>
      </c>
      <c r="B49" s="48" t="s">
        <v>49</v>
      </c>
      <c r="C49" s="113"/>
      <c r="D49" s="42">
        <f>-G49+(+I49/K49)</f>
        <v>-110.33898305084746</v>
      </c>
      <c r="E49" s="113"/>
      <c r="F49" s="113"/>
      <c r="G49" s="42">
        <v>0</v>
      </c>
      <c r="H49" s="42">
        <v>90</v>
      </c>
      <c r="I49" s="95">
        <v>217</v>
      </c>
      <c r="J49" s="95">
        <v>40</v>
      </c>
      <c r="K49" s="96">
        <f t="shared" si="5"/>
        <v>-1.9666666666666666</v>
      </c>
      <c r="L49" s="42">
        <f>I49</f>
        <v>217</v>
      </c>
      <c r="M49" s="42">
        <v>10</v>
      </c>
      <c r="N49" s="100">
        <v>6000</v>
      </c>
    </row>
    <row r="50" spans="1:14" ht="18.75">
      <c r="A50" s="38">
        <v>2</v>
      </c>
      <c r="B50" s="48" t="s">
        <v>50</v>
      </c>
      <c r="C50" s="113"/>
      <c r="D50" s="42">
        <f t="shared" ref="D50:D55" si="6">-G50+(+I50/K50)</f>
        <v>-184.35835351089591</v>
      </c>
      <c r="E50" s="113"/>
      <c r="F50" s="113"/>
      <c r="G50" s="42">
        <v>0</v>
      </c>
      <c r="H50" s="42">
        <v>180</v>
      </c>
      <c r="I50" s="95">
        <v>423</v>
      </c>
      <c r="J50" s="95">
        <v>10</v>
      </c>
      <c r="K50" s="96">
        <f t="shared" si="5"/>
        <v>-2.2944444444444443</v>
      </c>
      <c r="L50" s="42">
        <f>J50</f>
        <v>10</v>
      </c>
      <c r="M50" s="42">
        <v>10</v>
      </c>
      <c r="N50" s="100">
        <v>6500</v>
      </c>
    </row>
    <row r="51" spans="1:14" ht="18.75">
      <c r="A51" s="38">
        <v>3</v>
      </c>
      <c r="B51" s="48" t="s">
        <v>51</v>
      </c>
      <c r="C51" s="113"/>
      <c r="D51" s="42">
        <f t="shared" si="6"/>
        <v>-94.433497536945808</v>
      </c>
      <c r="E51" s="113"/>
      <c r="F51" s="113"/>
      <c r="G51" s="42">
        <v>0</v>
      </c>
      <c r="H51" s="42">
        <v>90</v>
      </c>
      <c r="I51" s="95">
        <v>213</v>
      </c>
      <c r="J51" s="95">
        <v>10</v>
      </c>
      <c r="K51" s="96">
        <f t="shared" si="5"/>
        <v>-2.2555555555555555</v>
      </c>
      <c r="L51" s="42">
        <f>I51</f>
        <v>213</v>
      </c>
      <c r="M51" s="42">
        <v>10</v>
      </c>
      <c r="N51" s="100">
        <v>6000</v>
      </c>
    </row>
    <row r="52" spans="1:14" ht="18.75">
      <c r="A52" s="38">
        <v>4</v>
      </c>
      <c r="B52" s="48" t="s">
        <v>52</v>
      </c>
      <c r="C52" s="113"/>
      <c r="D52" s="42">
        <f t="shared" si="6"/>
        <v>-186.92307692307693</v>
      </c>
      <c r="E52" s="113"/>
      <c r="F52" s="113"/>
      <c r="G52" s="42">
        <v>0</v>
      </c>
      <c r="H52" s="42">
        <v>180</v>
      </c>
      <c r="I52" s="95">
        <v>432</v>
      </c>
      <c r="J52" s="95">
        <v>16</v>
      </c>
      <c r="K52" s="96">
        <f t="shared" si="5"/>
        <v>-2.3111111111111109</v>
      </c>
      <c r="L52" s="42">
        <f>J52</f>
        <v>16</v>
      </c>
      <c r="M52" s="42">
        <v>10</v>
      </c>
      <c r="N52" s="100">
        <v>6500</v>
      </c>
    </row>
    <row r="53" spans="1:14" ht="18.75">
      <c r="A53" s="38">
        <v>5</v>
      </c>
      <c r="B53" s="48" t="s">
        <v>53</v>
      </c>
      <c r="C53" s="113"/>
      <c r="D53" s="42">
        <f t="shared" si="6"/>
        <v>-98.450704225352112</v>
      </c>
      <c r="E53" s="113"/>
      <c r="F53" s="113"/>
      <c r="G53" s="42">
        <v>0</v>
      </c>
      <c r="H53" s="42">
        <v>90</v>
      </c>
      <c r="I53" s="95">
        <v>233</v>
      </c>
      <c r="J53" s="95">
        <v>20</v>
      </c>
      <c r="K53" s="96">
        <f t="shared" si="5"/>
        <v>-2.3666666666666667</v>
      </c>
      <c r="L53" s="42">
        <f>I53</f>
        <v>233</v>
      </c>
      <c r="M53" s="42">
        <v>10</v>
      </c>
      <c r="N53" s="100">
        <v>6000</v>
      </c>
    </row>
    <row r="54" spans="1:14" ht="18.75">
      <c r="A54" s="38">
        <v>6</v>
      </c>
      <c r="B54" s="48" t="s">
        <v>54</v>
      </c>
      <c r="C54" s="113"/>
      <c r="D54" s="42">
        <f t="shared" si="6"/>
        <v>-184.26540284360189</v>
      </c>
      <c r="E54" s="113"/>
      <c r="F54" s="113"/>
      <c r="G54" s="42">
        <v>0</v>
      </c>
      <c r="H54" s="42">
        <v>180</v>
      </c>
      <c r="I54" s="95">
        <v>432</v>
      </c>
      <c r="J54" s="95">
        <v>10</v>
      </c>
      <c r="K54" s="96">
        <f t="shared" si="5"/>
        <v>-2.3444444444444446</v>
      </c>
      <c r="L54" s="42">
        <f>J54</f>
        <v>10</v>
      </c>
      <c r="M54" s="42">
        <v>10</v>
      </c>
      <c r="N54" s="100">
        <v>-6500</v>
      </c>
    </row>
    <row r="55" spans="1:14" ht="19.5" thickBot="1">
      <c r="A55" s="38">
        <v>7</v>
      </c>
      <c r="B55" s="50" t="s">
        <v>55</v>
      </c>
      <c r="C55" s="115"/>
      <c r="D55" s="54">
        <f t="shared" si="6"/>
        <v>-320.94339622641508</v>
      </c>
      <c r="E55" s="115"/>
      <c r="F55" s="115"/>
      <c r="G55" s="54">
        <v>0</v>
      </c>
      <c r="H55" s="54">
        <v>270</v>
      </c>
      <c r="I55" s="101">
        <v>630</v>
      </c>
      <c r="J55" s="101">
        <v>100</v>
      </c>
      <c r="K55" s="144">
        <f t="shared" si="5"/>
        <v>-1.962962962962963</v>
      </c>
      <c r="L55" s="54">
        <f>J55</f>
        <v>100</v>
      </c>
      <c r="M55" s="54">
        <v>10</v>
      </c>
      <c r="N55" s="102">
        <v>-26000</v>
      </c>
    </row>
    <row r="56" spans="1:14" ht="19.5" thickBot="1">
      <c r="B56" s="15"/>
      <c r="C56" s="14"/>
      <c r="D56" s="14"/>
      <c r="E56" s="23"/>
      <c r="F56" s="23"/>
      <c r="G56" s="15"/>
      <c r="H56" s="15"/>
      <c r="I56" s="15"/>
      <c r="J56" s="15"/>
      <c r="K56" s="15"/>
      <c r="L56" s="15"/>
      <c r="M56" s="15"/>
      <c r="N56" s="15"/>
    </row>
    <row r="57" spans="1:14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70"/>
      <c r="N57" s="71"/>
    </row>
    <row r="58" spans="1:14" ht="33" customHeight="1" thickBot="1">
      <c r="A58" s="61" t="s">
        <v>1</v>
      </c>
      <c r="B58" s="72" t="s">
        <v>2</v>
      </c>
      <c r="C58" s="62" t="s">
        <v>38</v>
      </c>
      <c r="D58" s="62" t="s">
        <v>4</v>
      </c>
      <c r="E58" s="63" t="s">
        <v>5</v>
      </c>
      <c r="F58" s="64" t="s">
        <v>179</v>
      </c>
      <c r="G58" s="90" t="s">
        <v>6</v>
      </c>
      <c r="H58" s="90" t="s">
        <v>7</v>
      </c>
      <c r="I58" s="62" t="s">
        <v>8</v>
      </c>
      <c r="J58" s="62" t="s">
        <v>9</v>
      </c>
      <c r="K58" s="62" t="s">
        <v>10</v>
      </c>
      <c r="L58" s="62" t="s">
        <v>11</v>
      </c>
      <c r="M58" s="65" t="s">
        <v>12</v>
      </c>
      <c r="N58" s="66" t="s">
        <v>13</v>
      </c>
    </row>
    <row r="59" spans="1:14" ht="18.75">
      <c r="A59" s="60">
        <v>0</v>
      </c>
      <c r="B59" s="73" t="s">
        <v>57</v>
      </c>
      <c r="C59" s="74">
        <v>0.5</v>
      </c>
      <c r="D59" s="75">
        <v>180</v>
      </c>
      <c r="E59" s="76">
        <f>(ABS(C59)-ABS(D59))</f>
        <v>-179.5</v>
      </c>
      <c r="F59" s="137">
        <f>IF(E59&gt;=0,(E59*11.375),(360+E59)*11.375)</f>
        <v>2053.1875</v>
      </c>
      <c r="G59" s="145">
        <v>-95.5</v>
      </c>
      <c r="H59" s="145">
        <v>10</v>
      </c>
      <c r="I59" s="146"/>
      <c r="J59" s="111"/>
      <c r="K59" s="75">
        <v>11.375</v>
      </c>
      <c r="L59" s="75">
        <v>1706</v>
      </c>
      <c r="M59" s="147">
        <v>10</v>
      </c>
      <c r="N59" s="79">
        <f>+F59</f>
        <v>2053.1875</v>
      </c>
    </row>
    <row r="60" spans="1:14" ht="18.75">
      <c r="A60" s="38">
        <v>1</v>
      </c>
      <c r="B60" s="80" t="s">
        <v>58</v>
      </c>
      <c r="C60" s="8">
        <v>97</v>
      </c>
      <c r="D60" s="9">
        <v>45</v>
      </c>
      <c r="E60" s="10">
        <f>(ABS(C60)-ABS(D60))</f>
        <v>52</v>
      </c>
      <c r="F60" s="138">
        <f>IF(E60&gt;=0,(E60*11.375),(360+E60)*11.375)</f>
        <v>591.5</v>
      </c>
      <c r="G60" s="145">
        <v>0</v>
      </c>
      <c r="H60" s="145">
        <v>160.80000000000001</v>
      </c>
      <c r="I60" s="148"/>
      <c r="J60" s="117"/>
      <c r="K60" s="9">
        <v>11.375</v>
      </c>
      <c r="L60" s="9">
        <v>853</v>
      </c>
      <c r="M60" s="21">
        <v>10</v>
      </c>
      <c r="N60" s="81">
        <f>+F60</f>
        <v>591.5</v>
      </c>
    </row>
    <row r="61" spans="1:14" ht="18.75">
      <c r="A61" s="38">
        <v>2</v>
      </c>
      <c r="B61" s="80" t="s">
        <v>59</v>
      </c>
      <c r="C61" s="8">
        <v>204.2</v>
      </c>
      <c r="D61" s="9">
        <f>+L61/19.462</f>
        <v>180.14882848628093</v>
      </c>
      <c r="E61" s="10">
        <f>ABS((C61*19.46/11.375))-180</f>
        <v>169.3390769230769</v>
      </c>
      <c r="F61" s="138">
        <f>IF(E61&gt;=0,(E61*11.375),(360+E61)*11.375)</f>
        <v>1926.2319999999997</v>
      </c>
      <c r="G61" s="145">
        <v>-37</v>
      </c>
      <c r="H61" s="145">
        <v>80</v>
      </c>
      <c r="I61" s="148"/>
      <c r="J61" s="117"/>
      <c r="K61" s="9">
        <v>19.462</v>
      </c>
      <c r="L61" s="9">
        <f>2047+(L59-L60)*1.7105</f>
        <v>3506.0564999999997</v>
      </c>
      <c r="M61" s="21">
        <v>10</v>
      </c>
      <c r="N61" s="81">
        <f>F61</f>
        <v>1926.2319999999997</v>
      </c>
    </row>
    <row r="62" spans="1:14" ht="18.75">
      <c r="A62" s="38">
        <v>3</v>
      </c>
      <c r="B62" s="80" t="s">
        <v>60</v>
      </c>
      <c r="C62" s="8">
        <v>36.9</v>
      </c>
      <c r="D62" s="9">
        <v>180</v>
      </c>
      <c r="E62" s="10">
        <f>(ABS(C62)-ABS(D62))</f>
        <v>-143.1</v>
      </c>
      <c r="F62" s="138">
        <f>IF(E62&gt;=0,(E62*11.375),(360+E62)*11.375)</f>
        <v>2467.2375000000002</v>
      </c>
      <c r="G62" s="145">
        <v>5.5</v>
      </c>
      <c r="H62" s="145">
        <v>106</v>
      </c>
      <c r="I62" s="148"/>
      <c r="J62" s="117"/>
      <c r="K62" s="9">
        <v>11.375</v>
      </c>
      <c r="L62" s="9">
        <v>2558</v>
      </c>
      <c r="M62" s="21">
        <v>10</v>
      </c>
      <c r="N62" s="81">
        <f>+F62</f>
        <v>2467.2375000000002</v>
      </c>
    </row>
    <row r="63" spans="1:14" ht="18.75">
      <c r="A63" s="38">
        <v>4</v>
      </c>
      <c r="B63" s="80" t="s">
        <v>61</v>
      </c>
      <c r="C63" s="116"/>
      <c r="D63" s="11">
        <v>90</v>
      </c>
      <c r="E63" s="117"/>
      <c r="F63" s="140"/>
      <c r="G63" s="145">
        <v>-90</v>
      </c>
      <c r="H63" s="145">
        <v>90</v>
      </c>
      <c r="I63" s="148"/>
      <c r="J63" s="117"/>
      <c r="K63" s="9">
        <f>706.67</f>
        <v>706.67</v>
      </c>
      <c r="L63" s="9">
        <v>750</v>
      </c>
      <c r="M63" s="21">
        <v>-20</v>
      </c>
      <c r="N63" s="81">
        <v>0</v>
      </c>
    </row>
    <row r="64" spans="1:14" ht="18.75">
      <c r="A64" s="38">
        <v>5</v>
      </c>
      <c r="B64" s="80" t="s">
        <v>62</v>
      </c>
      <c r="C64" s="117"/>
      <c r="D64" s="11">
        <v>-20</v>
      </c>
      <c r="E64" s="117"/>
      <c r="F64" s="140"/>
      <c r="G64" s="145">
        <v>-90</v>
      </c>
      <c r="H64" s="145">
        <v>0</v>
      </c>
      <c r="I64" s="148"/>
      <c r="J64" s="117"/>
      <c r="K64" s="9">
        <v>978.46</v>
      </c>
      <c r="L64" s="9">
        <v>750</v>
      </c>
      <c r="M64" s="21">
        <v>10</v>
      </c>
      <c r="N64" s="81">
        <v>0</v>
      </c>
    </row>
    <row r="65" spans="1:14" ht="18.75">
      <c r="A65" s="38">
        <v>6</v>
      </c>
      <c r="B65" s="80" t="s">
        <v>63</v>
      </c>
      <c r="C65" s="117"/>
      <c r="D65" s="11">
        <v>-52</v>
      </c>
      <c r="E65" s="117"/>
      <c r="F65" s="140"/>
      <c r="G65" s="145">
        <v>-20</v>
      </c>
      <c r="H65" s="145">
        <v>40</v>
      </c>
      <c r="I65" s="148"/>
      <c r="J65" s="117"/>
      <c r="K65" s="9">
        <v>978.46</v>
      </c>
      <c r="L65" s="9">
        <v>750</v>
      </c>
      <c r="M65" s="21">
        <v>10</v>
      </c>
      <c r="N65" s="81">
        <v>0</v>
      </c>
    </row>
    <row r="66" spans="1:14" ht="19.5" thickBot="1">
      <c r="A66" s="38">
        <v>7</v>
      </c>
      <c r="B66" s="83" t="s">
        <v>64</v>
      </c>
      <c r="C66" s="112"/>
      <c r="D66" s="84">
        <f>IF(K66&gt;0,+I66/K66+G66,+I66/K66-G66)</f>
        <v>384</v>
      </c>
      <c r="E66" s="112"/>
      <c r="F66" s="112"/>
      <c r="G66" s="149">
        <v>0</v>
      </c>
      <c r="H66" s="149">
        <v>60</v>
      </c>
      <c r="I66" s="150">
        <v>1600</v>
      </c>
      <c r="J66" s="150">
        <v>1850</v>
      </c>
      <c r="K66" s="151">
        <f>(J66-I66)/(H66-G66)</f>
        <v>4.166666666666667</v>
      </c>
      <c r="L66" s="151">
        <f>ABS(+D66*K66)</f>
        <v>1600</v>
      </c>
      <c r="M66" s="152">
        <v>100</v>
      </c>
      <c r="N66" s="153">
        <v>0</v>
      </c>
    </row>
    <row r="67" spans="1:14" ht="19.5" thickBot="1">
      <c r="B67" s="15"/>
      <c r="C67" s="22"/>
      <c r="D67" s="22"/>
      <c r="E67" s="15"/>
      <c r="F67" s="15"/>
      <c r="G67" s="15"/>
      <c r="H67" s="15"/>
      <c r="I67" s="15"/>
      <c r="J67" s="15"/>
      <c r="K67" s="15"/>
      <c r="L67" s="15"/>
      <c r="M67" s="15"/>
      <c r="N67" s="15"/>
    </row>
    <row r="68" spans="1:14" ht="21.75" thickBot="1">
      <c r="B68" s="56" t="s">
        <v>65</v>
      </c>
      <c r="C68" s="57"/>
      <c r="D68" s="57"/>
      <c r="E68" s="58"/>
      <c r="F68" s="58"/>
      <c r="G68" s="57"/>
      <c r="H68" s="57"/>
      <c r="I68" s="57"/>
      <c r="J68" s="57"/>
      <c r="K68" s="57"/>
      <c r="L68" s="57"/>
      <c r="M68" s="57"/>
      <c r="N68" s="59"/>
    </row>
    <row r="69" spans="1:14" ht="36.75" customHeight="1" thickBot="1">
      <c r="A69" s="61" t="s">
        <v>1</v>
      </c>
      <c r="B69" s="89" t="s">
        <v>2</v>
      </c>
      <c r="C69" s="90" t="s">
        <v>38</v>
      </c>
      <c r="D69" s="90" t="s">
        <v>4</v>
      </c>
      <c r="E69" s="91" t="s">
        <v>5</v>
      </c>
      <c r="F69" s="92" t="s">
        <v>179</v>
      </c>
      <c r="G69" s="90" t="s">
        <v>6</v>
      </c>
      <c r="H69" s="90" t="s">
        <v>7</v>
      </c>
      <c r="I69" s="90" t="s">
        <v>8</v>
      </c>
      <c r="J69" s="90" t="s">
        <v>9</v>
      </c>
      <c r="K69" s="90" t="s">
        <v>10</v>
      </c>
      <c r="L69" s="90" t="s">
        <v>11</v>
      </c>
      <c r="M69" s="93" t="s">
        <v>12</v>
      </c>
      <c r="N69" s="94" t="s">
        <v>13</v>
      </c>
    </row>
    <row r="70" spans="1:14" ht="18.75">
      <c r="A70" s="60">
        <v>0</v>
      </c>
      <c r="B70" s="43" t="s">
        <v>66</v>
      </c>
      <c r="C70" s="114"/>
      <c r="D70" s="46">
        <f>IF(K70&gt;0,+I70/K70-G70,+I70/K70+G70)</f>
        <v>19.781843771991554</v>
      </c>
      <c r="E70" s="114"/>
      <c r="F70" s="114"/>
      <c r="G70" s="46">
        <v>-10</v>
      </c>
      <c r="H70" s="46">
        <v>90</v>
      </c>
      <c r="I70" s="97">
        <v>278</v>
      </c>
      <c r="J70" s="97">
        <v>3120</v>
      </c>
      <c r="K70" s="98">
        <f t="shared" ref="K70:K77" si="7">(J70-I70)/(H70-G70)</f>
        <v>28.42</v>
      </c>
      <c r="L70" s="45">
        <f>ABS(D70*K70)</f>
        <v>562.19999999999993</v>
      </c>
      <c r="M70" s="46">
        <v>10</v>
      </c>
      <c r="N70" s="99">
        <v>0</v>
      </c>
    </row>
    <row r="71" spans="1:14" ht="18.75">
      <c r="A71" s="38">
        <v>1</v>
      </c>
      <c r="B71" s="48" t="s">
        <v>67</v>
      </c>
      <c r="C71" s="113"/>
      <c r="D71" s="42">
        <f t="shared" ref="D71:D77" si="8">-G71+(+I71/K71)</f>
        <v>-118.27225130890052</v>
      </c>
      <c r="E71" s="113"/>
      <c r="F71" s="113"/>
      <c r="G71" s="42">
        <v>0</v>
      </c>
      <c r="H71" s="42">
        <v>90</v>
      </c>
      <c r="I71" s="95">
        <v>251</v>
      </c>
      <c r="J71" s="95">
        <v>60</v>
      </c>
      <c r="K71" s="96">
        <f t="shared" si="7"/>
        <v>-2.1222222222222222</v>
      </c>
      <c r="L71" s="42">
        <f>I71</f>
        <v>251</v>
      </c>
      <c r="M71" s="42">
        <v>10</v>
      </c>
      <c r="N71" s="100">
        <v>6000</v>
      </c>
    </row>
    <row r="72" spans="1:14" ht="18.75">
      <c r="A72" s="38">
        <v>2</v>
      </c>
      <c r="B72" s="48" t="s">
        <v>68</v>
      </c>
      <c r="C72" s="113"/>
      <c r="D72" s="42">
        <f t="shared" si="8"/>
        <v>-223.90243902439025</v>
      </c>
      <c r="E72" s="113"/>
      <c r="F72" s="113"/>
      <c r="G72" s="42">
        <v>0</v>
      </c>
      <c r="H72" s="42">
        <v>180</v>
      </c>
      <c r="I72" s="95">
        <v>510</v>
      </c>
      <c r="J72" s="95">
        <v>100</v>
      </c>
      <c r="K72" s="96">
        <f t="shared" si="7"/>
        <v>-2.2777777777777777</v>
      </c>
      <c r="L72" s="42">
        <f>+J72</f>
        <v>100</v>
      </c>
      <c r="M72" s="42">
        <v>10</v>
      </c>
      <c r="N72" s="100">
        <v>6600</v>
      </c>
    </row>
    <row r="73" spans="1:14" ht="18.75">
      <c r="A73" s="38">
        <v>3</v>
      </c>
      <c r="B73" s="48" t="s">
        <v>69</v>
      </c>
      <c r="C73" s="113"/>
      <c r="D73" s="42">
        <f t="shared" si="8"/>
        <v>-112.38805970149254</v>
      </c>
      <c r="E73" s="113"/>
      <c r="F73" s="113"/>
      <c r="G73" s="42">
        <v>0</v>
      </c>
      <c r="H73" s="42">
        <v>90</v>
      </c>
      <c r="I73" s="95">
        <v>251</v>
      </c>
      <c r="J73" s="95">
        <v>50</v>
      </c>
      <c r="K73" s="96">
        <f t="shared" si="7"/>
        <v>-2.2333333333333334</v>
      </c>
      <c r="L73" s="42">
        <f>I73</f>
        <v>251</v>
      </c>
      <c r="M73" s="42">
        <v>10</v>
      </c>
      <c r="N73" s="100">
        <v>6000</v>
      </c>
    </row>
    <row r="74" spans="1:14" ht="18.75">
      <c r="A74" s="38">
        <v>4</v>
      </c>
      <c r="B74" s="48" t="s">
        <v>70</v>
      </c>
      <c r="C74" s="113"/>
      <c r="D74" s="42">
        <f t="shared" si="8"/>
        <v>-184.39024390243901</v>
      </c>
      <c r="E74" s="113"/>
      <c r="F74" s="113"/>
      <c r="G74" s="42">
        <v>0</v>
      </c>
      <c r="H74" s="42">
        <v>180</v>
      </c>
      <c r="I74" s="95">
        <v>504</v>
      </c>
      <c r="J74" s="95">
        <v>12</v>
      </c>
      <c r="K74" s="96">
        <f t="shared" si="7"/>
        <v>-2.7333333333333334</v>
      </c>
      <c r="L74" s="42">
        <f>+J74</f>
        <v>12</v>
      </c>
      <c r="M74" s="42">
        <v>10</v>
      </c>
      <c r="N74" s="100">
        <v>-6600</v>
      </c>
    </row>
    <row r="75" spans="1:14" ht="18.75">
      <c r="A75" s="38">
        <v>5</v>
      </c>
      <c r="B75" s="48" t="s">
        <v>71</v>
      </c>
      <c r="C75" s="113"/>
      <c r="D75" s="42">
        <f t="shared" si="8"/>
        <v>-140.44585987261146</v>
      </c>
      <c r="E75" s="113"/>
      <c r="F75" s="113"/>
      <c r="G75" s="42">
        <v>0</v>
      </c>
      <c r="H75" s="42">
        <v>90</v>
      </c>
      <c r="I75" s="95">
        <v>245</v>
      </c>
      <c r="J75" s="95">
        <v>88</v>
      </c>
      <c r="K75" s="96">
        <f t="shared" si="7"/>
        <v>-1.7444444444444445</v>
      </c>
      <c r="L75" s="42">
        <f>I75</f>
        <v>245</v>
      </c>
      <c r="M75" s="42">
        <v>10</v>
      </c>
      <c r="N75" s="100">
        <v>6000</v>
      </c>
    </row>
    <row r="76" spans="1:14" ht="18.75">
      <c r="A76" s="38">
        <v>6</v>
      </c>
      <c r="B76" s="48" t="s">
        <v>72</v>
      </c>
      <c r="C76" s="113"/>
      <c r="D76" s="42">
        <f t="shared" si="8"/>
        <v>-187.37704918032787</v>
      </c>
      <c r="E76" s="113"/>
      <c r="F76" s="113"/>
      <c r="G76" s="42">
        <v>0</v>
      </c>
      <c r="H76" s="42">
        <v>180</v>
      </c>
      <c r="I76" s="95">
        <v>508</v>
      </c>
      <c r="J76" s="95">
        <v>20</v>
      </c>
      <c r="K76" s="96">
        <f t="shared" si="7"/>
        <v>-2.7111111111111112</v>
      </c>
      <c r="L76" s="42">
        <f>J76</f>
        <v>20</v>
      </c>
      <c r="M76" s="42">
        <v>10</v>
      </c>
      <c r="N76" s="100">
        <v>6600</v>
      </c>
    </row>
    <row r="77" spans="1:14" ht="19.5" thickBot="1">
      <c r="A77" s="38">
        <v>7</v>
      </c>
      <c r="B77" s="50" t="s">
        <v>73</v>
      </c>
      <c r="C77" s="115"/>
      <c r="D77" s="54">
        <f t="shared" si="8"/>
        <v>-336.39344262295083</v>
      </c>
      <c r="E77" s="115"/>
      <c r="F77" s="115"/>
      <c r="G77" s="54">
        <v>0</v>
      </c>
      <c r="H77" s="54">
        <v>270</v>
      </c>
      <c r="I77" s="101">
        <v>760</v>
      </c>
      <c r="J77" s="101">
        <v>150</v>
      </c>
      <c r="K77" s="144">
        <f t="shared" si="7"/>
        <v>-2.2592592592592591</v>
      </c>
      <c r="L77" s="54">
        <f>J77</f>
        <v>150</v>
      </c>
      <c r="M77" s="54">
        <v>10</v>
      </c>
      <c r="N77" s="102">
        <v>-26000</v>
      </c>
    </row>
    <row r="78" spans="1:14">
      <c r="C78" s="3"/>
      <c r="D78" s="3"/>
      <c r="E78" s="24"/>
      <c r="F78" s="24"/>
    </row>
    <row r="79" spans="1:14">
      <c r="C79" s="3"/>
      <c r="D79" s="3"/>
    </row>
    <row r="80" spans="1:14" ht="18.75">
      <c r="C80" s="3"/>
      <c r="D80" s="14"/>
      <c r="E80" s="14"/>
      <c r="F80" s="14"/>
    </row>
    <row r="81" spans="1:4">
      <c r="B81" s="25" t="s">
        <v>74</v>
      </c>
      <c r="C81" s="3"/>
      <c r="D81" s="3"/>
    </row>
    <row r="82" spans="1:4">
      <c r="C82" s="3"/>
      <c r="D82" s="3"/>
    </row>
    <row r="83" spans="1:4">
      <c r="B83" s="26"/>
      <c r="C83" s="3"/>
      <c r="D83" s="3" t="s">
        <v>75</v>
      </c>
    </row>
    <row r="84" spans="1:4">
      <c r="C84" s="3"/>
      <c r="D84" s="3"/>
    </row>
    <row r="85" spans="1:4">
      <c r="B85" s="27"/>
      <c r="C85" s="3"/>
      <c r="D85" s="3" t="s">
        <v>76</v>
      </c>
    </row>
    <row r="86" spans="1:4">
      <c r="C86" s="3"/>
      <c r="D86" s="3"/>
    </row>
    <row r="87" spans="1:4">
      <c r="B87" s="28"/>
      <c r="C87" s="3"/>
      <c r="D87" s="3" t="s">
        <v>183</v>
      </c>
    </row>
    <row r="88" spans="1:4">
      <c r="C88" s="3"/>
      <c r="D88" s="3"/>
    </row>
    <row r="89" spans="1:4">
      <c r="B89" s="29"/>
      <c r="C89" s="3"/>
      <c r="D89" s="3" t="s">
        <v>77</v>
      </c>
    </row>
    <row r="90" spans="1:4">
      <c r="C90" s="3"/>
      <c r="D90" s="3"/>
    </row>
    <row r="91" spans="1:4">
      <c r="C91" s="3"/>
      <c r="D91" s="3"/>
    </row>
    <row r="92" spans="1:4">
      <c r="A92" t="s">
        <v>180</v>
      </c>
      <c r="C92" s="3"/>
      <c r="D92" s="3"/>
    </row>
    <row r="93" spans="1:4">
      <c r="A93" t="s">
        <v>181</v>
      </c>
      <c r="C93" s="3"/>
      <c r="D93" s="3"/>
    </row>
    <row r="94" spans="1:4">
      <c r="A94" t="s">
        <v>182</v>
      </c>
      <c r="C94" s="3"/>
      <c r="D94" s="3"/>
    </row>
    <row r="95" spans="1:4">
      <c r="C95" s="3"/>
      <c r="D95" s="3"/>
    </row>
    <row r="96" spans="1:4">
      <c r="C96" s="3"/>
      <c r="D96" s="3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  <row r="105" spans="2:6">
      <c r="B105" s="3"/>
      <c r="C105" s="3"/>
      <c r="D105" s="3"/>
      <c r="E105" s="24"/>
      <c r="F105" s="24"/>
    </row>
    <row r="106" spans="2:6">
      <c r="B106" s="3"/>
      <c r="C106" s="3"/>
      <c r="D106" s="3"/>
      <c r="E106" s="24"/>
      <c r="F106" s="24"/>
    </row>
    <row r="107" spans="2:6">
      <c r="B107" s="3"/>
      <c r="C107" s="3"/>
      <c r="D107" s="3"/>
      <c r="E107" s="24"/>
      <c r="F107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46" zoomScale="75" zoomScaleNormal="75" workbookViewId="0">
      <selection activeCell="B70" sqref="B70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+INDEX(Sheet1!$K$7:$K18,COLUMN()-COLUMN($B$69)+1)</f>
        <v>11.375</v>
      </c>
      <c r="C38" s="36">
        <f>+INDEX(Sheet1!$K$7:$K18,COLUMN()-COLUMN($B$69)+1)</f>
        <v>11.375</v>
      </c>
      <c r="D38" s="36">
        <f>+INDEX(Sheet1!$K$7:$K18,COLUMN()-COLUMN($B$69)+1)</f>
        <v>11.375</v>
      </c>
      <c r="E38" s="36">
        <f>+INDEX(Sheet1!$K$7:$K18,COLUMN()-COLUMN($B$69)+1)</f>
        <v>11.375</v>
      </c>
      <c r="F38" s="36">
        <f>+INDEX(Sheet1!$K$7:$K18,COLUMN()-COLUMN($B$69)+1)</f>
        <v>11.375</v>
      </c>
      <c r="G38" s="36">
        <f>+INDEX(Sheet1!$K$7:$K18,COLUMN()-COLUMN($B$69)+1)</f>
        <v>11.375</v>
      </c>
      <c r="H38" s="36">
        <f>+INDEX(Sheet1!$K$7:$K18,COLUMN()-COLUMN($B$69)+1)</f>
        <v>-11.375</v>
      </c>
      <c r="I38" s="36">
        <f>+INDEX(Sheet1!$K$7:$K18,COLUMN()-COLUMN($B$69)+1)</f>
        <v>-11.375</v>
      </c>
      <c r="J38" s="36">
        <f>+INDEX(Sheet1!$K$7:$K18,COLUMN()-COLUMN($B$69)+1)</f>
        <v>-11.375</v>
      </c>
      <c r="K38" s="36">
        <f>+INDEX(Sheet1!$K$7:$K18,COLUMN()-COLUMN($B$69)+1)</f>
        <v>-11.375</v>
      </c>
      <c r="L38" s="36">
        <f>+INDEX(Sheet1!$K$7:$K18,COLUMN()-COLUMN($B$69)+1)</f>
        <v>-11.375</v>
      </c>
      <c r="M38" s="36">
        <f>+INDEX(Sheet1!$K$7:$K18,COLUMN()-COLUMN($B$69)+1)</f>
        <v>-11.375</v>
      </c>
    </row>
    <row r="39" spans="1:14">
      <c r="A39" t="s">
        <v>110</v>
      </c>
      <c r="B39" s="36">
        <f>+INDEX(Sheet1!$D$7:$D19,COLUMN()-COLUMN($B$69)+1)</f>
        <v>180</v>
      </c>
      <c r="C39" s="36">
        <f>+INDEX(Sheet1!$D$7:$D19,COLUMN()-COLUMN($B$69)+1)</f>
        <v>180</v>
      </c>
      <c r="D39" s="36">
        <f>+INDEX(Sheet1!$D$7:$D19,COLUMN()-COLUMN($B$69)+1)</f>
        <v>180</v>
      </c>
      <c r="E39" s="36">
        <f>+INDEX(Sheet1!$D$7:$D19,COLUMN()-COLUMN($B$69)+1)</f>
        <v>180</v>
      </c>
      <c r="F39" s="36">
        <f>+INDEX(Sheet1!$D$7:$D19,COLUMN()-COLUMN($B$69)+1)</f>
        <v>180</v>
      </c>
      <c r="G39" s="36">
        <f>+INDEX(Sheet1!$D$7:$D19,COLUMN()-COLUMN($B$69)+1)</f>
        <v>180</v>
      </c>
      <c r="H39" s="36">
        <f>+INDEX(Sheet1!$D$7:$D19,COLUMN()-COLUMN($B$69)+1)</f>
        <v>-180</v>
      </c>
      <c r="I39" s="36">
        <f>+INDEX(Sheet1!$D$7:$D19,COLUMN()-COLUMN($B$69)+1)</f>
        <v>-180</v>
      </c>
      <c r="J39" s="36">
        <f>+INDEX(Sheet1!$D$7:$D19,COLUMN()-COLUMN($B$69)+1)</f>
        <v>-180</v>
      </c>
      <c r="K39" s="36">
        <f>+INDEX(Sheet1!$D$7:$D19,COLUMN()-COLUMN($B$69)+1)</f>
        <v>-180</v>
      </c>
      <c r="L39" s="36">
        <f>+INDEX(Sheet1!$D$7:$D19,COLUMN()-COLUMN($B$69)+1)</f>
        <v>-180</v>
      </c>
      <c r="M39" s="36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+INDEX(Sheet1!$H$7:$H26,COLUMN()-COLUMN($B$69)+1)</f>
        <v>90</v>
      </c>
      <c r="C46" s="36">
        <f>+INDEX(Sheet1!$H$7:$H26,COLUMN()-COLUMN($B$69)+1)</f>
        <v>90</v>
      </c>
      <c r="D46" s="36">
        <f>+INDEX(Sheet1!$H$7:$H26,COLUMN()-COLUMN($B$69)+1)</f>
        <v>78</v>
      </c>
      <c r="E46" s="36">
        <f>+INDEX(Sheet1!$H$7:$H26,COLUMN()-COLUMN($B$69)+1)</f>
        <v>15</v>
      </c>
      <c r="F46" s="36">
        <f>+INDEX(Sheet1!$H$7:$H26,COLUMN()-COLUMN($B$69)+1)</f>
        <v>39</v>
      </c>
      <c r="G46" s="36">
        <f>+INDEX(Sheet1!$H$7:$H26,COLUMN()-COLUMN($B$69)+1)</f>
        <v>22</v>
      </c>
      <c r="H46" s="36">
        <f>+INDEX(Sheet1!$H$7:$H26,COLUMN()-COLUMN($B$69)+1)</f>
        <v>90</v>
      </c>
      <c r="I46" s="36">
        <f>+INDEX(Sheet1!$H$7:$H26,COLUMN()-COLUMN($B$69)+1)</f>
        <v>90</v>
      </c>
      <c r="J46" s="36">
        <f>+INDEX(Sheet1!$H$7:$H26,COLUMN()-COLUMN($B$69)+1)</f>
        <v>78</v>
      </c>
      <c r="K46" s="36">
        <f>+INDEX(Sheet1!$H$7:$H26,COLUMN()-COLUMN($B$69)+1)</f>
        <v>15</v>
      </c>
      <c r="L46" s="36">
        <f>+INDEX(Sheet1!$H$7:$H26,COLUMN()-COLUMN($B$69)+1)</f>
        <v>39</v>
      </c>
      <c r="M46" s="36">
        <f>+INDEX(Sheet1!$H$7:$H26,COLUMN()-COLUMN($B$69)+1)</f>
        <v>22</v>
      </c>
    </row>
    <row r="47" spans="1:14">
      <c r="A47" t="s">
        <v>114</v>
      </c>
      <c r="B47" s="36">
        <f>+INDEX(Sheet1!$G$7:$G27,COLUMN()-COLUMN($B$69)+1)</f>
        <v>-30</v>
      </c>
      <c r="C47" s="36">
        <f>+INDEX(Sheet1!$G$7:$G27,COLUMN()-COLUMN($B$69)+1)</f>
        <v>0</v>
      </c>
      <c r="D47" s="36">
        <f>+INDEX(Sheet1!$G$7:$G27,COLUMN()-COLUMN($B$69)+1)</f>
        <v>-80</v>
      </c>
      <c r="E47" s="36">
        <f>+INDEX(Sheet1!$G$7:$G27,COLUMN()-COLUMN($B$69)+1)</f>
        <v>-125</v>
      </c>
      <c r="F47" s="36">
        <f>+INDEX(Sheet1!$G$7:$G27,COLUMN()-COLUMN($B$69)+1)</f>
        <v>-20</v>
      </c>
      <c r="G47" s="36">
        <f>+INDEX(Sheet1!$G$7:$G27,COLUMN()-COLUMN($B$69)+1)</f>
        <v>-22</v>
      </c>
      <c r="H47" s="36">
        <f>+INDEX(Sheet1!$G$7:$G27,COLUMN()-COLUMN($B$69)+1)</f>
        <v>-30</v>
      </c>
      <c r="I47" s="36">
        <f>+INDEX(Sheet1!$G$7:$G27,COLUMN()-COLUMN($B$69)+1)</f>
        <v>0</v>
      </c>
      <c r="J47" s="36">
        <f>+INDEX(Sheet1!$G$7:$G27,COLUMN()-COLUMN($B$69)+1)</f>
        <v>-80</v>
      </c>
      <c r="K47" s="36">
        <f>+INDEX(Sheet1!$G$7:$G27,COLUMN()-COLUMN($B$69)+1)</f>
        <v>-125</v>
      </c>
      <c r="L47" s="36">
        <f>+INDEX(Sheet1!$G$7:$G27,COLUMN()-COLUMN($B$69)+1)</f>
        <v>-20</v>
      </c>
      <c r="M47" s="36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+INDEX(Sheet1!$L$7:$L18,COLUMN()-COLUMN($B$69)+1)</f>
        <v>2047.5</v>
      </c>
      <c r="C71" s="36">
        <f>+INDEX(Sheet1!$L$7:$L18,COLUMN()-COLUMN($B$69)+1)</f>
        <v>2047.5</v>
      </c>
      <c r="D71" s="36">
        <f>+INDEX(Sheet1!$L$7:$L18,COLUMN()-COLUMN($B$69)+1)</f>
        <v>2047.5</v>
      </c>
      <c r="E71" s="36">
        <f>+INDEX(Sheet1!$L$7:$L18,COLUMN()-COLUMN($B$69)+1)</f>
        <v>2047.5</v>
      </c>
      <c r="F71" s="36">
        <f>+INDEX(Sheet1!$L$7:$L18,COLUMN()-COLUMN($B$69)+1)</f>
        <v>2047.5</v>
      </c>
      <c r="G71" s="36">
        <f>+INDEX(Sheet1!$L$7:$L18,COLUMN()-COLUMN($B$69)+1)</f>
        <v>2047.5</v>
      </c>
      <c r="H71" s="36">
        <f>+INDEX(Sheet1!$L$7:$L18,COLUMN()-COLUMN($B$69)+1)</f>
        <v>2047.5</v>
      </c>
      <c r="I71" s="36">
        <f>+INDEX(Sheet1!$L$7:$L18,COLUMN()-COLUMN($B$69)+1)</f>
        <v>2047.5</v>
      </c>
      <c r="J71" s="36">
        <f>+INDEX(Sheet1!$L$7:$L18,COLUMN()-COLUMN($B$69)+1)</f>
        <v>2047.5</v>
      </c>
      <c r="K71" s="36">
        <f>+INDEX(Sheet1!$L$7:$L18,COLUMN()-COLUMN($B$69)+1)</f>
        <v>2047.5</v>
      </c>
      <c r="L71" s="36">
        <f>+INDEX(Sheet1!$L$7:$L18,COLUMN()-COLUMN($B$69)+1)</f>
        <v>2047.5</v>
      </c>
      <c r="M71" s="36">
        <f>+INDEX(Sheet1!$L$7:$L18,COLUMN()-COLUMN($B$69)+1)</f>
        <v>2047.5</v>
      </c>
    </row>
    <row r="72" spans="1:13">
      <c r="A72" t="s">
        <v>141</v>
      </c>
      <c r="B72" s="36">
        <f>+INDEX(Sheet1!$M$7:$M19,COLUMN()-COLUMN($B$69)+1)</f>
        <v>10</v>
      </c>
      <c r="C72" s="36">
        <f>+INDEX(Sheet1!$M$7:$M19,COLUMN()-COLUMN($B$69)+1)</f>
        <v>10</v>
      </c>
      <c r="D72" s="36">
        <f>+INDEX(Sheet1!$M$7:$M19,COLUMN()-COLUMN($B$69)+1)</f>
        <v>10</v>
      </c>
      <c r="E72" s="36">
        <f>+INDEX(Sheet1!$M$7:$M19,COLUMN()-COLUMN($B$69)+1)</f>
        <v>10</v>
      </c>
      <c r="F72" s="36">
        <f>+INDEX(Sheet1!$M$7:$M19,COLUMN()-COLUMN($B$69)+1)</f>
        <v>10</v>
      </c>
      <c r="G72" s="36">
        <f>+INDEX(Sheet1!$M$7:$M19,COLUMN()-COLUMN($B$69)+1)</f>
        <v>10</v>
      </c>
      <c r="H72" s="36">
        <f>+INDEX(Sheet1!$M$7:$M19,COLUMN()-COLUMN($B$69)+1)</f>
        <v>10</v>
      </c>
      <c r="I72" s="36">
        <f>+INDEX(Sheet1!$M$7:$M19,COLUMN()-COLUMN($B$69)+1)</f>
        <v>10</v>
      </c>
      <c r="J72" s="36">
        <f>+INDEX(Sheet1!$M$7:$M19,COLUMN()-COLUMN($B$69)+1)</f>
        <v>10</v>
      </c>
      <c r="K72" s="36">
        <f>+INDEX(Sheet1!$M$7:$M19,COLUMN()-COLUMN($B$69)+1)</f>
        <v>10</v>
      </c>
      <c r="L72" s="36">
        <f>+INDEX(Sheet1!$M$7:$M19,COLUMN()-COLUMN($B$69)+1)</f>
        <v>10</v>
      </c>
      <c r="M72" s="36">
        <f>+INDEX(Sheet1!$M$7:$M19,COLUMN()-COLUMN($B$69)+1)</f>
        <v>10</v>
      </c>
    </row>
    <row r="73" spans="1:13">
      <c r="A73" t="s">
        <v>142</v>
      </c>
      <c r="B73" s="36">
        <f>+INDEX(Sheet1!$N$7:$N20,COLUMN()-COLUMN($B$69)+1)</f>
        <v>925.92499999999973</v>
      </c>
      <c r="C73" s="36">
        <f>+INDEX(Sheet1!$N$7:$N20,COLUMN()-COLUMN($B$69)+1)</f>
        <v>2057.7375000000002</v>
      </c>
      <c r="D73" s="36">
        <f>+INDEX(Sheet1!$N$7:$N20,COLUMN()-COLUMN($B$69)+1)</f>
        <v>3071.25</v>
      </c>
      <c r="E73" s="36">
        <f>+INDEX(Sheet1!$N$7:$N20,COLUMN()-COLUMN($B$69)+1)</f>
        <v>2664.0250000000001</v>
      </c>
      <c r="F73" s="36">
        <f>+INDEX(Sheet1!$N$7:$N20,COLUMN()-COLUMN($B$69)+1)</f>
        <v>2082.7624999999998</v>
      </c>
      <c r="G73" s="36">
        <f>+INDEX(Sheet1!$N$7:$N20,COLUMN()-COLUMN($B$69)+1)</f>
        <v>3769.6749999999997</v>
      </c>
      <c r="H73" s="36">
        <f>+INDEX(Sheet1!$N$7:$N20,COLUMN()-COLUMN($B$69)+1)</f>
        <v>1690.3250000000003</v>
      </c>
      <c r="I73" s="36">
        <f>+INDEX(Sheet1!$N$7:$N20,COLUMN()-COLUMN($B$69)+1)</f>
        <v>1689.1875</v>
      </c>
      <c r="J73" s="36">
        <f>+INDEX(Sheet1!$N$7:$N20,COLUMN()-COLUMN($B$69)+1)</f>
        <v>3264.625</v>
      </c>
      <c r="K73" s="36">
        <f>+INDEX(Sheet1!$N$7:$N20,COLUMN()-COLUMN($B$69)+1)</f>
        <v>95.550000000000068</v>
      </c>
      <c r="L73" s="36">
        <f>+INDEX(Sheet1!$N$7:$N20,COLUMN()-COLUMN($B$69)+1)</f>
        <v>3934.6124999999997</v>
      </c>
      <c r="M73" s="36">
        <f>+INDEX(Sheet1!$N$7:$N20,COLUMN()-COLUMN($B$69)+1)</f>
        <v>2949.5374999999999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6" zoomScale="75" zoomScaleNormal="75" workbookViewId="0">
      <selection activeCell="B66" sqref="B6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+INDEX(Sheet1!$K$37:$K$44,COLUMN()-COLUMN($B$69)+1)</f>
        <v>-11.375</v>
      </c>
      <c r="C38" s="36">
        <f>+INDEX(Sheet1!$K$37:$K$44,COLUMN()-COLUMN($B$69)+1)</f>
        <v>-11.375</v>
      </c>
      <c r="D38" s="36">
        <f>+INDEX(Sheet1!$K$37:$K$44,COLUMN()-COLUMN($B$69)+1)</f>
        <v>-19.462</v>
      </c>
      <c r="E38" s="36">
        <f>+INDEX(Sheet1!$K$37:$K$44,COLUMN()-COLUMN($B$69)+1)</f>
        <v>-11.375</v>
      </c>
      <c r="F38" s="36">
        <f>+INDEX(Sheet1!$K$37:$K$44,COLUMN()-COLUMN($B$69)+1)</f>
        <v>-706.67</v>
      </c>
      <c r="G38" s="36">
        <f>+INDEX(Sheet1!$K$37:$K$44,COLUMN()-COLUMN($B$69)+1)</f>
        <v>-978.46</v>
      </c>
      <c r="H38" s="36">
        <f>+INDEX(Sheet1!$K$37:$K$44,COLUMN()-COLUMN($B$69)+1)</f>
        <v>-978.46</v>
      </c>
      <c r="I38" s="36">
        <f>+INDEX(Sheet1!$K$37:$K$44,COLUMN()-COLUMN($B$69)+1)</f>
        <v>3.5833333333333335</v>
      </c>
    </row>
    <row r="39" spans="1:9">
      <c r="A39" t="s">
        <v>110</v>
      </c>
      <c r="B39" s="36">
        <f>+INDEX(Sheet1!$D$37:$D$44,COLUMN()-COLUMN($B$69)+1)</f>
        <v>-180</v>
      </c>
      <c r="C39" s="36">
        <f>+INDEX(Sheet1!$D$37:$D$44,COLUMN()-COLUMN($B$69)+1)</f>
        <v>-315</v>
      </c>
      <c r="D39" s="36">
        <f>+INDEX(Sheet1!$D$37:$D$44,COLUMN()-COLUMN($B$69)+1)</f>
        <v>-30.209819134724082</v>
      </c>
      <c r="E39" s="36">
        <f>+INDEX(Sheet1!$D$37:$D$44,COLUMN()-COLUMN($B$69)+1)</f>
        <v>-180</v>
      </c>
      <c r="F39" s="36">
        <f>+INDEX(Sheet1!$D$37:$D$44,COLUMN()-COLUMN($B$69)+1)</f>
        <v>90</v>
      </c>
      <c r="G39" s="36">
        <f>+INDEX(Sheet1!$D$37:$D$44,COLUMN()-COLUMN($B$69)+1)</f>
        <v>-20</v>
      </c>
      <c r="H39" s="36">
        <f>+INDEX(Sheet1!$D$37:$D$44,COLUMN()-COLUMN($B$69)+1)</f>
        <v>-52</v>
      </c>
      <c r="I39" s="36">
        <f>+INDEX(Sheet1!$D$37:$D$44,COLUMN()-COLUMN($B$69)+1)</f>
        <v>506.51162790697674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+INDEX(Sheet1!$H$37:$H$44,COLUMN()-COLUMN($B$69)+1)</f>
        <v>10</v>
      </c>
      <c r="C46" s="36">
        <f>+INDEX(Sheet1!$H$37:$H$44,COLUMN()-COLUMN($B$69)+1)</f>
        <v>160.80000000000001</v>
      </c>
      <c r="D46" s="36">
        <f>+INDEX(Sheet1!$H$37:$H$44,COLUMN()-COLUMN($B$69)+1)</f>
        <v>80</v>
      </c>
      <c r="E46" s="36">
        <f>+INDEX(Sheet1!$H$37:$H$44,COLUMN()-COLUMN($B$69)+1)</f>
        <v>106</v>
      </c>
      <c r="F46" s="36">
        <f>+INDEX(Sheet1!$H$37:$H$44,COLUMN()-COLUMN($B$69)+1)</f>
        <v>90</v>
      </c>
      <c r="G46" s="36">
        <f>+INDEX(Sheet1!$H$37:$H$44,COLUMN()-COLUMN($B$69)+1)</f>
        <v>0</v>
      </c>
      <c r="H46" s="36">
        <f>+INDEX(Sheet1!$H$37:$H$44,COLUMN()-COLUMN($B$69)+1)</f>
        <v>40</v>
      </c>
      <c r="I46" s="36">
        <f>+INDEX(Sheet1!$H$37:$H$44,COLUMN()-COLUMN($B$69)+1)</f>
        <v>60</v>
      </c>
    </row>
    <row r="47" spans="1:9">
      <c r="A47" t="s">
        <v>114</v>
      </c>
      <c r="B47" s="36">
        <f>+INDEX(Sheet1!$G$37:$G$44,COLUMN()-COLUMN($B$69)+1)</f>
        <v>-95.5</v>
      </c>
      <c r="C47" s="36">
        <f>+INDEX(Sheet1!$G$37:$G$44,COLUMN()-COLUMN($B$69)+1)</f>
        <v>0</v>
      </c>
      <c r="D47" s="36">
        <f>+INDEX(Sheet1!$G$37:$G$44,COLUMN()-COLUMN($B$69)+1)</f>
        <v>-37</v>
      </c>
      <c r="E47" s="36">
        <f>+INDEX(Sheet1!$G$37:$G$44,COLUMN()-COLUMN($B$69)+1)</f>
        <v>5.5</v>
      </c>
      <c r="F47" s="36">
        <f>+INDEX(Sheet1!$G$37:$G$44,COLUMN()-COLUMN($B$69)+1)</f>
        <v>-90</v>
      </c>
      <c r="G47" s="36">
        <f>+INDEX(Sheet1!$G$37:$G$44,COLUMN()-COLUMN($B$69)+1)</f>
        <v>-90</v>
      </c>
      <c r="H47" s="36">
        <f>+INDEX(Sheet1!$G$37:$G$44,COLUMN()-COLUMN($B$69)+1)</f>
        <v>-20</v>
      </c>
      <c r="I47" s="36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-200</v>
      </c>
      <c r="C62">
        <v>-200</v>
      </c>
      <c r="D62">
        <v>-1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+INDEX(Sheet1!$L$37:$L$44,COLUMN()-COLUMN($B$69)+1)</f>
        <v>2388</v>
      </c>
      <c r="C67" s="36">
        <f>+INDEX(Sheet1!$L$37:$L$44,COLUMN()-COLUMN($B$69)+1)</f>
        <v>3241</v>
      </c>
      <c r="D67" s="36">
        <f>+INDEX(Sheet1!$L$37:$L$44,COLUMN()-COLUMN($B$69)+1)</f>
        <v>587.94350000000009</v>
      </c>
      <c r="E67" s="36">
        <f>+INDEX(Sheet1!$L$37:$L$44,COLUMN()-COLUMN($B$69)+1)</f>
        <v>1532</v>
      </c>
      <c r="F67" s="36">
        <f>+INDEX(Sheet1!$L$37:$L$44,COLUMN()-COLUMN($B$69)+1)</f>
        <v>1000</v>
      </c>
      <c r="G67" s="36">
        <f>+INDEX(Sheet1!$L$37:$L$44,COLUMN()-COLUMN($B$69)+1)</f>
        <v>750</v>
      </c>
      <c r="H67" s="36">
        <f>+INDEX(Sheet1!$L$37:$L$44,COLUMN()-COLUMN($B$69)+1)</f>
        <v>750</v>
      </c>
      <c r="I67" s="36">
        <f>+INDEX(Sheet1!$L$37:$L$44,COLUMN()-COLUMN($B$69)+1)</f>
        <v>1815</v>
      </c>
    </row>
    <row r="68" spans="1:9">
      <c r="A68" t="s">
        <v>141</v>
      </c>
      <c r="B68" s="36">
        <f>+INDEX(Sheet1!$M$37:$M$44,COLUMN()-COLUMN($B$69)+1)</f>
        <v>10</v>
      </c>
      <c r="C68" s="36">
        <f>+INDEX(Sheet1!$M$37:$M$44,COLUMN()-COLUMN($B$69)+1)</f>
        <v>10</v>
      </c>
      <c r="D68" s="36">
        <f>+INDEX(Sheet1!$M$37:$M$44,COLUMN()-COLUMN($B$69)+1)</f>
        <v>10</v>
      </c>
      <c r="E68" s="36">
        <f>+INDEX(Sheet1!$M$37:$M$44,COLUMN()-COLUMN($B$69)+1)</f>
        <v>10</v>
      </c>
      <c r="F68" s="36">
        <f>+INDEX(Sheet1!$M$37:$M$44,COLUMN()-COLUMN($B$69)+1)</f>
        <v>20</v>
      </c>
      <c r="G68" s="36">
        <f>+INDEX(Sheet1!$M$37:$M$44,COLUMN()-COLUMN($B$69)+1)</f>
        <v>-10</v>
      </c>
      <c r="H68" s="36">
        <f>+INDEX(Sheet1!$M$37:$M$44,COLUMN()-COLUMN($B$69)+1)</f>
        <v>-10</v>
      </c>
      <c r="I68" s="36">
        <f>+INDEX(Sheet1!$M$37:$M$44,COLUMN()-COLUMN($B$69)+1)</f>
        <v>100</v>
      </c>
    </row>
    <row r="69" spans="1:9">
      <c r="A69" t="s">
        <v>142</v>
      </c>
      <c r="B69" s="36">
        <f>+INDEX(Sheet1!$N$37:$N$44,COLUMN()-COLUMN($B$69)+1)</f>
        <v>3312.4</v>
      </c>
      <c r="C69" s="36">
        <f>+INDEX(Sheet1!$N$37:$N$44,COLUMN()-COLUMN($B$69)+1)</f>
        <v>1727.8625</v>
      </c>
      <c r="D69" s="36">
        <f>+INDEX(Sheet1!$N$37:$N$44,COLUMN()-COLUMN($B$69)+1)</f>
        <v>548.46400000000028</v>
      </c>
      <c r="E69" s="36">
        <f>+INDEX(Sheet1!$N$37:$N$44,COLUMN()-COLUMN($B$69)+1)</f>
        <v>3182.7249999999999</v>
      </c>
      <c r="F69" s="36">
        <f>+INDEX(Sheet1!$N$37:$N$44,COLUMN()-COLUMN($B$69)+1)</f>
        <v>0</v>
      </c>
      <c r="G69" s="36">
        <f>+INDEX(Sheet1!$N$37:$N$44,COLUMN()-COLUMN($B$69)+1)</f>
        <v>0</v>
      </c>
      <c r="H69" s="36">
        <f>+INDEX(Sheet1!$N$37:$N$44,COLUMN()-COLUMN($B$69)+1)</f>
        <v>0</v>
      </c>
      <c r="I69" s="36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0" zoomScaleNormal="100" workbookViewId="0">
      <selection activeCell="B67" sqref="B6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+INDEX(Sheet1!$K$48:$K$56,COLUMN()-COLUMN($B$71)+1)</f>
        <v>23.4</v>
      </c>
      <c r="C37" s="154">
        <f>+INDEX(Sheet1!$K$48:$K$56,COLUMN()-COLUMN($B$71)+1)</f>
        <v>-1.9666666666666666</v>
      </c>
      <c r="D37" s="154">
        <f>+INDEX(Sheet1!$K$48:$K$56,COLUMN()-COLUMN($B$71)+1)</f>
        <v>-2.2944444444444443</v>
      </c>
      <c r="E37" s="154">
        <f>+INDEX(Sheet1!$K$48:$K$56,COLUMN()-COLUMN($B$71)+1)</f>
        <v>-2.2555555555555555</v>
      </c>
      <c r="F37" s="154">
        <f>+INDEX(Sheet1!$K$48:$K$56,COLUMN()-COLUMN($B$71)+1)</f>
        <v>-2.3111111111111109</v>
      </c>
      <c r="G37" s="154">
        <f>+INDEX(Sheet1!$K$48:$K$56,COLUMN()-COLUMN($B$71)+1)</f>
        <v>-2.3666666666666667</v>
      </c>
      <c r="H37" s="154">
        <f>+INDEX(Sheet1!$K$48:$K$56,COLUMN()-COLUMN($B$71)+1)</f>
        <v>-2.3444444444444446</v>
      </c>
      <c r="I37" s="154">
        <f>+INDEX(Sheet1!$K$48:$K$56,COLUMN()-COLUMN($B$71)+1)</f>
        <v>-1.962962962962963</v>
      </c>
    </row>
    <row r="38" spans="1:9">
      <c r="A38" t="s">
        <v>110</v>
      </c>
      <c r="B38" s="154">
        <f>+INDEX(Sheet1!$D$48:$D$56,COLUMN()-COLUMN($B$71)+1)</f>
        <v>37.777777777777779</v>
      </c>
      <c r="C38" s="154">
        <f>+INDEX(Sheet1!$D$48:$D$56,COLUMN()-COLUMN($B$71)+1)</f>
        <v>-110.33898305084746</v>
      </c>
      <c r="D38" s="154">
        <f>+INDEX(Sheet1!$D$48:$D$56,COLUMN()-COLUMN($B$71)+1)</f>
        <v>-184.35835351089591</v>
      </c>
      <c r="E38" s="154">
        <f>+INDEX(Sheet1!$D$48:$D$56,COLUMN()-COLUMN($B$71)+1)</f>
        <v>-94.433497536945808</v>
      </c>
      <c r="F38" s="154">
        <f>+INDEX(Sheet1!$D$48:$D$56,COLUMN()-COLUMN($B$71)+1)</f>
        <v>-186.92307692307693</v>
      </c>
      <c r="G38" s="154">
        <f>+INDEX(Sheet1!$D$48:$D$56,COLUMN()-COLUMN($B$71)+1)</f>
        <v>-98.450704225352112</v>
      </c>
      <c r="H38" s="154">
        <f>+INDEX(Sheet1!$D$48:$D$56,COLUMN()-COLUMN($B$71)+1)</f>
        <v>-184.26540284360189</v>
      </c>
      <c r="I38" s="154">
        <f>+INDEX(Sheet1!$D$48:$D$56,COLUMN()-COLUMN($B$71)+1)</f>
        <v>-320.94339622641508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+INDEX(Sheet1!$H$48:$H$77,COLUMN()-COLUMN($B$71)+1)</f>
        <v>90</v>
      </c>
      <c r="C48" s="36">
        <f>+INDEX(Sheet1!$H$48:$H$77,COLUMN()-COLUMN($B$71)+1)</f>
        <v>90</v>
      </c>
      <c r="D48" s="36">
        <f>+INDEX(Sheet1!$H$48:$H$77,COLUMN()-COLUMN($B$71)+1)</f>
        <v>180</v>
      </c>
      <c r="E48" s="36">
        <f>+INDEX(Sheet1!$H$48:$H$77,COLUMN()-COLUMN($B$71)+1)</f>
        <v>90</v>
      </c>
      <c r="F48" s="36">
        <f>+INDEX(Sheet1!$H$48:$H$77,COLUMN()-COLUMN($B$71)+1)</f>
        <v>180</v>
      </c>
      <c r="G48" s="36">
        <f>+INDEX(Sheet1!$H$48:$H$77,COLUMN()-COLUMN($B$71)+1)</f>
        <v>90</v>
      </c>
      <c r="H48" s="36">
        <f>+INDEX(Sheet1!$H$48:$H$77,COLUMN()-COLUMN($B$71)+1)</f>
        <v>180</v>
      </c>
      <c r="I48" s="36">
        <f>+INDEX(Sheet1!$H$48:$H$77,COLUMN()-COLUMN($B$71)+1)</f>
        <v>270</v>
      </c>
    </row>
    <row r="49" spans="1:9">
      <c r="A49" t="s">
        <v>164</v>
      </c>
      <c r="B49" s="36">
        <f>+INDEX(Sheet1!$G$70:$G$77,COLUMN()-COLUMN($B$71)+1)</f>
        <v>-10</v>
      </c>
      <c r="C49" s="36">
        <f>+INDEX(Sheet1!$G$70:$G$77,COLUMN()-COLUMN($B$71)+1)</f>
        <v>0</v>
      </c>
      <c r="D49" s="36">
        <f>+INDEX(Sheet1!$G$70:$G$77,COLUMN()-COLUMN($B$71)+1)</f>
        <v>0</v>
      </c>
      <c r="E49" s="36">
        <f>+INDEX(Sheet1!$G$70:$G$77,COLUMN()-COLUMN($B$71)+1)</f>
        <v>0</v>
      </c>
      <c r="F49" s="36">
        <f>+INDEX(Sheet1!$G$70:$G$77,COLUMN()-COLUMN($B$71)+1)</f>
        <v>0</v>
      </c>
      <c r="G49" s="36">
        <f>+INDEX(Sheet1!$G$70:$G$77,COLUMN()-COLUMN($B$71)+1)</f>
        <v>0</v>
      </c>
      <c r="H49" s="36">
        <f>+INDEX(Sheet1!$G$70:$G$77,COLUMN()-COLUMN($B$71)+1)</f>
        <v>0</v>
      </c>
      <c r="I49" s="36">
        <f>+INDEX(Sheet1!$G$70:$G$77,COLUMN()-COLUMN($B$71)+1)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+INDEX(Sheet1!$L$48:$L$56,COLUMN()-COLUMN($B$69)+1)</f>
        <v>884</v>
      </c>
      <c r="C68" s="36">
        <f>+INDEX(Sheet1!$L$48:$L$56,COLUMN()-COLUMN($B$69)+1)</f>
        <v>217</v>
      </c>
      <c r="D68" s="36">
        <f>+INDEX(Sheet1!$L$48:$L$56,COLUMN()-COLUMN($B$69)+1)</f>
        <v>10</v>
      </c>
      <c r="E68" s="36">
        <f>+INDEX(Sheet1!$L$48:$L$56,COLUMN()-COLUMN($B$69)+1)</f>
        <v>213</v>
      </c>
      <c r="F68" s="36">
        <f>+INDEX(Sheet1!$L$48:$L$56,COLUMN()-COLUMN($B$69)+1)</f>
        <v>16</v>
      </c>
      <c r="G68" s="36">
        <f>+INDEX(Sheet1!$L$48:$L$56,COLUMN()-COLUMN($B$69)+1)</f>
        <v>233</v>
      </c>
      <c r="H68" s="36">
        <f>+INDEX(Sheet1!$L$48:$L$56,COLUMN()-COLUMN($B$69)+1)</f>
        <v>10</v>
      </c>
      <c r="I68" s="36">
        <f>+INDEX(Sheet1!$L$48:$L$56,COLUMN()-COLUMN($B$69)+1)</f>
        <v>100</v>
      </c>
    </row>
    <row r="69" spans="1:9">
      <c r="A69" t="s">
        <v>141</v>
      </c>
      <c r="B69" s="36">
        <f>+INDEX(Sheet1!$M$48:$M$56,COLUMN()-COLUMN($B$69)+1)</f>
        <v>10</v>
      </c>
      <c r="C69" s="36">
        <f>+INDEX(Sheet1!$M$48:$M$56,COLUMN()-COLUMN($B$69)+1)</f>
        <v>10</v>
      </c>
      <c r="D69" s="36">
        <f>+INDEX(Sheet1!$M$48:$M$56,COLUMN()-COLUMN($B$69)+1)</f>
        <v>10</v>
      </c>
      <c r="E69" s="36">
        <f>+INDEX(Sheet1!$M$48:$M$56,COLUMN()-COLUMN($B$69)+1)</f>
        <v>10</v>
      </c>
      <c r="F69" s="36">
        <f>+INDEX(Sheet1!$M$48:$M$56,COLUMN()-COLUMN($B$69)+1)</f>
        <v>10</v>
      </c>
      <c r="G69" s="36">
        <f>+INDEX(Sheet1!$M$48:$M$56,COLUMN()-COLUMN($B$69)+1)</f>
        <v>10</v>
      </c>
      <c r="H69" s="36">
        <f>+INDEX(Sheet1!$M$48:$M$56,COLUMN()-COLUMN($B$69)+1)</f>
        <v>10</v>
      </c>
      <c r="I69" s="36">
        <f>+INDEX(Sheet1!$M$48:$M$56,COLUMN()-COLUMN($B$69)+1)</f>
        <v>10</v>
      </c>
    </row>
    <row r="70" spans="1:9">
      <c r="A70" t="s">
        <v>142</v>
      </c>
      <c r="B70" s="36">
        <f>+INDEX(Sheet1!$N$48:$N$56,COLUMN()-COLUMN($B$69)+1)</f>
        <v>0</v>
      </c>
      <c r="C70" s="36">
        <f>+INDEX(Sheet1!$N$48:$N$56,COLUMN()-COLUMN($B$69)+1)</f>
        <v>6000</v>
      </c>
      <c r="D70" s="36">
        <f>+INDEX(Sheet1!$N$48:$N$56,COLUMN()-COLUMN($B$69)+1)</f>
        <v>6500</v>
      </c>
      <c r="E70" s="36">
        <f>+INDEX(Sheet1!$N$48:$N$56,COLUMN()-COLUMN($B$69)+1)</f>
        <v>6000</v>
      </c>
      <c r="F70" s="36">
        <f>+INDEX(Sheet1!$N$48:$N$56,COLUMN()-COLUMN($B$69)+1)</f>
        <v>6500</v>
      </c>
      <c r="G70" s="36">
        <f>+INDEX(Sheet1!$N$48:$N$56,COLUMN()-COLUMN($B$69)+1)</f>
        <v>6000</v>
      </c>
      <c r="H70" s="36">
        <f>+INDEX(Sheet1!$N$48:$N$56,COLUMN()-COLUMN($B$69)+1)</f>
        <v>-6500</v>
      </c>
      <c r="I70" s="36">
        <f>+INDEX(Sheet1!$N$48:$N$56,COLUMN()-COLUMN($B$69)+1)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3" zoomScale="75" zoomScaleNormal="75" workbookViewId="0">
      <selection activeCell="B65" sqref="B65:B68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+INDEX(Sheet1!$K$59:$K$67,COLUMN()-COLUMN($B$69)+1)</f>
        <v>11.375</v>
      </c>
      <c r="C37" s="36">
        <f>+INDEX(Sheet1!$K$59:$K$67,COLUMN()-COLUMN($B$69)+1)</f>
        <v>11.375</v>
      </c>
      <c r="D37" s="36">
        <f>+INDEX(Sheet1!$K$59:$K$67,COLUMN()-COLUMN($B$69)+1)</f>
        <v>19.462</v>
      </c>
      <c r="E37" s="36">
        <f>+INDEX(Sheet1!$K$59:$K$67,COLUMN()-COLUMN($B$69)+1)</f>
        <v>11.375</v>
      </c>
      <c r="F37" s="36">
        <f>+INDEX(Sheet1!$K$59:$K$67,COLUMN()-COLUMN($B$69)+1)</f>
        <v>706.67</v>
      </c>
      <c r="G37" s="36">
        <f>+INDEX(Sheet1!$K$59:$K$67,COLUMN()-COLUMN($B$69)+1)</f>
        <v>978.46</v>
      </c>
      <c r="H37" s="36">
        <f>+INDEX(Sheet1!$K$59:$K$67,COLUMN()-COLUMN($B$69)+1)</f>
        <v>978.46</v>
      </c>
      <c r="I37" s="36">
        <f>+INDEX(Sheet1!$K$59:$K$67,COLUMN()-COLUMN($B$69)+1)</f>
        <v>4.166666666666667</v>
      </c>
    </row>
    <row r="38" spans="1:9">
      <c r="A38" t="s">
        <v>110</v>
      </c>
      <c r="B38" s="36">
        <f>+INDEX(Sheet1!$D$59:$D$66,COLUMN()-COLUMN($B$69)+1)</f>
        <v>180</v>
      </c>
      <c r="C38" s="36">
        <f>+INDEX(Sheet1!$D$59:$D$66,COLUMN()-COLUMN($B$69)+1)</f>
        <v>45</v>
      </c>
      <c r="D38" s="36">
        <f>+INDEX(Sheet1!$D$59:$D$66,COLUMN()-COLUMN($B$69)+1)</f>
        <v>180.14882848628093</v>
      </c>
      <c r="E38" s="36">
        <f>+INDEX(Sheet1!$D$59:$D$66,COLUMN()-COLUMN($B$69)+1)</f>
        <v>180</v>
      </c>
      <c r="F38" s="36">
        <f>+INDEX(Sheet1!$D$59:$D$66,COLUMN()-COLUMN($B$69)+1)</f>
        <v>90</v>
      </c>
      <c r="G38" s="36">
        <f>+INDEX(Sheet1!$D$59:$D$66,COLUMN()-COLUMN($B$69)+1)</f>
        <v>-20</v>
      </c>
      <c r="H38" s="36">
        <f>+INDEX(Sheet1!$D$59:$D$66,COLUMN()-COLUMN($B$69)+1)</f>
        <v>-52</v>
      </c>
      <c r="I38" s="36">
        <f>+INDEX(Sheet1!$D$59:$D$66,COLUMN()-COLUMN($B$69)+1)</f>
        <v>384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+INDEX(Sheet1!$H$59:$H$67,COLUMN()-COLUMN($B$69)+1)</f>
        <v>10</v>
      </c>
      <c r="C45" s="36">
        <f>+INDEX(Sheet1!$H$59:$H$67,COLUMN()-COLUMN($B$69)+1)</f>
        <v>160.80000000000001</v>
      </c>
      <c r="D45" s="36">
        <f>+INDEX(Sheet1!$H$59:$H$67,COLUMN()-COLUMN($B$69)+1)</f>
        <v>80</v>
      </c>
      <c r="E45" s="36">
        <f>+INDEX(Sheet1!$H$59:$H$67,COLUMN()-COLUMN($B$69)+1)</f>
        <v>106</v>
      </c>
      <c r="F45" s="36">
        <f>+INDEX(Sheet1!$H$59:$H$67,COLUMN()-COLUMN($B$69)+1)</f>
        <v>90</v>
      </c>
      <c r="G45" s="36">
        <f>+INDEX(Sheet1!$H$59:$H$67,COLUMN()-COLUMN($B$69)+1)</f>
        <v>0</v>
      </c>
      <c r="H45" s="36">
        <f>+INDEX(Sheet1!$H$59:$H$67,COLUMN()-COLUMN($B$69)+1)</f>
        <v>40</v>
      </c>
      <c r="I45" s="36">
        <f>+INDEX(Sheet1!$H$59:$H$67,COLUMN()-COLUMN($B$69)+1)</f>
        <v>60</v>
      </c>
    </row>
    <row r="46" spans="1:9">
      <c r="A46" t="s">
        <v>114</v>
      </c>
      <c r="B46" s="36">
        <f>+INDEX(Sheet1!$G$59:$G$66,COLUMN()-COLUMN($B$69)+1)</f>
        <v>-95.5</v>
      </c>
      <c r="C46" s="36">
        <f>+INDEX(Sheet1!$G$59:$G$66,COLUMN()-COLUMN($B$69)+1)</f>
        <v>0</v>
      </c>
      <c r="D46" s="36">
        <f>+INDEX(Sheet1!$G$59:$G$66,COLUMN()-COLUMN($B$69)+1)</f>
        <v>-37</v>
      </c>
      <c r="E46" s="36">
        <f>+INDEX(Sheet1!$G$59:$G$66,COLUMN()-COLUMN($B$69)+1)</f>
        <v>5.5</v>
      </c>
      <c r="F46" s="36">
        <f>+INDEX(Sheet1!$G$59:$G$66,COLUMN()-COLUMN($B$69)+1)</f>
        <v>-90</v>
      </c>
      <c r="G46" s="36">
        <f>+INDEX(Sheet1!$G$59:$G$66,COLUMN()-COLUMN($B$69)+1)</f>
        <v>-90</v>
      </c>
      <c r="H46" s="36">
        <f>+INDEX(Sheet1!$G$59:$G$66,COLUMN()-COLUMN($B$69)+1)</f>
        <v>-20</v>
      </c>
      <c r="I46" s="36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+INDEX(Sheet1!$L$59:$L$66,COLUMN()-COLUMN($B$69)+1)</f>
        <v>1706</v>
      </c>
      <c r="C66" s="36">
        <f>+INDEX(Sheet1!$L$59:$L$66,COLUMN()-COLUMN($B$69)+1)</f>
        <v>853</v>
      </c>
      <c r="D66" s="36">
        <f>+INDEX(Sheet1!$L$59:$L$66,COLUMN()-COLUMN($B$69)+1)</f>
        <v>3506.0564999999997</v>
      </c>
      <c r="E66" s="36">
        <f>+INDEX(Sheet1!$L$59:$L$66,COLUMN()-COLUMN($B$69)+1)</f>
        <v>2558</v>
      </c>
      <c r="F66">
        <v>1000</v>
      </c>
      <c r="G66" s="36">
        <f>+INDEX(Sheet1!$L$59:$L$66,COLUMN()-COLUMN($B$69)+1)</f>
        <v>750</v>
      </c>
      <c r="H66" s="36">
        <f>+INDEX(Sheet1!$L$59:$L$66,COLUMN()-COLUMN($B$69)+1)</f>
        <v>750</v>
      </c>
      <c r="I66" s="36">
        <f>+INDEX(Sheet1!$L$59:$L$66,COLUMN()-COLUMN($B$69)+1)</f>
        <v>1600</v>
      </c>
    </row>
    <row r="67" spans="1:9">
      <c r="A67" t="s">
        <v>141</v>
      </c>
      <c r="B67" s="36">
        <f>+INDEX(Sheet1!$M$59:$M$66,COLUMN()-COLUMN($B$69)+1)</f>
        <v>10</v>
      </c>
      <c r="C67" s="36">
        <f>+INDEX(Sheet1!$M$59:$M$66,COLUMN()-COLUMN($B$69)+1)</f>
        <v>10</v>
      </c>
      <c r="D67" s="36">
        <f>+INDEX(Sheet1!$M$59:$M$66,COLUMN()-COLUMN($B$69)+1)</f>
        <v>10</v>
      </c>
      <c r="E67" s="36">
        <f>+INDEX(Sheet1!$M$59:$M$66,COLUMN()-COLUMN($B$69)+1)</f>
        <v>10</v>
      </c>
      <c r="F67" s="36">
        <f>+INDEX(Sheet1!$M$59:$M$66,COLUMN()-COLUMN($B$69)+1)</f>
        <v>-20</v>
      </c>
      <c r="G67" s="36">
        <f>+INDEX(Sheet1!$M$59:$M$66,COLUMN()-COLUMN($B$69)+1)</f>
        <v>10</v>
      </c>
      <c r="H67" s="36">
        <f>+INDEX(Sheet1!$M$59:$M$66,COLUMN()-COLUMN($B$69)+1)</f>
        <v>10</v>
      </c>
      <c r="I67" s="36">
        <f>+INDEX(Sheet1!$M$59:$M$66,COLUMN()-COLUMN($B$69)+1)</f>
        <v>100</v>
      </c>
    </row>
    <row r="68" spans="1:9">
      <c r="A68" t="s">
        <v>142</v>
      </c>
      <c r="B68" s="36">
        <f>+INDEX(Sheet1!$N$59:$N$66,COLUMN()-COLUMN($B$69)+1)</f>
        <v>2053.1875</v>
      </c>
      <c r="C68" s="36">
        <f>+INDEX(Sheet1!$N$59:$N$66,COLUMN()-COLUMN($B$69)+1)</f>
        <v>591.5</v>
      </c>
      <c r="D68" s="36">
        <f>+INDEX(Sheet1!$N$59:$N$66,COLUMN()-COLUMN($B$69)+1)</f>
        <v>1926.2319999999997</v>
      </c>
      <c r="E68" s="36">
        <f>+INDEX(Sheet1!$N$59:$N$66,COLUMN()-COLUMN($B$69)+1)</f>
        <v>2467.2375000000002</v>
      </c>
      <c r="F68" s="36">
        <f>+INDEX(Sheet1!$N$59:$N$66,COLUMN()-COLUMN($B$69)+1)</f>
        <v>0</v>
      </c>
      <c r="G68" s="36">
        <f>+INDEX(Sheet1!$N$59:$N$66,COLUMN()-COLUMN($B$69)+1)</f>
        <v>0</v>
      </c>
      <c r="H68" s="36">
        <f>+INDEX(Sheet1!$N$59:$N$66,COLUMN()-COLUMN($B$69)+1)</f>
        <v>0</v>
      </c>
      <c r="I68" s="36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40" zoomScale="75" zoomScaleNormal="75" workbookViewId="0">
      <selection activeCell="B70" sqref="B7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+INDEX(Sheet1!$K$70:$K$77,COLUMN()-COLUMN($B$71)+1)</f>
        <v>28.42</v>
      </c>
      <c r="C40" s="154">
        <f>+INDEX(Sheet1!$K$70:$K$77,COLUMN()-COLUMN($B$71)+1)</f>
        <v>-2.1222222222222222</v>
      </c>
      <c r="D40" s="154">
        <f>+INDEX(Sheet1!$K$70:$K$77,COLUMN()-COLUMN($B$71)+1)</f>
        <v>-2.2777777777777777</v>
      </c>
      <c r="E40" s="154">
        <f>+INDEX(Sheet1!$K$70:$K$77,COLUMN()-COLUMN($B$71)+1)</f>
        <v>-2.2333333333333334</v>
      </c>
      <c r="F40" s="154">
        <f>+INDEX(Sheet1!$K$70:$K$77,COLUMN()-COLUMN($B$71)+1)</f>
        <v>-2.7333333333333334</v>
      </c>
      <c r="G40" s="154">
        <f>+INDEX(Sheet1!$K$70:$K$77,COLUMN()-COLUMN($B$71)+1)</f>
        <v>-1.7444444444444445</v>
      </c>
      <c r="H40" s="154">
        <f>+INDEX(Sheet1!$K$70:$K$77,COLUMN()-COLUMN($B$71)+1)</f>
        <v>-2.7111111111111112</v>
      </c>
      <c r="I40" s="154">
        <f>+INDEX(Sheet1!$K$70:$K$77,COLUMN()-COLUMN($B$71)+1)</f>
        <v>-2.2592592592592591</v>
      </c>
    </row>
    <row r="41" spans="1:9">
      <c r="A41" t="s">
        <v>110</v>
      </c>
      <c r="B41" s="154">
        <f>+INDEX(Sheet1!$D$70:$D$77,COLUMN()-COLUMN($B$71)+1)</f>
        <v>19.781843771991554</v>
      </c>
      <c r="C41" s="154">
        <f>+INDEX(Sheet1!$D$70:$D$77,COLUMN()-COLUMN($B$71)+1)</f>
        <v>-118.27225130890052</v>
      </c>
      <c r="D41" s="154">
        <f>+INDEX(Sheet1!$D$70:$D$77,COLUMN()-COLUMN($B$71)+1)</f>
        <v>-223.90243902439025</v>
      </c>
      <c r="E41" s="154">
        <f>+INDEX(Sheet1!$D$70:$D$77,COLUMN()-COLUMN($B$71)+1)</f>
        <v>-112.38805970149254</v>
      </c>
      <c r="F41" s="154">
        <f>+INDEX(Sheet1!$D$70:$D$77,COLUMN()-COLUMN($B$71)+1)</f>
        <v>-184.39024390243901</v>
      </c>
      <c r="G41" s="154">
        <f>+INDEX(Sheet1!$D$70:$D$77,COLUMN()-COLUMN($B$71)+1)</f>
        <v>-140.44585987261146</v>
      </c>
      <c r="H41" s="154">
        <f>+INDEX(Sheet1!$D$70:$D$77,COLUMN()-COLUMN($B$71)+1)</f>
        <v>-187.37704918032787</v>
      </c>
      <c r="I41" s="154">
        <f>+INDEX(Sheet1!$D$70:$D$77,COLUMN()-COLUMN($B$71)+1)</f>
        <v>-336.39344262295083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 s="36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 s="36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+INDEX(Sheet1!$L$70:$L$77,COLUMN()-COLUMN($B$69)+1)</f>
        <v>562.19999999999993</v>
      </c>
      <c r="C71" s="36">
        <f>+INDEX(Sheet1!$L$70:$L$77,COLUMN()-COLUMN($B$69)+1)</f>
        <v>251</v>
      </c>
      <c r="D71" s="36">
        <f>+INDEX(Sheet1!$L$70:$L$77,COLUMN()-COLUMN($B$69)+1)</f>
        <v>100</v>
      </c>
      <c r="E71" s="36">
        <f>+INDEX(Sheet1!$L$70:$L$77,COLUMN()-COLUMN($B$69)+1)</f>
        <v>251</v>
      </c>
      <c r="F71" s="36">
        <f>+INDEX(Sheet1!$L$70:$L$77,COLUMN()-COLUMN($B$69)+1)</f>
        <v>12</v>
      </c>
      <c r="G71" s="36">
        <f>+INDEX(Sheet1!$L$70:$L$77,COLUMN()-COLUMN($B$69)+1)</f>
        <v>245</v>
      </c>
      <c r="H71" s="36">
        <f>+INDEX(Sheet1!$L$70:$L$77,COLUMN()-COLUMN($B$69)+1)</f>
        <v>20</v>
      </c>
      <c r="I71" s="36">
        <f>+INDEX(Sheet1!$L$70:$L$77,COLUMN()-COLUMN($B$69)+1)</f>
        <v>150</v>
      </c>
    </row>
    <row r="72" spans="1:9">
      <c r="A72" t="s">
        <v>141</v>
      </c>
      <c r="B72" s="36">
        <f>+INDEX(Sheet1!$M$70:$M$77,COLUMN()-COLUMN($B$69)+1)</f>
        <v>10</v>
      </c>
      <c r="C72" s="36">
        <f>+INDEX(Sheet1!$M$70:$M$77,COLUMN()-COLUMN($B$69)+1)</f>
        <v>10</v>
      </c>
      <c r="D72" s="36">
        <f>+INDEX(Sheet1!$M$70:$M$77,COLUMN()-COLUMN($B$69)+1)</f>
        <v>10</v>
      </c>
      <c r="E72" s="36">
        <f>+INDEX(Sheet1!$M$70:$M$77,COLUMN()-COLUMN($B$69)+1)</f>
        <v>10</v>
      </c>
      <c r="F72" s="36">
        <f>+INDEX(Sheet1!$M$70:$M$77,COLUMN()-COLUMN($B$69)+1)</f>
        <v>10</v>
      </c>
      <c r="G72" s="36">
        <f>+INDEX(Sheet1!$M$70:$M$77,COLUMN()-COLUMN($B$69)+1)</f>
        <v>10</v>
      </c>
      <c r="H72" s="36">
        <f>+INDEX(Sheet1!$M$70:$M$77,COLUMN()-COLUMN($B$69)+1)</f>
        <v>10</v>
      </c>
      <c r="I72" s="36">
        <f>+INDEX(Sheet1!$M$70:$M$77,COLUMN()-COLUMN($B$69)+1)</f>
        <v>10</v>
      </c>
    </row>
    <row r="73" spans="1:9">
      <c r="A73" t="s">
        <v>142</v>
      </c>
      <c r="B73" s="36">
        <f>+INDEX(Sheet1!$N$70:$N$77,COLUMN()-COLUMN($B$69)+1)</f>
        <v>0</v>
      </c>
      <c r="C73" s="36">
        <f>+INDEX(Sheet1!$N$70:$N$77,COLUMN()-COLUMN($B$69)+1)</f>
        <v>6000</v>
      </c>
      <c r="D73" s="36">
        <f>+INDEX(Sheet1!$N$70:$N$77,COLUMN()-COLUMN($B$69)+1)</f>
        <v>6600</v>
      </c>
      <c r="E73" s="36">
        <f>+INDEX(Sheet1!$N$70:$N$77,COLUMN()-COLUMN($B$69)+1)</f>
        <v>6000</v>
      </c>
      <c r="F73" s="36">
        <f>+INDEX(Sheet1!$N$70:$N$77,COLUMN()-COLUMN($B$69)+1)</f>
        <v>-6600</v>
      </c>
      <c r="G73" s="36">
        <f>+INDEX(Sheet1!$N$70:$N$77,COLUMN()-COLUMN($B$69)+1)</f>
        <v>6000</v>
      </c>
      <c r="H73" s="36">
        <f>+INDEX(Sheet1!$N$70:$N$77,COLUMN()-COLUMN($B$69)+1)</f>
        <v>6600</v>
      </c>
      <c r="I73" s="36">
        <f>+INDEX(Sheet1!$N$70:$N$77,COLUMN()-COLUMN($B$69)+1)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zoomScaleNormal="100" workbookViewId="0">
      <selection activeCell="L80" sqref="L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+INDEX(Sheet1!$K$24:$K$34,COLUMN()-COLUMN($B$59)+1)</f>
        <v>-1951.29</v>
      </c>
      <c r="C37" s="36">
        <f>+INDEX(Sheet1!$K$24:$K$34,COLUMN()-COLUMN($B$59)+1)</f>
        <v>-1951.29</v>
      </c>
      <c r="D37" s="36">
        <f>+INDEX(Sheet1!$K$24:$K$34,COLUMN()-COLUMN($B$59)+1)</f>
        <v>-1399.46</v>
      </c>
      <c r="E37" s="36">
        <f>+INDEX(Sheet1!$K$24:$K$34,COLUMN()-COLUMN($B$59)+1)</f>
        <v>-1093.33</v>
      </c>
      <c r="F37" s="36">
        <f>+INDEX(Sheet1!$K$24:$K$34,COLUMN()-COLUMN($B$59)+1)</f>
        <v>-586.66</v>
      </c>
      <c r="G37" s="36">
        <f>+INDEX(Sheet1!$K$24:$K$34,COLUMN()-COLUMN($B$59)+1)</f>
        <v>293.33</v>
      </c>
      <c r="H37" s="36">
        <f>+INDEX(Sheet1!$K$24:$K$34,COLUMN()-COLUMN($B$59)+1)</f>
        <v>11.375</v>
      </c>
      <c r="I37" s="36">
        <f>+INDEX(Sheet1!$K$24:$K$34,COLUMN()-COLUMN($B$59)+1)</f>
        <v>11.375</v>
      </c>
      <c r="J37" s="36">
        <f>+INDEX(Sheet1!$K$24:$K$34,COLUMN()-COLUMN($B$59)+1)</f>
        <v>11.375</v>
      </c>
      <c r="K37" s="36">
        <f>+INDEX(Sheet1!$K$24:$K$34,COLUMN()-COLUMN($B$59)+1)</f>
        <v>0</v>
      </c>
    </row>
    <row r="38" spans="1:11">
      <c r="A38" t="s">
        <v>110</v>
      </c>
      <c r="B38" s="36">
        <f>+INDEX(Sheet1!$D$24:$D$34,COLUMN()-COLUMN($B$59)+1)</f>
        <v>40</v>
      </c>
      <c r="C38" s="36">
        <v>48</v>
      </c>
      <c r="D38" s="36">
        <f>+INDEX(Sheet1!$D$24:$D$34,COLUMN()-COLUMN($B$59)+1)</f>
        <v>55.45</v>
      </c>
      <c r="E38" s="36">
        <f>+INDEX(Sheet1!$D$24:$D$34,COLUMN()-COLUMN($B$59)+1)</f>
        <v>-38.4</v>
      </c>
      <c r="F38" s="36">
        <f>+INDEX(Sheet1!$D$24:$D$34,COLUMN()-COLUMN($B$59)+1)</f>
        <v>47.35</v>
      </c>
      <c r="G38" s="36">
        <f>+INDEX(Sheet1!$D$24:$D$34,COLUMN()-COLUMN($B$59)+1)</f>
        <v>8.9600000000000009</v>
      </c>
      <c r="H38" s="36">
        <f>+INDEX(Sheet1!$D$24:$D$34,COLUMN()-COLUMN($B$59)+1)</f>
        <v>180</v>
      </c>
      <c r="I38" s="36">
        <f>+INDEX(Sheet1!$D$24:$D$34,COLUMN()-COLUMN($B$59)+1)</f>
        <v>180</v>
      </c>
      <c r="J38" s="36">
        <f>+INDEX(Sheet1!$D$24:$D$34,COLUMN()-COLUMN($B$59)+1)</f>
        <v>180</v>
      </c>
      <c r="K38" s="36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+INDEX(Sheet1!$H$24:$H$34,COLUMN()-COLUMN($B$59)+1)</f>
        <v>24</v>
      </c>
      <c r="C47" s="36">
        <f>+INDEX(Sheet1!$H$24:$H$34,COLUMN()-COLUMN($B$59)+1)</f>
        <v>47</v>
      </c>
      <c r="D47" s="36">
        <f>+INDEX(Sheet1!$H$24:$H$34,COLUMN()-COLUMN($B$59)+1)</f>
        <v>52</v>
      </c>
      <c r="E47" s="36">
        <f>+INDEX(Sheet1!$H$24:$H$34,COLUMN()-COLUMN($B$59)+1)</f>
        <v>19</v>
      </c>
      <c r="F47" s="36">
        <f>+INDEX(Sheet1!$H$24:$H$34,COLUMN()-COLUMN($B$59)+1)</f>
        <v>66</v>
      </c>
      <c r="G47" s="36">
        <f>+INDEX(Sheet1!$H$24:$H$34,COLUMN()-COLUMN($B$59)+1)</f>
        <v>50</v>
      </c>
      <c r="H47" s="36">
        <f>+INDEX(Sheet1!$H$24:$H$34,COLUMN()-COLUMN($B$59)+1)</f>
        <v>50</v>
      </c>
      <c r="I47" s="36">
        <f>+INDEX(Sheet1!$H$24:$H$34,COLUMN()-COLUMN($B$59)+1)</f>
        <v>30</v>
      </c>
      <c r="J47" s="36">
        <f>+INDEX(Sheet1!$H$24:$H$34,COLUMN()-COLUMN($B$59)+1)</f>
        <v>70</v>
      </c>
      <c r="K47">
        <v>0</v>
      </c>
    </row>
    <row r="48" spans="1:11">
      <c r="A48" t="s">
        <v>174</v>
      </c>
      <c r="B48" s="36">
        <f>+INDEX(Sheet1!$G$24:$G$34,COLUMN()-COLUMN($B$59)+1)</f>
        <v>-39</v>
      </c>
      <c r="C48" s="36">
        <f>+INDEX(Sheet1!$G$24:$G$34,COLUMN()-COLUMN($B$59)+1)</f>
        <v>-47</v>
      </c>
      <c r="D48" s="36">
        <f>+INDEX(Sheet1!$G$24:$G$34,COLUMN()-COLUMN($B$59)+1)</f>
        <v>-52</v>
      </c>
      <c r="E48" s="36">
        <f>+INDEX(Sheet1!$G$24:$G$34,COLUMN()-COLUMN($B$59)+1)</f>
        <v>-44</v>
      </c>
      <c r="F48" s="36">
        <f>+INDEX(Sheet1!$G$24:$G$34,COLUMN()-COLUMN($B$59)+1)</f>
        <v>-63</v>
      </c>
      <c r="G48" s="36">
        <f>+INDEX(Sheet1!$G$24:$G$34,COLUMN()-COLUMN($B$59)+1)</f>
        <v>0</v>
      </c>
      <c r="H48" s="36">
        <f>+INDEX(Sheet1!$G$24:$G$34,COLUMN()-COLUMN($B$59)+1)</f>
        <v>-50</v>
      </c>
      <c r="I48" s="36">
        <f>+INDEX(Sheet1!$G$24:$G$34,COLUMN()-COLUMN($B$59)+1)</f>
        <v>-30</v>
      </c>
      <c r="J48" s="36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+INDEX(Sheet1!$L$24:$L34,COLUMN()-COLUMN($B$69)+1)</f>
        <v>500</v>
      </c>
      <c r="C68" s="36">
        <v>1333</v>
      </c>
      <c r="D68" s="36">
        <v>1333</v>
      </c>
      <c r="E68" s="36">
        <f>+INDEX(Sheet1!$L$24:$L34,COLUMN()-COLUMN($B$69)+1)</f>
        <v>600</v>
      </c>
      <c r="F68" s="36">
        <f>+INDEX(Sheet1!$L$24:$L34,COLUMN()-COLUMN($B$69)+1)</f>
        <v>1333</v>
      </c>
      <c r="G68" s="36">
        <f>+INDEX(Sheet1!$L$24:$L34,COLUMN()-COLUMN($B$69)+1)</f>
        <v>1333</v>
      </c>
      <c r="H68" s="36">
        <f>+INDEX(Sheet1!$L$24:$L34,COLUMN()-COLUMN($B$69)+1)</f>
        <v>2047.5</v>
      </c>
      <c r="I68" s="36">
        <f>+INDEX(Sheet1!$L$24:$L34,COLUMN()-COLUMN($B$69)+1)</f>
        <v>2047.5</v>
      </c>
      <c r="J68" s="36">
        <f>+INDEX(Sheet1!$L$24:$L34,COLUMN()-COLUMN($B$69)+1)</f>
        <v>2047.5</v>
      </c>
      <c r="K68" s="36">
        <f>+INDEX(Sheet1!$L$24:$L34,COLUMN()-COLUMN($B$69)+1)</f>
        <v>0</v>
      </c>
    </row>
    <row r="69" spans="1:11">
      <c r="A69" t="s">
        <v>141</v>
      </c>
      <c r="B69" s="36">
        <f>+INDEX(Sheet1!$M$24:$M34,COLUMN()-COLUMN($B$69)+1)</f>
        <v>20</v>
      </c>
      <c r="C69" s="36">
        <f>+INDEX(Sheet1!$M$24:$M34,COLUMN()-COLUMN($B$69)+1)</f>
        <v>20</v>
      </c>
      <c r="D69" s="36">
        <f>+INDEX(Sheet1!$M$24:$M34,COLUMN()-COLUMN($B$69)+1)</f>
        <v>20</v>
      </c>
      <c r="E69" s="36">
        <f>+INDEX(Sheet1!$M$24:$M34,COLUMN()-COLUMN($B$69)+1)</f>
        <v>-20</v>
      </c>
      <c r="F69" s="36">
        <f>+INDEX(Sheet1!$M$24:$M34,COLUMN()-COLUMN($B$69)+1)</f>
        <v>20</v>
      </c>
      <c r="G69" s="36">
        <f>+INDEX(Sheet1!$M$24:$M34,COLUMN()-COLUMN($B$69)+1)</f>
        <v>20</v>
      </c>
      <c r="H69" s="36">
        <f>+INDEX(Sheet1!$M$24:$M34,COLUMN()-COLUMN($B$69)+1)</f>
        <v>10</v>
      </c>
      <c r="I69" s="36">
        <f>+INDEX(Sheet1!$M$24:$M34,COLUMN()-COLUMN($B$69)+1)</f>
        <v>10</v>
      </c>
      <c r="J69" s="36">
        <f>+INDEX(Sheet1!$M$24:$M34,COLUMN()-COLUMN($B$69)+1)</f>
        <v>10</v>
      </c>
      <c r="K69" s="36">
        <f>+INDEX(Sheet1!$M$24:$M34,COLUMN()-COLUMN($B$69)+1)</f>
        <v>0</v>
      </c>
    </row>
    <row r="70" spans="1:11">
      <c r="A70" t="s">
        <v>142</v>
      </c>
      <c r="B70" s="36">
        <f>+INDEX(Sheet1!$N$24:$N34,COLUMN()-COLUMN($B$69)+1)</f>
        <v>0</v>
      </c>
      <c r="C70" s="36">
        <f>+INDEX(Sheet1!$N$24:$N34,COLUMN()-COLUMN($B$69)+1)</f>
        <v>0</v>
      </c>
      <c r="D70" s="36">
        <f>+INDEX(Sheet1!$N$24:$N34,COLUMN()-COLUMN($B$69)+1)</f>
        <v>0</v>
      </c>
      <c r="E70" s="36">
        <f>+INDEX(Sheet1!$N$24:$N34,COLUMN()-COLUMN($B$69)+1)</f>
        <v>0</v>
      </c>
      <c r="F70" s="36">
        <f>+INDEX(Sheet1!$N$24:$N34,COLUMN()-COLUMN($B$69)+1)</f>
        <v>0</v>
      </c>
      <c r="G70" s="36">
        <f>+INDEX(Sheet1!$N$24:$N34,COLUMN()-COLUMN($B$69)+1)</f>
        <v>0</v>
      </c>
      <c r="H70" s="36">
        <f>+INDEX(Sheet1!$N$24:$N34,COLUMN()-COLUMN($B$69)+1)</f>
        <v>2894.9375</v>
      </c>
      <c r="I70" s="36">
        <f>+INDEX(Sheet1!$N$24:$N34,COLUMN()-COLUMN($B$69)+1)</f>
        <v>65.975000000000136</v>
      </c>
      <c r="J70" s="36">
        <f>+INDEX(Sheet1!$N$24:$N34,COLUMN()-COLUMN($B$69)+1)</f>
        <v>3497.8125</v>
      </c>
      <c r="K70" s="36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28" workbookViewId="0">
      <selection activeCell="R56" sqref="R56"/>
    </sheetView>
  </sheetViews>
  <sheetFormatPr defaultRowHeight="15"/>
  <cols>
    <col min="1" max="1" width="18" customWidth="1"/>
  </cols>
  <sheetData>
    <row r="1" spans="1:7">
      <c r="A1" t="s">
        <v>186</v>
      </c>
    </row>
    <row r="2" spans="1:7">
      <c r="A2" t="s">
        <v>187</v>
      </c>
    </row>
    <row r="3" spans="1:7">
      <c r="A3" t="s">
        <v>188</v>
      </c>
    </row>
    <row r="4" spans="1:7">
      <c r="A4" t="s">
        <v>189</v>
      </c>
    </row>
    <row r="7" spans="1:7">
      <c r="A7" t="s">
        <v>191</v>
      </c>
    </row>
    <row r="8" spans="1:7">
      <c r="A8" t="s">
        <v>206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208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211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210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209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190</v>
      </c>
    </row>
    <row r="15" spans="1:7">
      <c r="A15" t="s">
        <v>206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205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144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193</v>
      </c>
    </row>
    <row r="21" spans="1:7">
      <c r="A21" t="s">
        <v>206</v>
      </c>
      <c r="B21">
        <v>0</v>
      </c>
      <c r="C21">
        <v>1</v>
      </c>
      <c r="D21">
        <v>2</v>
      </c>
    </row>
    <row r="22" spans="1:7">
      <c r="A22" t="s">
        <v>194</v>
      </c>
      <c r="B22">
        <v>3</v>
      </c>
      <c r="C22">
        <v>3</v>
      </c>
      <c r="D22">
        <v>3</v>
      </c>
    </row>
    <row r="23" spans="1:7">
      <c r="A23" t="s">
        <v>207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195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214</v>
      </c>
      <c r="B25">
        <f>Head_Torso!H70</f>
        <v>2894.9375</v>
      </c>
      <c r="C25">
        <f>Head_Torso!I70</f>
        <v>65.975000000000136</v>
      </c>
      <c r="D25">
        <f>Head_Torso!J70</f>
        <v>3497.8125</v>
      </c>
    </row>
    <row r="27" spans="1:7">
      <c r="A27" t="s">
        <v>192</v>
      </c>
    </row>
    <row r="28" spans="1:7">
      <c r="A28" t="s">
        <v>206</v>
      </c>
      <c r="B28">
        <v>0</v>
      </c>
      <c r="C28">
        <v>1</v>
      </c>
      <c r="D28">
        <v>2</v>
      </c>
    </row>
    <row r="29" spans="1:7">
      <c r="A29" t="s">
        <v>212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213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196</v>
      </c>
    </row>
    <row r="34" spans="1:17">
      <c r="A34" t="s">
        <v>215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208</v>
      </c>
      <c r="B35">
        <f>Head_Torso!B67</f>
        <v>0</v>
      </c>
      <c r="C35">
        <f>Head_Torso!C67</f>
        <v>0</v>
      </c>
      <c r="D35">
        <f>Head_Torso!D67</f>
        <v>0</v>
      </c>
      <c r="E35">
        <f>Head_Torso!E67</f>
        <v>0</v>
      </c>
      <c r="F35">
        <f>Head_Torso!F67</f>
        <v>0</v>
      </c>
      <c r="G35">
        <f>Head_Torso!G67</f>
        <v>0</v>
      </c>
      <c r="H35">
        <f>Head_Torso!H67</f>
        <v>3</v>
      </c>
      <c r="I35">
        <f>Head_Torso!I67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216</v>
      </c>
      <c r="B36">
        <f>Head_Torso!B68</f>
        <v>500</v>
      </c>
      <c r="C36">
        <f>Head_Torso!C68</f>
        <v>1333</v>
      </c>
      <c r="D36">
        <f>Head_Torso!D68</f>
        <v>1333</v>
      </c>
      <c r="E36">
        <f>Head_Torso!E68</f>
        <v>600</v>
      </c>
      <c r="F36">
        <f>Head_Torso!F68</f>
        <v>1333</v>
      </c>
      <c r="G36">
        <f>Head_Torso!G68</f>
        <v>1333</v>
      </c>
      <c r="H36">
        <f>Head_Torso!H68</f>
        <v>2047.5</v>
      </c>
      <c r="I36">
        <f>Head_Torso!I68</f>
        <v>2047.5</v>
      </c>
      <c r="J36">
        <f>Left_hand!B68</f>
        <v>884</v>
      </c>
      <c r="K36">
        <f>Left_hand!C68</f>
        <v>217</v>
      </c>
      <c r="L36">
        <f>Left_hand!D68</f>
        <v>10</v>
      </c>
      <c r="M36">
        <f>Left_hand!E68</f>
        <v>213</v>
      </c>
      <c r="N36">
        <f>Left_hand!F68</f>
        <v>16</v>
      </c>
      <c r="O36">
        <f>Left_hand!G68</f>
        <v>233</v>
      </c>
      <c r="P36">
        <f>Left_hand!H68</f>
        <v>10</v>
      </c>
      <c r="Q36">
        <f>Left_hand!I68</f>
        <v>100</v>
      </c>
    </row>
    <row r="37" spans="1:17">
      <c r="A37" t="s">
        <v>217</v>
      </c>
      <c r="B37">
        <f>Head_Torso!B69</f>
        <v>20</v>
      </c>
      <c r="C37">
        <f>Head_Torso!C69</f>
        <v>20</v>
      </c>
      <c r="D37">
        <f>Head_Torso!D69</f>
        <v>20</v>
      </c>
      <c r="E37">
        <f>Head_Torso!E69</f>
        <v>-20</v>
      </c>
      <c r="F37">
        <f>Head_Torso!F69</f>
        <v>20</v>
      </c>
      <c r="G37">
        <f>Head_Torso!G69</f>
        <v>20</v>
      </c>
      <c r="H37">
        <f>Head_Torso!H69</f>
        <v>10</v>
      </c>
      <c r="I37">
        <f>Head_Torso!I69</f>
        <v>10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214</v>
      </c>
      <c r="B38">
        <f>Head_Torso!B70</f>
        <v>0</v>
      </c>
      <c r="C38">
        <f>Head_Torso!C70</f>
        <v>0</v>
      </c>
      <c r="D38">
        <f>Head_Torso!D70</f>
        <v>0</v>
      </c>
      <c r="E38">
        <f>Head_Torso!E70</f>
        <v>0</v>
      </c>
      <c r="F38">
        <f>Head_Torso!F70</f>
        <v>0</v>
      </c>
      <c r="G38">
        <f>Head_Torso!G70</f>
        <v>0</v>
      </c>
      <c r="H38">
        <f>Head_Torso!H70</f>
        <v>2894.9375</v>
      </c>
      <c r="I38">
        <f>Head_Torso!I70</f>
        <v>65.975000000000136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-26000</v>
      </c>
    </row>
    <row r="40" spans="1:17">
      <c r="A40" t="s">
        <v>197</v>
      </c>
    </row>
    <row r="41" spans="1:17">
      <c r="A41" t="s">
        <v>215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212</v>
      </c>
      <c r="B42">
        <f>Head_Torso!B71</f>
        <v>0</v>
      </c>
      <c r="C42">
        <f>Head_Torso!C71</f>
        <v>0</v>
      </c>
      <c r="D42">
        <f>Head_Torso!D71</f>
        <v>0</v>
      </c>
      <c r="E42">
        <f>Head_Torso!E71</f>
        <v>0</v>
      </c>
      <c r="F42">
        <f>Head_Torso!F71</f>
        <v>0</v>
      </c>
      <c r="G42">
        <f>Head_Torso!G71</f>
        <v>0</v>
      </c>
      <c r="H42">
        <f>Head_Torso!H71</f>
        <v>0</v>
      </c>
      <c r="I42">
        <f>Head_Torso!I71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144</v>
      </c>
      <c r="B43">
        <f>Head_Torso!B72</f>
        <v>10</v>
      </c>
      <c r="C43">
        <f>Head_Torso!C72</f>
        <v>10</v>
      </c>
      <c r="D43">
        <f>Head_Torso!D72</f>
        <v>10</v>
      </c>
      <c r="E43">
        <f>Head_Torso!E72</f>
        <v>10</v>
      </c>
      <c r="F43">
        <f>Head_Torso!F72</f>
        <v>10</v>
      </c>
      <c r="G43">
        <f>Head_Torso!G72</f>
        <v>10</v>
      </c>
      <c r="H43">
        <f>Head_Torso!H72</f>
        <v>10</v>
      </c>
      <c r="I43">
        <f>Head_Torso!I72</f>
        <v>10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198</v>
      </c>
    </row>
    <row r="47" spans="1:17">
      <c r="A47" t="s">
        <v>218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139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207</v>
      </c>
      <c r="B49">
        <f>Right_arm!B66</f>
        <v>1706</v>
      </c>
      <c r="C49">
        <f>Right_arm!C66</f>
        <v>853</v>
      </c>
      <c r="D49">
        <f>Right_arm!D66</f>
        <v>3506.0564999999997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1600</v>
      </c>
      <c r="J49">
        <f>Right_hand!B71</f>
        <v>562.19999999999993</v>
      </c>
      <c r="K49">
        <f>Right_hand!C71</f>
        <v>251</v>
      </c>
      <c r="L49">
        <f>Right_hand!D71</f>
        <v>100</v>
      </c>
      <c r="M49">
        <f>Right_hand!E71</f>
        <v>251</v>
      </c>
      <c r="N49">
        <f>Right_hand!F71</f>
        <v>12</v>
      </c>
      <c r="O49">
        <f>Right_hand!G71</f>
        <v>245</v>
      </c>
      <c r="P49">
        <f>Right_hand!H71</f>
        <v>20</v>
      </c>
      <c r="Q49">
        <f>Right_hand!I71</f>
        <v>150</v>
      </c>
    </row>
    <row r="50" spans="1:17">
      <c r="A50" t="s">
        <v>210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209</v>
      </c>
      <c r="B51">
        <f>Right_arm!B68</f>
        <v>2053.1875</v>
      </c>
      <c r="C51">
        <f>Right_arm!C68</f>
        <v>591.5</v>
      </c>
      <c r="D51">
        <f>Right_arm!D68</f>
        <v>1926.2319999999997</v>
      </c>
      <c r="E51">
        <f>Right_arm!E68</f>
        <v>2467.2375000000002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-26000</v>
      </c>
    </row>
    <row r="53" spans="1:17">
      <c r="A53" t="s">
        <v>199</v>
      </c>
    </row>
    <row r="54" spans="1:17">
      <c r="A54" t="s">
        <v>219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220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144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200</v>
      </c>
    </row>
    <row r="60" spans="1:17">
      <c r="A60" t="s">
        <v>215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221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140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141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222</v>
      </c>
      <c r="B64">
        <f>Legs!H73</f>
        <v>1690.3250000000003</v>
      </c>
      <c r="C64">
        <f>Legs!I73</f>
        <v>1689.1875</v>
      </c>
      <c r="D64">
        <f>Legs!J73</f>
        <v>3264.625</v>
      </c>
      <c r="E64">
        <f>Legs!K73</f>
        <v>95.550000000000068</v>
      </c>
      <c r="F64">
        <f>Legs!L73</f>
        <v>3934.6124999999997</v>
      </c>
      <c r="G64">
        <f>Legs!M73</f>
        <v>2949.5374999999999</v>
      </c>
    </row>
    <row r="66" spans="1:7">
      <c r="A66" t="s">
        <v>201</v>
      </c>
    </row>
    <row r="67" spans="1:7">
      <c r="A67" t="s">
        <v>219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143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223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202</v>
      </c>
    </row>
    <row r="72" spans="1:7">
      <c r="A72" t="s">
        <v>224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139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140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225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214</v>
      </c>
      <c r="B76">
        <f>Legs!B73</f>
        <v>925.92499999999973</v>
      </c>
      <c r="C76">
        <f>Legs!C73</f>
        <v>2057.7375000000002</v>
      </c>
      <c r="D76">
        <f>Legs!D73</f>
        <v>3071.25</v>
      </c>
      <c r="E76">
        <f>Legs!E73</f>
        <v>2664.0250000000001</v>
      </c>
      <c r="F76">
        <f>Legs!F73</f>
        <v>2082.7624999999998</v>
      </c>
      <c r="G76">
        <f>Legs!G73</f>
        <v>3769.6749999999997</v>
      </c>
    </row>
    <row r="78" spans="1:7">
      <c r="A78" t="s">
        <v>203</v>
      </c>
    </row>
    <row r="79" spans="1:7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212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213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2009-12-11T08:05:59Z</dcterms:modified>
</cp:coreProperties>
</file>