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 activeTab="3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D82" i="4"/>
  <c r="D48" i="1"/>
  <c r="C38" i="7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K48"/>
  <c r="B49" i="4" s="1"/>
  <c r="K49" i="1"/>
  <c r="D49" s="1"/>
  <c r="C50" i="4" s="1"/>
  <c r="C49"/>
  <c r="L49" i="1"/>
  <c r="C80" i="4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0" i="4" s="1"/>
  <c r="D50" i="1"/>
  <c r="D50" i="4" s="1"/>
  <c r="D50" i="6" l="1"/>
  <c r="H50"/>
  <c r="I50"/>
  <c r="I49" i="4"/>
  <c r="I49" i="3"/>
  <c r="B95" i="2"/>
  <c r="B76" i="8" s="1"/>
  <c r="G50" i="6"/>
  <c r="B50" i="4"/>
  <c r="D61" i="1"/>
  <c r="D50" i="5" s="1"/>
  <c r="D50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B51" i="6"/>
  <c r="I49" i="5"/>
  <c r="L66" i="1"/>
  <c r="I80" i="5" s="1"/>
  <c r="I49" i="8" s="1"/>
  <c r="I50" i="5"/>
  <c r="I50" i="3"/>
  <c r="L44" i="1"/>
  <c r="I80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<sst xmlns="http://schemas.openxmlformats.org/spreadsheetml/2006/main" count="750" uniqueCount="286">
  <si>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</si>
  <si>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</si>
  <si>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</si>
  <si>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</si>
  <si>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</si>
  <si>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</si>
  <si>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</si>
  <si>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</si>
  <si>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</si>
  <si>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</si>
  <si>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</si>
  <si>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</si>
  <si>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</si>
  <si>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</si>
  <si>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</si>
  <si>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</si>
  <si>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</si>
  <si>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</si>
  <si>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</si>
  <si>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</si>
  <si>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</si>
  <si>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</si>
  <si>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</si>
  <si>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</si>
  <si>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</si>
  <si>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</si>
  <si>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</si>
  <si>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</si>
  <si>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</si>
  <si>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</si>
  <si>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</si>
  <si>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</si>
  <si>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</si>
  <si>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</si>
  <si>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</si>
  <si>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</si>
  <si>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</si>
  <si>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</si>
  <si>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</si>
  <si>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</si>
  <si>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</si>
  <si>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</si>
  <si>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</si>
  <si>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</si>
  <si>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</si>
  <si>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</si>
  <si>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</si>
  <si>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</si>
  <si>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</si>
  <si>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</si>
  <si>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</si>
  <si>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</si>
  <si>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</si>
  <si>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</si>
  <si>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</si>
  <si>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</si>
  <si>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</si>
  <si>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</si>
  <si>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</si>
  <si>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</si>
  <si>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</si>
  <si>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</si>
  <si>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</si>
  <si>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</si>
  <si>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</si>
  <si>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</si>
  <si>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</si>
  <si>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</si>
  <si>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</si>
  <si>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</si>
  <si>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</si>
  <si>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</si>
  <si>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</si>
  <si>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</si>
  <si>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</si>
  <si>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</si>
  <si>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</si>
  <si>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</si>
  <si>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</si>
  <si>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</si>
  <si>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</si>
  <si>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</si>
  <si>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</si>
  <si>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</si>
  <si>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</si>
  <si>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</si>
  <si>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</si>
  <si>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</si>
  <si>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</si>
  <si>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</si>
  <si>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</si>
  <si>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</si>
  <si>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</si>
  <si>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</si>
  <si>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</si>
  <si>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</si>
  <si>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</si>
  <si>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</si>
  <si>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</si>
  <si>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</si>
  <si>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</si>
  <si>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</si>
  <si>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</si>
  <si>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</si>
  <si>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</si>
  <si>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</si>
  <si>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</si>
  <si>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</si>
  <si>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</si>
  <si>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</si>
  <si>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</si>
  <si>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</si>
  <si>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</si>
  <si>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</si>
  <si>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</si>
  <si>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</si>
  <si>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</si>
  <si>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</si>
  <si>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</si>
  <si>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</si>
  <si>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</si>
  <si>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</si>
  <si>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</si>
  <si>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</si>
  <si>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</si>
  <si>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</si>
  <si>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</si>
  <si>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</si>
  <si>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</si>
  <si>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</si>
  <si>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</si>
  <si>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</si>
  <si>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</si>
  <si>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</si>
  <si>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</si>
  <si>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</si>
  <si>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</si>
  <si>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</si>
  <si>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</si>
  <si>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</si>
  <si>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</si>
  <si>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</si>
  <si>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</si>
  <si>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</si>
  <si>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</si>
  <si>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</si>
  <si>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</si>
  <si>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</si>
  <si>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</si>
  <si>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</si>
  <si>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</si>
  <si>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</si>
  <si>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</si>
  <si>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</si>
  <si>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</si>
  <si>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</si>
  <si>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</si>
  <si>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</si>
  <si>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</si>
  <si>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</si>
  <si>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</si>
  <si>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</si>
  <si>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</si>
  <si>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</si>
  <si>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</si>
  <si>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</si>
  <si>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</si>
  <si>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</si>
  <si>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</si>
  <si>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</si>
  <si>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</si>
  <si>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</si>
  <si>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</si>
  <si>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</si>
  <si>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</si>
  <si>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</si>
  <si>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</si>
  <si>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</si>
  <si>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</si>
  <si>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</si>
  <si>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</si>
  <si>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</si>
  <si>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</si>
  <si>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</si>
  <si>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</si>
  <si>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</si>
  <si>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</si>
  <si>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</si>
  <si>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</si>
  <si>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</si>
  <si>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</si>
  <si>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</si>
  <si>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</si>
  <si>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</si>
  <si>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</si>
  <si>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</si>
  <si>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</si>
  <si>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</si>
  <si>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</si>
  <si>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</si>
  <si>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</si>
  <si>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</si>
  <si>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</si>
  <si>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</si>
  <si>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</si>
  <si>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</si>
  <si>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</si>
  <si>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D:\icub\app\iCubTemplateV1_1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</si>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</sst>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opLeftCell="A54" zoomScale="55" zoomScaleNormal="55" workbookViewId="0">
      <selection activeCell="D48" sqref="D48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252</v>
      </c>
      <c r="P6" s="51" t="s">
        <v>253</v>
      </c>
      <c r="Q6" s="51" t="s">
        <v>209</v>
      </c>
      <c r="R6" s="51" t="s">
        <v>210</v>
      </c>
    </row>
    <row r="7" spans="1:18" ht="18.75">
      <c r="A7" s="28">
        <v>0</v>
      </c>
      <c r="B7" s="54" t="s">
        <v>14</v>
      </c>
      <c r="C7" s="24">
        <v>52</v>
      </c>
      <c r="D7" s="25">
        <v>180</v>
      </c>
      <c r="E7" s="26">
        <f>(ABS(C7)-ABS(D7))</f>
        <v>-128</v>
      </c>
      <c r="F7" s="26">
        <f>IF(E7&gt;=0,(E7*11.375),(360+E7)*11.375)</f>
        <v>2639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2639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81.7</v>
      </c>
      <c r="D8" s="25">
        <v>180</v>
      </c>
      <c r="E8" s="26">
        <f t="shared" ref="E8:E18" si="0">(ABS(C8)-ABS(D8))</f>
        <v>-98.3</v>
      </c>
      <c r="F8" s="26">
        <f t="shared" ref="F8:F18" si="1">IF(E8&gt;=0,(E8*11.375),(360+E8)*11.375)</f>
        <v>2976.8375000000001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2976.8375000000001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359.9</v>
      </c>
      <c r="D9" s="25">
        <v>180</v>
      </c>
      <c r="E9" s="26">
        <f t="shared" si="0"/>
        <v>179.89999999999998</v>
      </c>
      <c r="F9" s="26">
        <f t="shared" si="1"/>
        <v>2046.3624999999997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2046.3624999999997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323.39999999999998</v>
      </c>
      <c r="D10" s="25">
        <v>180</v>
      </c>
      <c r="E10" s="26">
        <f t="shared" si="0"/>
        <v>143.39999999999998</v>
      </c>
      <c r="F10" s="26">
        <f t="shared" si="1"/>
        <v>1631.1749999999997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1631.1749999999997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33.1</v>
      </c>
      <c r="D11" s="25">
        <v>180</v>
      </c>
      <c r="E11" s="26">
        <f t="shared" si="0"/>
        <v>-146.9</v>
      </c>
      <c r="F11" s="26">
        <f t="shared" si="1"/>
        <v>2424.0124999999998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2424.0124999999998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321.2</v>
      </c>
      <c r="D12" s="25">
        <v>180</v>
      </c>
      <c r="E12" s="26">
        <f t="shared" si="0"/>
        <v>141.19999999999999</v>
      </c>
      <c r="F12" s="26">
        <f t="shared" si="1"/>
        <v>1606.1499999999999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1606.1499999999999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168.2</v>
      </c>
      <c r="D13" s="25">
        <v>-180</v>
      </c>
      <c r="E13" s="26">
        <f t="shared" si="0"/>
        <v>-11.800000000000011</v>
      </c>
      <c r="F13" s="26">
        <f t="shared" si="1"/>
        <v>3960.7750000000001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3960.7750000000001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93.3</v>
      </c>
      <c r="D14" s="25">
        <v>-180</v>
      </c>
      <c r="E14" s="26">
        <f t="shared" si="0"/>
        <v>-86.7</v>
      </c>
      <c r="F14" s="26">
        <f t="shared" si="1"/>
        <v>3108.7874999999999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3108.7874999999999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34.9</v>
      </c>
      <c r="D15" s="25">
        <v>-180</v>
      </c>
      <c r="E15" s="26">
        <f t="shared" si="0"/>
        <v>-145.1</v>
      </c>
      <c r="F15" s="26">
        <f t="shared" si="1"/>
        <v>2444.4875000000002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2444.4875000000002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167.4</v>
      </c>
      <c r="D16" s="25">
        <v>-180</v>
      </c>
      <c r="E16" s="26">
        <f t="shared" si="0"/>
        <v>-12.599999999999994</v>
      </c>
      <c r="F16" s="26">
        <f t="shared" si="1"/>
        <v>3951.6749999999997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3951.6749999999997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40.1</v>
      </c>
      <c r="D17" s="25">
        <v>-180</v>
      </c>
      <c r="E17" s="26">
        <f t="shared" si="0"/>
        <v>-139.9</v>
      </c>
      <c r="F17" s="26">
        <f t="shared" si="1"/>
        <v>2503.6374999999998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2503.6374999999998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220.2</v>
      </c>
      <c r="D18" s="25">
        <v>-180</v>
      </c>
      <c r="E18" s="26">
        <f t="shared" si="0"/>
        <v>40.199999999999989</v>
      </c>
      <c r="F18" s="26">
        <f t="shared" si="1"/>
        <v>457.27499999999986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457.27499999999986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252</v>
      </c>
      <c r="P23" s="51" t="s">
        <v>253</v>
      </c>
      <c r="Q23" s="51" t="s">
        <v>209</v>
      </c>
      <c r="R23" s="51" t="s">
        <v>210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142.9</v>
      </c>
      <c r="D30" s="25">
        <v>180</v>
      </c>
      <c r="E30" s="26">
        <f>(C30-D30)</f>
        <v>-37.099999999999994</v>
      </c>
      <c r="F30" s="26">
        <f>IF(E30&gt;=0,(E30*11.375),(360+E30)*11.375)</f>
        <v>3672.9874999999997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3672.9874999999997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50.4</v>
      </c>
      <c r="D31" s="25">
        <v>180</v>
      </c>
      <c r="E31" s="26">
        <f>(C31-D31)</f>
        <v>-129.6</v>
      </c>
      <c r="F31" s="26">
        <f>IF(E31&gt;=0,(E31*11.375),(360+E31)*11.375)</f>
        <v>2620.8000000000002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2620.8000000000002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138.5</v>
      </c>
      <c r="D32" s="25">
        <v>180</v>
      </c>
      <c r="E32" s="26">
        <f>(C32-D32)</f>
        <v>-41.5</v>
      </c>
      <c r="F32" s="26">
        <f>IF(E32&gt;=0,(E32*11.375),(360+E32)*11.375)</f>
        <v>3622.9375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3622.9375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252</v>
      </c>
      <c r="P36" s="51" t="s">
        <v>253</v>
      </c>
      <c r="Q36" s="51" t="s">
        <v>209</v>
      </c>
      <c r="R36" s="51" t="s">
        <v>210</v>
      </c>
    </row>
    <row r="37" spans="1:22" ht="18.75">
      <c r="A37" s="28">
        <v>0</v>
      </c>
      <c r="B37" s="54" t="s">
        <v>39</v>
      </c>
      <c r="C37" s="24">
        <v>-43</v>
      </c>
      <c r="D37" s="25">
        <v>-180</v>
      </c>
      <c r="E37" s="26">
        <f>(ABS(C37)-ABS(D37))</f>
        <v>-137</v>
      </c>
      <c r="F37" s="26">
        <f>IF(E37&gt;=0,(E37*11.375),(360+E37)*11.375)</f>
        <v>2536.625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2536.625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-168.2</v>
      </c>
      <c r="D38" s="25">
        <v>-315</v>
      </c>
      <c r="E38" s="26">
        <f>(ABS(C38)-ABS(D38))</f>
        <v>-146.80000000000001</v>
      </c>
      <c r="F38" s="26">
        <f>IF(E38&gt;=0,(E38*11.375),(360+E38)*11.375)</f>
        <v>2425.15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2425.15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49</v>
      </c>
      <c r="D39" s="25">
        <f>-L39/-K39</f>
        <v>24.257819103972956</v>
      </c>
      <c r="E39" s="45">
        <f>ABS((+C39/(40/65)-(C37-C38)/(40/65)))-ABS(180)</f>
        <v>-56.17500000000004</v>
      </c>
      <c r="F39" s="45">
        <f>IF(E39&gt;=0,(E39*11.375),(360+E39)*11.375)</f>
        <v>3456.0093749999992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3456.0093749999992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208</v>
      </c>
      <c r="V39" s="46"/>
    </row>
    <row r="40" spans="1:22" ht="18.75">
      <c r="A40" s="23">
        <v>3</v>
      </c>
      <c r="B40" s="54" t="s">
        <v>42</v>
      </c>
      <c r="C40" s="24">
        <v>-8.4</v>
      </c>
      <c r="D40" s="25">
        <v>-180</v>
      </c>
      <c r="E40" s="26">
        <f>(ABS(C40)-ABS(D40))</f>
        <v>-171.6</v>
      </c>
      <c r="F40" s="26">
        <f>IF(E40&gt;=0,(E40*11.375),(360+E40)*11.375)</f>
        <v>2143.0500000000002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2143.0500000000002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281.11764705882354</v>
      </c>
      <c r="E44" s="34"/>
      <c r="F44" s="34"/>
      <c r="G44" s="27">
        <v>0</v>
      </c>
      <c r="H44" s="27">
        <v>60</v>
      </c>
      <c r="I44" s="29">
        <v>1593</v>
      </c>
      <c r="J44" s="29">
        <v>1933</v>
      </c>
      <c r="K44" s="30">
        <f>(J44-I44)/(H44-G44)</f>
        <v>5.666666666666667</v>
      </c>
      <c r="L44" s="27">
        <f>ABS(+D44*K44)</f>
        <v>1593.0000000000002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252</v>
      </c>
      <c r="P47" s="51" t="s">
        <v>253</v>
      </c>
      <c r="Q47" s="51" t="s">
        <v>209</v>
      </c>
      <c r="R47" s="51" t="s">
        <v>210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28.968935888962324</v>
      </c>
      <c r="E48" s="34"/>
      <c r="F48" s="34"/>
      <c r="G48" s="27">
        <v>-10</v>
      </c>
      <c r="H48" s="27">
        <v>90</v>
      </c>
      <c r="I48" s="47">
        <v>287</v>
      </c>
      <c r="J48" s="47">
        <v>1800</v>
      </c>
      <c r="K48" s="30">
        <f t="shared" ref="K48:K55" si="5">(J48-I48)/(H48-G48)</f>
        <v>15.13</v>
      </c>
      <c r="L48" s="27">
        <f>ABS(D48*K48)</f>
        <v>438.3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-101.61290322580646</v>
      </c>
      <c r="E49" s="34"/>
      <c r="F49" s="34"/>
      <c r="G49" s="27">
        <v>0</v>
      </c>
      <c r="H49" s="27">
        <v>90</v>
      </c>
      <c r="I49" s="75">
        <v>245</v>
      </c>
      <c r="J49" s="75">
        <v>28</v>
      </c>
      <c r="K49" s="30">
        <f t="shared" si="5"/>
        <v>-2.411111111111111</v>
      </c>
      <c r="L49" s="27">
        <f>I49</f>
        <v>245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-187.725321888412</v>
      </c>
      <c r="E50" s="34"/>
      <c r="F50" s="34"/>
      <c r="G50" s="27">
        <v>0</v>
      </c>
      <c r="H50" s="27">
        <v>180</v>
      </c>
      <c r="I50" s="75">
        <v>486</v>
      </c>
      <c r="J50" s="75">
        <v>20</v>
      </c>
      <c r="K50" s="30">
        <f t="shared" si="5"/>
        <v>-2.588888888888889</v>
      </c>
      <c r="L50" s="27">
        <f>J50</f>
        <v>20</v>
      </c>
      <c r="M50" s="27">
        <v>10</v>
      </c>
      <c r="N50" s="27">
        <v>6500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-111.09375</v>
      </c>
      <c r="E51" s="34"/>
      <c r="F51" s="34"/>
      <c r="G51" s="27">
        <v>0</v>
      </c>
      <c r="H51" s="27">
        <v>90</v>
      </c>
      <c r="I51" s="75">
        <v>237</v>
      </c>
      <c r="J51" s="75">
        <v>45</v>
      </c>
      <c r="K51" s="30">
        <f t="shared" si="5"/>
        <v>-2.1333333333333333</v>
      </c>
      <c r="L51" s="27">
        <f>I51</f>
        <v>237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-208.78281622911692</v>
      </c>
      <c r="E52" s="34"/>
      <c r="F52" s="34"/>
      <c r="G52" s="27">
        <v>0</v>
      </c>
      <c r="H52" s="27">
        <v>180</v>
      </c>
      <c r="I52" s="75">
        <v>486</v>
      </c>
      <c r="J52" s="75">
        <v>67</v>
      </c>
      <c r="K52" s="30">
        <f t="shared" si="5"/>
        <v>-2.3277777777777779</v>
      </c>
      <c r="L52" s="27">
        <f>J52</f>
        <v>67</v>
      </c>
      <c r="M52" s="27">
        <v>10</v>
      </c>
      <c r="N52" s="27">
        <v>6500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-103.84615384615385</v>
      </c>
      <c r="E53" s="34"/>
      <c r="F53" s="34"/>
      <c r="G53" s="27">
        <v>0</v>
      </c>
      <c r="H53" s="27">
        <v>90</v>
      </c>
      <c r="I53" s="75">
        <v>240</v>
      </c>
      <c r="J53" s="75">
        <v>32</v>
      </c>
      <c r="K53" s="30">
        <f t="shared" si="5"/>
        <v>-2.3111111111111109</v>
      </c>
      <c r="L53" s="27">
        <f>I53</f>
        <v>240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-6500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-316.23287671232879</v>
      </c>
      <c r="E55" s="34"/>
      <c r="F55" s="34"/>
      <c r="G55" s="27">
        <v>0</v>
      </c>
      <c r="H55" s="27">
        <v>270</v>
      </c>
      <c r="I55" s="75">
        <v>684</v>
      </c>
      <c r="J55" s="75">
        <v>100</v>
      </c>
      <c r="K55" s="30">
        <f t="shared" si="5"/>
        <v>-2.162962962962963</v>
      </c>
      <c r="L55" s="27">
        <f>I55</f>
        <v>684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252</v>
      </c>
      <c r="P58" s="51" t="s">
        <v>253</v>
      </c>
      <c r="Q58" s="56" t="s">
        <v>209</v>
      </c>
      <c r="R58" s="56" t="s">
        <v>210</v>
      </c>
    </row>
    <row r="59" spans="1:18" ht="18.75">
      <c r="A59" s="28">
        <v>0</v>
      </c>
      <c r="B59" s="54" t="s">
        <v>57</v>
      </c>
      <c r="C59" s="24">
        <v>150.19999999999999</v>
      </c>
      <c r="D59" s="25">
        <v>180</v>
      </c>
      <c r="E59" s="26">
        <f>(ABS(C59)-ABS(D59))</f>
        <v>-29.800000000000011</v>
      </c>
      <c r="F59" s="26">
        <f>IF(E59&gt;=0,(E59*11.375),(360+E59)*11.375)</f>
        <v>3756.0250000000001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3756.0250000000001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142.5</v>
      </c>
      <c r="D60" s="25">
        <f>45</f>
        <v>45</v>
      </c>
      <c r="E60" s="26">
        <f>(ABS(C60)-ABS(D60))</f>
        <v>97.5</v>
      </c>
      <c r="F60" s="26">
        <f>IF(E60&gt;=0,(E60*11.375),(360+E60)*11.375)</f>
        <v>1109.0625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1109.0625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211.3</v>
      </c>
      <c r="D61" s="25">
        <f>L61/K61</f>
        <v>245.74218089602704</v>
      </c>
      <c r="E61" s="45">
        <f>ABS((+C61/(40/65)-(C59-C60)/(40/65)))-ABS(180)</f>
        <v>150.85000000000002</v>
      </c>
      <c r="F61" s="45">
        <f>IF(E61&gt;=0,(E61*11.375),(360+E61)*11.375)</f>
        <v>1715.9187500000003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1715.9187500000003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39.6</v>
      </c>
      <c r="D62" s="25">
        <v>180</v>
      </c>
      <c r="E62" s="26">
        <f>(ABS(C62)-ABS(D62))</f>
        <v>-140.4</v>
      </c>
      <c r="F62" s="26">
        <f>IF(E62&gt;=0,(E62*11.375),(360+E62)*11.375)</f>
        <v>2497.9499999999998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2497.9499999999998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360</v>
      </c>
      <c r="E66" s="34"/>
      <c r="F66" s="34"/>
      <c r="G66" s="25">
        <v>0</v>
      </c>
      <c r="H66" s="25">
        <v>60</v>
      </c>
      <c r="I66" s="29">
        <v>1800</v>
      </c>
      <c r="J66" s="29">
        <v>2100</v>
      </c>
      <c r="K66" s="65">
        <f>(J66-I66)/(H66-G66)</f>
        <v>5</v>
      </c>
      <c r="L66" s="25">
        <f>ABS(+D66*K66)</f>
        <v>1800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252</v>
      </c>
      <c r="P69" s="51" t="s">
        <v>253</v>
      </c>
      <c r="Q69" s="56" t="s">
        <v>209</v>
      </c>
      <c r="R69" s="56" t="s">
        <v>210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39.429892141756547</v>
      </c>
      <c r="E70" s="34"/>
      <c r="F70" s="34"/>
      <c r="G70" s="27">
        <v>-10</v>
      </c>
      <c r="H70" s="27">
        <v>90</v>
      </c>
      <c r="I70" s="47">
        <v>382</v>
      </c>
      <c r="J70" s="47">
        <v>1680</v>
      </c>
      <c r="K70" s="30">
        <f t="shared" ref="K70:K77" si="7">(J70-I70)/(H70-G70)</f>
        <v>12.98</v>
      </c>
      <c r="L70" s="25">
        <f>ABS(D70*K70)</f>
        <v>511.8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-90</v>
      </c>
      <c r="E71" s="34"/>
      <c r="F71" s="34"/>
      <c r="G71" s="27">
        <v>0</v>
      </c>
      <c r="H71" s="27">
        <v>90</v>
      </c>
      <c r="I71" s="75">
        <v>230</v>
      </c>
      <c r="J71" s="75">
        <v>0</v>
      </c>
      <c r="K71" s="30">
        <f t="shared" si="7"/>
        <v>-2.5555555555555554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-190.85846867749422</v>
      </c>
      <c r="E72" s="34"/>
      <c r="F72" s="34"/>
      <c r="G72" s="27">
        <v>0</v>
      </c>
      <c r="H72" s="27">
        <v>180</v>
      </c>
      <c r="I72" s="75">
        <v>457</v>
      </c>
      <c r="J72" s="75">
        <v>26</v>
      </c>
      <c r="K72" s="30">
        <f t="shared" si="7"/>
        <v>-2.3944444444444444</v>
      </c>
      <c r="L72" s="27">
        <f>+J72</f>
        <v>26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-90</v>
      </c>
      <c r="E73" s="34"/>
      <c r="F73" s="34"/>
      <c r="G73" s="27">
        <v>0</v>
      </c>
      <c r="H73" s="27">
        <v>90</v>
      </c>
      <c r="I73" s="75">
        <v>224</v>
      </c>
      <c r="J73" s="75">
        <v>0</v>
      </c>
      <c r="K73" s="30">
        <f t="shared" si="7"/>
        <v>-2.4888888888888889</v>
      </c>
      <c r="L73" s="27">
        <f>I73</f>
        <v>224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-190.86206896551724</v>
      </c>
      <c r="E74" s="34"/>
      <c r="F74" s="34"/>
      <c r="G74" s="27">
        <v>0</v>
      </c>
      <c r="H74" s="27">
        <v>180</v>
      </c>
      <c r="I74" s="75">
        <v>492</v>
      </c>
      <c r="J74" s="75">
        <v>28</v>
      </c>
      <c r="K74" s="30">
        <f t="shared" si="7"/>
        <v>-2.5777777777777779</v>
      </c>
      <c r="L74" s="27">
        <f>+J74</f>
        <v>28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-91.956521739130437</v>
      </c>
      <c r="E75" s="34"/>
      <c r="F75" s="34"/>
      <c r="G75" s="27">
        <v>0</v>
      </c>
      <c r="H75" s="27">
        <v>90</v>
      </c>
      <c r="I75" s="75">
        <v>235</v>
      </c>
      <c r="J75" s="75">
        <v>5</v>
      </c>
      <c r="K75" s="30">
        <f t="shared" si="7"/>
        <v>-2.5555555555555554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-202.75395033860045</v>
      </c>
      <c r="E76" s="34"/>
      <c r="F76" s="34"/>
      <c r="G76" s="27">
        <v>0</v>
      </c>
      <c r="H76" s="27">
        <v>180</v>
      </c>
      <c r="I76" s="75">
        <v>499</v>
      </c>
      <c r="J76" s="75">
        <v>56</v>
      </c>
      <c r="K76" s="30">
        <f t="shared" si="7"/>
        <v>-2.4611111111111112</v>
      </c>
      <c r="L76" s="27">
        <f>J76</f>
        <v>56</v>
      </c>
      <c r="M76" s="27">
        <v>10</v>
      </c>
      <c r="N76" s="27">
        <v>6600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-300.54298642533934</v>
      </c>
      <c r="E77" s="34"/>
      <c r="F77" s="34"/>
      <c r="G77" s="27">
        <v>0</v>
      </c>
      <c r="H77" s="27">
        <v>270</v>
      </c>
      <c r="I77" s="75">
        <v>738</v>
      </c>
      <c r="J77" s="75">
        <v>75</v>
      </c>
      <c r="K77" s="30">
        <f t="shared" si="7"/>
        <v>-2.4555555555555557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254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207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85" zoomScaleNormal="100" workbookViewId="0">
      <selection activeCell="A105" sqref="A10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264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265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257</v>
      </c>
      <c r="B32" t="s">
        <v>285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258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259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266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260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267</v>
      </c>
      <c r="B37" s="76"/>
      <c r="C37" s="76" t="s">
        <v>268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262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263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269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270</v>
      </c>
      <c r="B42" t="s">
        <v>285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258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259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266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271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272</v>
      </c>
      <c r="B47" s="76"/>
      <c r="C47" s="76" t="s">
        <v>268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273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263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220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219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218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217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216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215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224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213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214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222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221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211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2639</v>
      </c>
      <c r="C95" s="76">
        <f>+INDEX(Sheet1!$N$7:$N20,COLUMN()-COLUMN($B$91)+1)</f>
        <v>2976.8375000000001</v>
      </c>
      <c r="D95" s="76">
        <f>+INDEX(Sheet1!$N$7:$N20,COLUMN()-COLUMN($B$91)+1)</f>
        <v>2046.3624999999997</v>
      </c>
      <c r="E95" s="76">
        <f>+INDEX(Sheet1!$N$7:$N20,COLUMN()-COLUMN($B$91)+1)</f>
        <v>1631.1749999999997</v>
      </c>
      <c r="F95" s="76">
        <f>+INDEX(Sheet1!$N$7:$N20,COLUMN()-COLUMN($B$91)+1)</f>
        <v>2424.0124999999998</v>
      </c>
      <c r="G95" s="76">
        <f>+INDEX(Sheet1!$N$7:$N20,COLUMN()-COLUMN($B$91)+1)</f>
        <v>1606.1499999999999</v>
      </c>
      <c r="H95" s="76">
        <f>+INDEX(Sheet1!$N$7:$N20,COLUMN()-COLUMN($B$91)+1)</f>
        <v>3960.7750000000001</v>
      </c>
      <c r="I95" s="76">
        <f>+INDEX(Sheet1!$N$7:$N20,COLUMN()-COLUMN($B$91)+1)</f>
        <v>3108.7874999999999</v>
      </c>
      <c r="J95" s="76">
        <f>+INDEX(Sheet1!$N$7:$N20,COLUMN()-COLUMN($B$91)+1)</f>
        <v>2444.4875000000002</v>
      </c>
      <c r="K95" s="76">
        <f>+INDEX(Sheet1!$N$7:$N20,COLUMN()-COLUMN($B$91)+1)</f>
        <v>3951.6749999999997</v>
      </c>
      <c r="L95" s="76">
        <f>+INDEX(Sheet1!$N$7:$N20,COLUMN()-COLUMN($B$91)+1)</f>
        <v>2503.6374999999998</v>
      </c>
      <c r="M95" s="76">
        <f>+INDEX(Sheet1!$N$7:$N20,COLUMN()-COLUMN($B$91)+1)</f>
        <v>457.27499999999986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212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69" zoomScaleNormal="100" workbookViewId="0">
      <selection activeCell="F80" sqref="F8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255</v>
      </c>
    </row>
    <row r="32" spans="1:9">
      <c r="A32" t="s">
        <v>256</v>
      </c>
    </row>
    <row r="33" spans="1:9">
      <c r="A33" t="s">
        <v>257</v>
      </c>
      <c r="B33" t="s">
        <v>285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260</v>
      </c>
    </row>
    <row r="37" spans="1:9">
      <c r="A37" t="s">
        <v>261</v>
      </c>
    </row>
    <row r="38" spans="1:9">
      <c r="A38" t="s">
        <v>262</v>
      </c>
    </row>
    <row r="39" spans="1:9">
      <c r="A39" t="s">
        <v>263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229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230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233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226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5.666666666666667</v>
      </c>
    </row>
    <row r="50" spans="1:9">
      <c r="A50" t="s">
        <v>225</v>
      </c>
      <c r="B50" s="22">
        <f>+INDEX(Sheet1!$D$37:$D$44,COLUMN()-COLUMN($B$82)+1)</f>
        <v>-180</v>
      </c>
      <c r="C50" s="22">
        <f>+INDEX(Sheet1!$D$37:$D$44,COLUMN()-COLUMN($B$82)+1)</f>
        <v>-315</v>
      </c>
      <c r="D50" s="22">
        <f>+INDEX(Sheet1!$D$37:$D$44,COLUMN()-COLUMN($B$82)+1)</f>
        <v>24.257819103972956</v>
      </c>
      <c r="E50" s="22">
        <f>+INDEX(Sheet1!$D$37:$D$44,COLUMN()-COLUMN($B$82)+1)</f>
        <v>-180</v>
      </c>
      <c r="F50" s="22">
        <f>+INDEX(Sheet1!$D$37:$D$44,COLUMN()-COLUMN($B$82)+1)</f>
        <v>90</v>
      </c>
      <c r="G50" s="22">
        <f>+INDEX(Sheet1!$D$37:$D$44,COLUMN()-COLUMN($B$82)+1)</f>
        <v>-20</v>
      </c>
      <c r="H50" s="22">
        <f>+INDEX(Sheet1!$D$37:$D$44,COLUMN()-COLUMN($B$82)+1)</f>
        <v>-52</v>
      </c>
      <c r="I50" s="22">
        <f>+INDEX(Sheet1!$D$37:$D$44,COLUMN()-COLUMN($B$82)+1)</f>
        <v>281.11764705882354</v>
      </c>
    </row>
    <row r="52" spans="1:9">
      <c r="A52" t="s">
        <v>106</v>
      </c>
      <c r="B52">
        <v>0</v>
      </c>
    </row>
    <row r="53" spans="1:9" ht="15.75" customHeight="1"/>
    <row r="54" spans="1:9">
      <c r="A54" t="s">
        <v>151</v>
      </c>
    </row>
    <row r="55" spans="1:9">
      <c r="A55" t="s">
        <v>241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228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231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232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227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221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-200</v>
      </c>
      <c r="C75">
        <v>-200</v>
      </c>
      <c r="D75">
        <v>-1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v>500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1593.0000000000002</v>
      </c>
    </row>
    <row r="81" spans="1:9">
      <c r="A81" t="s">
        <v>132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133</v>
      </c>
      <c r="B82" s="22">
        <f>+INDEX(Sheet1!$N$37:$N$44,COLUMN()-COLUMN($B$82)+1)</f>
        <v>2536.625</v>
      </c>
      <c r="C82" s="22">
        <f>+INDEX(Sheet1!$N$37:$N$44,COLUMN()-COLUMN($B$82)+1)</f>
        <v>2425.15</v>
      </c>
      <c r="D82" s="22">
        <f>+INDEX(Sheet1!$N$37:$N$44,COLUMN()-COLUMN($B$82)+1)</f>
        <v>3456.0093749999992</v>
      </c>
      <c r="E82" s="22">
        <f>+INDEX(Sheet1!$N$37:$N$44,COLUMN()-COLUMN($B$82)+1)</f>
        <v>2143.0500000000002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134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135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136</v>
      </c>
    </row>
    <row r="87" spans="1:9">
      <c r="A87" t="s">
        <v>227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0</v>
      </c>
      <c r="I88" s="22">
        <f>+INDEX(Sheet1!$Q$37:$Q$44,COLUMN()-COLUMN($B$82)+1)</f>
        <v>0</v>
      </c>
    </row>
    <row r="89" spans="1:9">
      <c r="A89" t="s">
        <v>138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abSelected="1" topLeftCell="A62" zoomScale="85" zoomScaleNormal="85" workbookViewId="0">
      <selection activeCell="G76" sqref="G76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274</v>
      </c>
    </row>
    <row r="31" spans="1:9">
      <c r="A31" t="s">
        <v>275</v>
      </c>
    </row>
    <row r="32" spans="1:9">
      <c r="A32" t="s">
        <v>270</v>
      </c>
      <c r="B32" t="s">
        <v>284</v>
      </c>
    </row>
    <row r="33" spans="1:9">
      <c r="A33" t="s">
        <v>276</v>
      </c>
    </row>
    <row r="34" spans="1:9">
      <c r="A34" t="s">
        <v>277</v>
      </c>
    </row>
    <row r="35" spans="1:9">
      <c r="A35" t="s">
        <v>278</v>
      </c>
    </row>
    <row r="36" spans="1:9">
      <c r="A36" t="s">
        <v>279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251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238</v>
      </c>
      <c r="B49" s="40">
        <f>+INDEX(Sheet1!$K$48:$K$56,COLUMN()-COLUMN($B$83)+1)</f>
        <v>15.13</v>
      </c>
      <c r="C49" s="40">
        <f>+INDEX(Sheet1!$K$48:$K$56,COLUMN()-COLUMN($B$83)+1)</f>
        <v>-2.411111111111111</v>
      </c>
      <c r="D49" s="40">
        <f>+INDEX(Sheet1!$K$48:$K$56,COLUMN()-COLUMN($B$83)+1)</f>
        <v>-2.588888888888889</v>
      </c>
      <c r="E49" s="40">
        <f>+INDEX(Sheet1!$K$48:$K$56,COLUMN()-COLUMN($B$83)+1)</f>
        <v>-2.1333333333333333</v>
      </c>
      <c r="F49" s="40">
        <f>+INDEX(Sheet1!$K$48:$K$56,COLUMN()-COLUMN($B$83)+1)</f>
        <v>-2.3277777777777779</v>
      </c>
      <c r="G49" s="40">
        <f>+INDEX(Sheet1!$K$48:$K$56,COLUMN()-COLUMN($B$83)+1)</f>
        <v>-2.3111111111111109</v>
      </c>
      <c r="H49" s="40">
        <f>+INDEX(Sheet1!$K$48:$K$56,COLUMN()-COLUMN($B$83)+1)</f>
        <v>-2.5722222222222224</v>
      </c>
      <c r="I49" s="40">
        <f>+INDEX(Sheet1!$K$48:$K$56,COLUMN()-COLUMN($B$83)+1)</f>
        <v>-2.162962962962963</v>
      </c>
    </row>
    <row r="50" spans="1:9">
      <c r="A50" t="s">
        <v>225</v>
      </c>
      <c r="B50" s="40">
        <f>+INDEX(Sheet1!$D$48:$D$56,COLUMN()-COLUMN($B$83)+1)</f>
        <v>28.968935888962324</v>
      </c>
      <c r="C50" s="40">
        <f>+INDEX(Sheet1!$D$48:$D$56,COLUMN()-COLUMN($B$83)+1)</f>
        <v>-101.61290322580646</v>
      </c>
      <c r="D50" s="40">
        <f>+INDEX(Sheet1!$D$48:$D$56,COLUMN()-COLUMN($B$83)+1)</f>
        <v>-187.725321888412</v>
      </c>
      <c r="E50" s="40">
        <f>+INDEX(Sheet1!$D$48:$D$56,COLUMN()-COLUMN($B$83)+1)</f>
        <v>-111.09375</v>
      </c>
      <c r="F50" s="40">
        <f>+INDEX(Sheet1!$D$48:$D$56,COLUMN()-COLUMN($B$83)+1)</f>
        <v>-208.78281622911692</v>
      </c>
      <c r="G50" s="40">
        <f>+INDEX(Sheet1!$D$48:$D$56,COLUMN()-COLUMN($B$83)+1)</f>
        <v>-103.84615384615385</v>
      </c>
      <c r="H50" s="40">
        <f>+INDEX(Sheet1!$D$48:$D$56,COLUMN()-COLUMN($B$83)+1)</f>
        <v>-182.33261339092871</v>
      </c>
      <c r="I50" s="40">
        <f>+INDEX(Sheet1!$D$48:$D$56,COLUMN()-COLUMN($B$83)+1)</f>
        <v>-316.23287671232879</v>
      </c>
    </row>
    <row r="52" spans="1:9">
      <c r="A52" t="s">
        <v>106</v>
      </c>
      <c r="B52">
        <v>0</v>
      </c>
    </row>
    <row r="55" spans="1:9">
      <c r="A55" t="s">
        <v>151</v>
      </c>
    </row>
    <row r="56" spans="1:9">
      <c r="A56" t="s">
        <v>241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152</v>
      </c>
    </row>
    <row r="59" spans="1:9">
      <c r="A59" t="s">
        <v>242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234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235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236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5" spans="1:9">
      <c r="A65" t="s">
        <v>116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250</v>
      </c>
      <c r="C68">
        <v>32000</v>
      </c>
      <c r="D68">
        <v>0</v>
      </c>
      <c r="E68" s="22">
        <f t="shared" ref="E68:F75" si="0">+$B$3</f>
        <v>1333</v>
      </c>
      <c r="F68" s="22">
        <f t="shared" si="0"/>
        <v>1333</v>
      </c>
      <c r="G68">
        <v>4</v>
      </c>
      <c r="H68">
        <v>0</v>
      </c>
    </row>
    <row r="69" spans="1:9">
      <c r="A69" t="s">
        <v>118</v>
      </c>
      <c r="B69">
        <v>-250</v>
      </c>
      <c r="C69">
        <v>-32000</v>
      </c>
      <c r="D69">
        <v>0</v>
      </c>
      <c r="E69" s="22">
        <f t="shared" si="0"/>
        <v>1333</v>
      </c>
      <c r="F69" s="22">
        <f t="shared" si="0"/>
        <v>1333</v>
      </c>
      <c r="G69">
        <v>4</v>
      </c>
      <c r="H69">
        <v>0</v>
      </c>
    </row>
    <row r="70" spans="1:9">
      <c r="A70" t="s">
        <v>119</v>
      </c>
      <c r="B70">
        <v>250</v>
      </c>
      <c r="C70">
        <v>32000</v>
      </c>
      <c r="D70">
        <v>0</v>
      </c>
      <c r="E70" s="22">
        <f t="shared" si="0"/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120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>+$B$3</f>
        <v>1333</v>
      </c>
      <c r="G71">
        <v>4</v>
      </c>
      <c r="H71">
        <v>0</v>
      </c>
    </row>
    <row r="72" spans="1:9">
      <c r="A72" t="s">
        <v>121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4</v>
      </c>
      <c r="H72">
        <v>0</v>
      </c>
    </row>
    <row r="73" spans="1:9">
      <c r="A73" t="s">
        <v>122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4</v>
      </c>
      <c r="H73">
        <v>0</v>
      </c>
    </row>
    <row r="74" spans="1:9">
      <c r="A74" t="s">
        <v>123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124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237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131</v>
      </c>
      <c r="B80" s="22">
        <f>+INDEX(Sheet1!$L$48:$L$56,COLUMN()-COLUMN($B$81)+1)</f>
        <v>438.3</v>
      </c>
      <c r="C80" s="22">
        <f>+INDEX(Sheet1!$L$48:$L$56,COLUMN()-COLUMN($B$81)+1)</f>
        <v>245</v>
      </c>
      <c r="D80" s="22">
        <f>+INDEX(Sheet1!$L$48:$L$56,COLUMN()-COLUMN($B$81)+1)</f>
        <v>20</v>
      </c>
      <c r="E80" s="22">
        <f>+INDEX(Sheet1!$L$48:$L$56,COLUMN()-COLUMN($B$81)+1)</f>
        <v>237</v>
      </c>
      <c r="F80" s="22">
        <f>+INDEX(Sheet1!$L$48:$L$56,COLUMN()-COLUMN($B$81)+1)</f>
        <v>67</v>
      </c>
      <c r="G80" s="22">
        <f>+INDEX(Sheet1!$L$48:$L$56,COLUMN()-COLUMN($B$81)+1)</f>
        <v>240</v>
      </c>
      <c r="H80" s="22">
        <f>+INDEX(Sheet1!$L$48:$L$56,COLUMN()-COLUMN($B$81)+1)</f>
        <v>6</v>
      </c>
      <c r="I80" s="22">
        <f>+INDEX(Sheet1!$L$48:$L$56,COLUMN()-COLUMN($B$81)+1)</f>
        <v>684</v>
      </c>
    </row>
    <row r="81" spans="1:9">
      <c r="A81" t="s">
        <v>132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133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134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135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136</v>
      </c>
    </row>
    <row r="87" spans="1:9">
      <c r="A87" t="s">
        <v>237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138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61" zoomScale="75" zoomScaleNormal="75" workbookViewId="0">
      <selection activeCell="G75" sqref="G75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280</v>
      </c>
    </row>
    <row r="31" spans="1:9">
      <c r="A31" t="s">
        <v>281</v>
      </c>
    </row>
    <row r="32" spans="1:9">
      <c r="A32" t="s">
        <v>257</v>
      </c>
      <c r="B32" t="s">
        <v>285</v>
      </c>
    </row>
    <row r="33" spans="1:9">
      <c r="A33" t="s">
        <v>258</v>
      </c>
    </row>
    <row r="34" spans="1:9">
      <c r="A34" t="s">
        <v>259</v>
      </c>
    </row>
    <row r="35" spans="1:9">
      <c r="A35" t="s">
        <v>260</v>
      </c>
    </row>
    <row r="36" spans="1:9">
      <c r="A36" t="s">
        <v>267</v>
      </c>
      <c r="C36" t="s">
        <v>268</v>
      </c>
    </row>
    <row r="37" spans="1:9">
      <c r="A37" t="s">
        <v>262</v>
      </c>
    </row>
    <row r="38" spans="1:9">
      <c r="A38" t="s">
        <v>263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229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230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233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226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5</v>
      </c>
    </row>
    <row r="50" spans="1:9">
      <c r="A50" t="s">
        <v>225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360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241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228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231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232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227</v>
      </c>
    </row>
    <row r="64" spans="1:9">
      <c r="A64" t="s">
        <v>221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500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1800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3756.0250000000001</v>
      </c>
      <c r="C82" s="22">
        <f>+INDEX(Sheet1!$N$59:$N$66,COLUMN()-COLUMN($B$83)+1)</f>
        <v>1109.0625</v>
      </c>
      <c r="D82" s="22">
        <f>+INDEX(Sheet1!$N$59:$N$66,COLUMN()-COLUMN($B$83)+1)</f>
        <v>1715.9187500000003</v>
      </c>
      <c r="E82" s="22">
        <f>+INDEX(Sheet1!$N$59:$N$66,COLUMN()-COLUMN($B$83)+1)</f>
        <v>2497.9499999999998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7" zoomScale="75" zoomScaleNormal="75" workbookViewId="0">
      <selection activeCell="G77" sqref="G77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282</v>
      </c>
    </row>
    <row r="34" spans="1:9">
      <c r="A34" t="s">
        <v>283</v>
      </c>
    </row>
    <row r="35" spans="1:9">
      <c r="A35" t="s">
        <v>270</v>
      </c>
      <c r="B35" t="s">
        <v>284</v>
      </c>
    </row>
    <row r="36" spans="1:9">
      <c r="A36" t="s">
        <v>276</v>
      </c>
    </row>
    <row r="37" spans="1:9">
      <c r="A37" t="s">
        <v>277</v>
      </c>
    </row>
    <row r="38" spans="1:9">
      <c r="A38" t="s">
        <v>278</v>
      </c>
    </row>
    <row r="39" spans="1:9">
      <c r="A39" t="s">
        <v>279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240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238</v>
      </c>
      <c r="B50" s="40">
        <f>+INDEX(Sheet1!$K$70:$K$77,COLUMN()-COLUMN($B$81)+1)</f>
        <v>12.98</v>
      </c>
      <c r="C50" s="40">
        <f>+INDEX(Sheet1!$K$70:$K$77,COLUMN()-COLUMN($B$81)+1)</f>
        <v>-2.5555555555555554</v>
      </c>
      <c r="D50" s="40">
        <f>+INDEX(Sheet1!$K$70:$K$77,COLUMN()-COLUMN($B$81)+1)</f>
        <v>-2.3944444444444444</v>
      </c>
      <c r="E50" s="40">
        <f>+INDEX(Sheet1!$K$70:$K$77,COLUMN()-COLUMN($B$81)+1)</f>
        <v>-2.4888888888888889</v>
      </c>
      <c r="F50" s="40">
        <f>+INDEX(Sheet1!$K$70:$K$77,COLUMN()-COLUMN($B$81)+1)</f>
        <v>-2.5777777777777779</v>
      </c>
      <c r="G50" s="40">
        <f>+INDEX(Sheet1!$K$70:$K$77,COLUMN()-COLUMN($B$81)+1)</f>
        <v>-2.5555555555555554</v>
      </c>
      <c r="H50" s="40">
        <f>+INDEX(Sheet1!$K$70:$K$77,COLUMN()-COLUMN($B$81)+1)</f>
        <v>-2.4611111111111112</v>
      </c>
      <c r="I50" s="40">
        <f>+INDEX(Sheet1!$K$70:$K$77,COLUMN()-COLUMN($B$81)+1)</f>
        <v>-2.4555555555555557</v>
      </c>
    </row>
    <row r="51" spans="1:9">
      <c r="A51" t="s">
        <v>225</v>
      </c>
      <c r="B51" s="40">
        <f>+INDEX(Sheet1!$D$70:$D$77,COLUMN()-COLUMN($B$81)+1)</f>
        <v>39.429892141756547</v>
      </c>
      <c r="C51" s="40">
        <f>+INDEX(Sheet1!$D$70:$D$77,COLUMN()-COLUMN($B$81)+1)</f>
        <v>-90</v>
      </c>
      <c r="D51" s="40">
        <f>+INDEX(Sheet1!$D$70:$D$77,COLUMN()-COLUMN($B$81)+1)</f>
        <v>-190.85846867749422</v>
      </c>
      <c r="E51" s="40">
        <f>+INDEX(Sheet1!$D$70:$D$77,COLUMN()-COLUMN($B$81)+1)</f>
        <v>-90</v>
      </c>
      <c r="F51" s="40">
        <f>+INDEX(Sheet1!$D$70:$D$77,COLUMN()-COLUMN($B$81)+1)</f>
        <v>-190.86206896551724</v>
      </c>
      <c r="G51" s="40">
        <f>+INDEX(Sheet1!$D$70:$D$77,COLUMN()-COLUMN($B$81)+1)</f>
        <v>-91.956521739130437</v>
      </c>
      <c r="H51" s="40">
        <f>+INDEX(Sheet1!$D$70:$D$77,COLUMN()-COLUMN($B$81)+1)</f>
        <v>-202.75395033860045</v>
      </c>
      <c r="I51" s="40">
        <f>+INDEX(Sheet1!$D$70:$D$77,COLUMN()-COLUMN($B$81)+1)</f>
        <v>-300.54298642533934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241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242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234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235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236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4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4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4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4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237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511.8</v>
      </c>
      <c r="C81" s="22">
        <f>+INDEX(Sheet1!$L$70:$L$77,COLUMN()-COLUMN($B$79)+1)</f>
        <v>230</v>
      </c>
      <c r="D81" s="22">
        <f>+INDEX(Sheet1!$L$70:$L$77,COLUMN()-COLUMN($B$79)+1)</f>
        <v>26</v>
      </c>
      <c r="E81" s="22">
        <f>+INDEX(Sheet1!$L$70:$L$77,COLUMN()-COLUMN($B$79)+1)</f>
        <v>224</v>
      </c>
      <c r="F81" s="22">
        <f>+INDEX(Sheet1!$L$70:$L$77,COLUMN()-COLUMN($B$79)+1)</f>
        <v>28</v>
      </c>
      <c r="G81" s="22">
        <f>+INDEX(Sheet1!$L$70:$L$77,COLUMN()-COLUMN($B$79)+1)</f>
        <v>235</v>
      </c>
      <c r="H81" s="22">
        <f>+INDEX(Sheet1!$L$70:$L$77,COLUMN()-COLUMN($B$79)+1)</f>
        <v>56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237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4" zoomScale="85" zoomScaleNormal="85" workbookViewId="0">
      <selection activeCell="G60" sqref="G60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239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243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244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250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245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246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247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248</v>
      </c>
      <c r="B50">
        <v>600</v>
      </c>
      <c r="C50">
        <v>600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249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3672.9874999999997</v>
      </c>
      <c r="I70" s="22">
        <f>+INDEX(Sheet1!$N$24:$N34,COLUMN()-COLUMN($B$69)+1)</f>
        <v>2620.8000000000002</v>
      </c>
      <c r="J70" s="22">
        <f>+INDEX(Sheet1!$N$24:$N34,COLUMN()-COLUMN($B$69)+1)</f>
        <v>3622.9375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249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223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3672.9874999999997</v>
      </c>
      <c r="C25">
        <f>Head_Torso!I70</f>
        <v>2620.8000000000002</v>
      </c>
      <c r="D25">
        <f>Head_Torso!J70</f>
        <v>3622.9375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196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Left_hand!B80</f>
        <v>438.3</v>
      </c>
      <c r="K36">
        <f>Left_hand!C80</f>
        <v>245</v>
      </c>
      <c r="L36">
        <f>Left_hand!D80</f>
        <v>20</v>
      </c>
      <c r="M36">
        <f>Left_hand!E80</f>
        <v>237</v>
      </c>
      <c r="N36">
        <f>Left_hand!F80</f>
        <v>67</v>
      </c>
      <c r="O36">
        <f>Left_hand!G80</f>
        <v>240</v>
      </c>
      <c r="P36">
        <f>Left_hand!H80</f>
        <v>6</v>
      </c>
      <c r="Q36">
        <f>Left_hand!I80</f>
        <v>684</v>
      </c>
    </row>
    <row r="37" spans="1:17">
      <c r="A37" t="s">
        <v>197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194</v>
      </c>
      <c r="B38">
        <f>Left_arm!B82</f>
        <v>2536.625</v>
      </c>
      <c r="C38">
        <f>Left_arm!C82</f>
        <v>2425.15</v>
      </c>
      <c r="D38">
        <f>Left_arm!D82</f>
        <v>3456.0093749999992</v>
      </c>
      <c r="E38">
        <f>Left_arm!E82</f>
        <v>2143.0500000000002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135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1800</v>
      </c>
      <c r="J49">
        <f>Right_hand!B81</f>
        <v>511.8</v>
      </c>
      <c r="K49">
        <f>Right_hand!C81</f>
        <v>230</v>
      </c>
      <c r="L49">
        <f>Right_hand!D81</f>
        <v>26</v>
      </c>
      <c r="M49">
        <f>Right_hand!E81</f>
        <v>224</v>
      </c>
      <c r="N49">
        <f>Right_hand!F81</f>
        <v>28</v>
      </c>
      <c r="O49">
        <f>Right_hand!G81</f>
        <v>235</v>
      </c>
      <c r="P49">
        <f>Right_hand!H81</f>
        <v>56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3756.0250000000001</v>
      </c>
      <c r="C51">
        <f>Right_arm!C82</f>
        <v>1109.0625</v>
      </c>
      <c r="D51">
        <f>Right_arm!D82</f>
        <v>1715.9187500000003</v>
      </c>
      <c r="E51">
        <f>Right_arm!E82</f>
        <v>2497.9499999999998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3960.7750000000001</v>
      </c>
      <c r="C64">
        <f>Legs!I95</f>
        <v>3108.7874999999999</v>
      </c>
      <c r="D64">
        <f>Legs!J95</f>
        <v>2444.4875000000002</v>
      </c>
      <c r="E64">
        <f>Legs!K95</f>
        <v>3951.6749999999997</v>
      </c>
      <c r="F64">
        <f>Legs!L95</f>
        <v>2503.6374999999998</v>
      </c>
      <c r="G64">
        <f>Legs!M95</f>
        <v>457.27499999999986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2639</v>
      </c>
      <c r="C76">
        <f>Legs!C95</f>
        <v>2976.8375000000001</v>
      </c>
      <c r="D76">
        <f>Legs!D95</f>
        <v>2046.3624999999997</v>
      </c>
      <c r="E76">
        <f>Legs!E95</f>
        <v>1631.1749999999997</v>
      </c>
      <c r="F76">
        <f>Legs!F95</f>
        <v>2424.0124999999998</v>
      </c>
      <c r="G76">
        <f>Legs!G95</f>
        <v>1606.1499999999999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2010-03-15T15:04:00Z</dcterms:modified>
</cp:coreProperties>
</file>